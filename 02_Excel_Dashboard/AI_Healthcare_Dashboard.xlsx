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NghiRobert\Downloads\AI_Healthcare_Analytics_Project\02_Excel_Dashboard\"/>
    </mc:Choice>
  </mc:AlternateContent>
  <xr:revisionPtr revIDLastSave="0" documentId="13_ncr:1_{FC1D0EB4-25E7-4C40-9B4B-51C9B1C2888A}" xr6:coauthVersionLast="47" xr6:coauthVersionMax="47" xr10:uidLastSave="{00000000-0000-0000-0000-000000000000}"/>
  <bookViews>
    <workbookView xWindow="-108" yWindow="-108" windowWidth="30936" windowHeight="16896" activeTab="3" xr2:uid="{E9E74B3B-B950-49E7-9832-D7BCCE6C672A}"/>
  </bookViews>
  <sheets>
    <sheet name="Raw_Data" sheetId="2" r:id="rId1"/>
    <sheet name="Analysis" sheetId="3" r:id="rId2"/>
    <sheet name="Pivot_Tables" sheetId="4" r:id="rId3"/>
    <sheet name="Dashboard" sheetId="5" r:id="rId4"/>
  </sheets>
  <definedNames>
    <definedName name="NativeTimeline_Date_Received">#N/A</definedName>
    <definedName name="Slicer_AI_Assisted">#N/A</definedName>
    <definedName name="Slicer_Department">#N/A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6" i="3" l="1"/>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A2100" i="2"/>
  <c r="A2101" i="2"/>
  <c r="A2102" i="2"/>
  <c r="A2103" i="2"/>
  <c r="A2104" i="2"/>
  <c r="A2105" i="2"/>
  <c r="A2106" i="2"/>
  <c r="A2107" i="2"/>
  <c r="A2108" i="2"/>
  <c r="A2109" i="2"/>
  <c r="A2110" i="2"/>
  <c r="A2111" i="2"/>
  <c r="A2112" i="2"/>
  <c r="A2113" i="2"/>
  <c r="A2114" i="2"/>
  <c r="A2115" i="2"/>
  <c r="A2116" i="2"/>
  <c r="A2117" i="2"/>
  <c r="A2118" i="2"/>
  <c r="A2119" i="2"/>
  <c r="A2120" i="2"/>
  <c r="A2121" i="2"/>
  <c r="A2122" i="2"/>
  <c r="A2123" i="2"/>
  <c r="A2124" i="2"/>
  <c r="A2125" i="2"/>
  <c r="A2126" i="2"/>
  <c r="A2127" i="2"/>
  <c r="A2128" i="2"/>
  <c r="A2129" i="2"/>
  <c r="A2130" i="2"/>
  <c r="A2131" i="2"/>
  <c r="A2132" i="2"/>
  <c r="A2133" i="2"/>
  <c r="A2134" i="2"/>
  <c r="A2135" i="2"/>
  <c r="A2136" i="2"/>
  <c r="A2137" i="2"/>
  <c r="A2138" i="2"/>
  <c r="A2139" i="2"/>
  <c r="A2140" i="2"/>
  <c r="A2141"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8" i="2"/>
  <c r="A2179" i="2"/>
  <c r="A2180" i="2"/>
  <c r="A2181" i="2"/>
  <c r="A2182" i="2"/>
  <c r="A2183" i="2"/>
  <c r="A2184" i="2"/>
  <c r="A2185" i="2"/>
  <c r="A2186" i="2"/>
  <c r="A2187" i="2"/>
  <c r="A2188" i="2"/>
  <c r="A2189" i="2"/>
  <c r="A2190" i="2"/>
  <c r="A2191" i="2"/>
  <c r="A2192" i="2"/>
  <c r="A2193" i="2"/>
  <c r="A2194" i="2"/>
  <c r="A2195" i="2"/>
  <c r="A2196" i="2"/>
  <c r="A2197" i="2"/>
  <c r="A2198" i="2"/>
  <c r="A2199" i="2"/>
  <c r="A2200" i="2"/>
  <c r="A2201" i="2"/>
  <c r="A2202" i="2"/>
  <c r="A2203" i="2"/>
  <c r="A2204" i="2"/>
  <c r="A2205" i="2"/>
  <c r="A2206" i="2"/>
  <c r="A2207" i="2"/>
  <c r="A2208" i="2"/>
  <c r="A2209" i="2"/>
  <c r="A2210" i="2"/>
  <c r="A2211" i="2"/>
  <c r="A2212" i="2"/>
  <c r="A2213" i="2"/>
  <c r="A2214" i="2"/>
  <c r="A2215" i="2"/>
  <c r="A2216" i="2"/>
  <c r="A2217" i="2"/>
  <c r="A2218" i="2"/>
  <c r="A2219" i="2"/>
  <c r="A2220" i="2"/>
  <c r="A2221" i="2"/>
  <c r="A2222" i="2"/>
  <c r="A2223" i="2"/>
  <c r="A2224" i="2"/>
  <c r="A2225" i="2"/>
  <c r="A2226" i="2"/>
  <c r="A2227" i="2"/>
  <c r="A2228" i="2"/>
  <c r="A2229" i="2"/>
  <c r="A2230" i="2"/>
  <c r="A2231" i="2"/>
  <c r="A2232" i="2"/>
  <c r="A2233" i="2"/>
  <c r="A2234" i="2"/>
  <c r="A2235" i="2"/>
  <c r="A2236" i="2"/>
  <c r="A2237" i="2"/>
  <c r="A2238" i="2"/>
  <c r="A2239" i="2"/>
  <c r="A2240" i="2"/>
  <c r="A2241" i="2"/>
  <c r="A2242" i="2"/>
  <c r="A2243" i="2"/>
  <c r="A2244" i="2"/>
  <c r="A2245" i="2"/>
  <c r="A2246" i="2"/>
  <c r="A2247" i="2"/>
  <c r="A2248" i="2"/>
  <c r="A2249" i="2"/>
  <c r="A2250" i="2"/>
  <c r="A2251" i="2"/>
  <c r="A2252" i="2"/>
  <c r="A2253" i="2"/>
  <c r="A2254" i="2"/>
  <c r="A2255" i="2"/>
  <c r="A2256" i="2"/>
  <c r="A2257" i="2"/>
  <c r="A2258" i="2"/>
  <c r="A2259" i="2"/>
  <c r="A2260" i="2"/>
  <c r="A2261" i="2"/>
  <c r="A2262" i="2"/>
  <c r="A2263" i="2"/>
  <c r="A2264" i="2"/>
  <c r="A2265" i="2"/>
  <c r="A2266" i="2"/>
  <c r="A2267" i="2"/>
  <c r="A2268" i="2"/>
  <c r="A2269" i="2"/>
  <c r="A2270" i="2"/>
  <c r="A2271" i="2"/>
  <c r="A2272" i="2"/>
  <c r="A2273" i="2"/>
  <c r="A2274" i="2"/>
  <c r="A2275" i="2"/>
  <c r="A2276" i="2"/>
  <c r="A2277" i="2"/>
  <c r="A2278" i="2"/>
  <c r="A2279" i="2"/>
  <c r="A2280" i="2"/>
  <c r="A2281" i="2"/>
  <c r="A2282" i="2"/>
  <c r="A2283" i="2"/>
  <c r="A2284" i="2"/>
  <c r="A2285" i="2"/>
  <c r="A2286" i="2"/>
  <c r="A2287" i="2"/>
  <c r="A2288" i="2"/>
  <c r="A2289" i="2"/>
  <c r="A2290" i="2"/>
  <c r="A2291" i="2"/>
  <c r="A2292" i="2"/>
  <c r="A2293" i="2"/>
  <c r="A2294" i="2"/>
  <c r="A2295" i="2"/>
  <c r="A2296" i="2"/>
  <c r="A2297" i="2"/>
  <c r="A2298" i="2"/>
  <c r="A2299" i="2"/>
  <c r="A2300" i="2"/>
  <c r="A2301" i="2"/>
  <c r="A2302" i="2"/>
  <c r="A2303" i="2"/>
  <c r="A2304" i="2"/>
  <c r="A2305" i="2"/>
  <c r="A2306" i="2"/>
  <c r="A2307" i="2"/>
  <c r="A2308" i="2"/>
  <c r="A2309" i="2"/>
  <c r="A2310" i="2"/>
  <c r="A2311" i="2"/>
  <c r="A2312" i="2"/>
  <c r="A2313" i="2"/>
  <c r="A2314" i="2"/>
  <c r="A2315" i="2"/>
  <c r="A2316" i="2"/>
  <c r="A2317" i="2"/>
  <c r="A2318" i="2"/>
  <c r="A2319" i="2"/>
  <c r="A2320" i="2"/>
  <c r="A2321" i="2"/>
  <c r="A2322" i="2"/>
  <c r="A2323" i="2"/>
  <c r="A2324" i="2"/>
  <c r="A2325" i="2"/>
  <c r="A2326" i="2"/>
  <c r="A2327" i="2"/>
  <c r="A2328" i="2"/>
  <c r="A2329" i="2"/>
  <c r="A2330" i="2"/>
  <c r="A2331" i="2"/>
  <c r="A2332" i="2"/>
  <c r="A2333" i="2"/>
  <c r="A2334" i="2"/>
  <c r="A2335" i="2"/>
  <c r="A2336" i="2"/>
  <c r="A2337" i="2"/>
  <c r="A233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7" i="2"/>
  <c r="A2378" i="2"/>
  <c r="A2379" i="2"/>
  <c r="A2380" i="2"/>
  <c r="A2381" i="2"/>
  <c r="A2382" i="2"/>
  <c r="A2383" i="2"/>
  <c r="A2384" i="2"/>
  <c r="A2385" i="2"/>
  <c r="A2386" i="2"/>
  <c r="A2387" i="2"/>
  <c r="A2388" i="2"/>
  <c r="A2389" i="2"/>
  <c r="A2390" i="2"/>
  <c r="A2391" i="2"/>
  <c r="A2392" i="2"/>
  <c r="A2393" i="2"/>
  <c r="A2394" i="2"/>
  <c r="A2395" i="2"/>
  <c r="A2396" i="2"/>
  <c r="A2397" i="2"/>
  <c r="A2398" i="2"/>
  <c r="A2399" i="2"/>
  <c r="A2400" i="2"/>
  <c r="A2401" i="2"/>
  <c r="A2402" i="2"/>
  <c r="A2403" i="2"/>
  <c r="A2404" i="2"/>
  <c r="A2405" i="2"/>
  <c r="A2406" i="2"/>
  <c r="A2407" i="2"/>
  <c r="A2408" i="2"/>
  <c r="A2409" i="2"/>
  <c r="A2410" i="2"/>
  <c r="A2411" i="2"/>
  <c r="A2412" i="2"/>
  <c r="A2413" i="2"/>
  <c r="A2414" i="2"/>
  <c r="A2415" i="2"/>
  <c r="A2416" i="2"/>
  <c r="A2417" i="2"/>
  <c r="A2418" i="2"/>
  <c r="A2419" i="2"/>
  <c r="A2420" i="2"/>
  <c r="A2421" i="2"/>
  <c r="A2422" i="2"/>
  <c r="A2423" i="2"/>
  <c r="A2424" i="2"/>
  <c r="A2425" i="2"/>
  <c r="A2426" i="2"/>
  <c r="A2427" i="2"/>
  <c r="A2428" i="2"/>
  <c r="A2429" i="2"/>
  <c r="A2430" i="2"/>
  <c r="A2431" i="2"/>
  <c r="A2432" i="2"/>
  <c r="A2433" i="2"/>
  <c r="A2434" i="2"/>
  <c r="A2435" i="2"/>
  <c r="A2436" i="2"/>
  <c r="A2437" i="2"/>
  <c r="A2438" i="2"/>
  <c r="A2439" i="2"/>
  <c r="A2440" i="2"/>
  <c r="A2441" i="2"/>
  <c r="A2442" i="2"/>
  <c r="A2443" i="2"/>
  <c r="A2444" i="2"/>
  <c r="A2445" i="2"/>
  <c r="A2446" i="2"/>
  <c r="A2447" i="2"/>
  <c r="A2448" i="2"/>
  <c r="A2449" i="2"/>
  <c r="A2450" i="2"/>
  <c r="A2451" i="2"/>
  <c r="A2452" i="2"/>
  <c r="A2453" i="2"/>
  <c r="A2454" i="2"/>
  <c r="A2455" i="2"/>
  <c r="A2456" i="2"/>
  <c r="A2457" i="2"/>
  <c r="A2458" i="2"/>
  <c r="A2459" i="2"/>
  <c r="A2460" i="2"/>
  <c r="A2461" i="2"/>
  <c r="A2462" i="2"/>
  <c r="A2463" i="2"/>
  <c r="A2464" i="2"/>
  <c r="A2465" i="2"/>
  <c r="A2466" i="2"/>
  <c r="A2467" i="2"/>
  <c r="A2468" i="2"/>
  <c r="A2469" i="2"/>
  <c r="A2470" i="2"/>
  <c r="A2471" i="2"/>
  <c r="A2472" i="2"/>
  <c r="A2473" i="2"/>
  <c r="A2474" i="2"/>
  <c r="A2475" i="2"/>
  <c r="A2476" i="2"/>
  <c r="A2477" i="2"/>
  <c r="A2478" i="2"/>
  <c r="A2479" i="2"/>
  <c r="A2480" i="2"/>
  <c r="A2481" i="2"/>
  <c r="A2482" i="2"/>
  <c r="A2483" i="2"/>
  <c r="A2484" i="2"/>
  <c r="A2485" i="2"/>
  <c r="A2486" i="2"/>
  <c r="A2487" i="2"/>
  <c r="A2488" i="2"/>
  <c r="A2489" i="2"/>
  <c r="A2490" i="2"/>
  <c r="A2491" i="2"/>
  <c r="A2492" i="2"/>
  <c r="A2493" i="2"/>
  <c r="A2494" i="2"/>
  <c r="A2495" i="2"/>
  <c r="A2496" i="2"/>
  <c r="A2497" i="2"/>
  <c r="A2498" i="2"/>
  <c r="A2499" i="2"/>
  <c r="A2500" i="2"/>
  <c r="A2501" i="2"/>
  <c r="A2502" i="2"/>
  <c r="A2503" i="2"/>
  <c r="A2504" i="2"/>
  <c r="A2505" i="2"/>
  <c r="A2506" i="2"/>
  <c r="A2507" i="2"/>
  <c r="A2508" i="2"/>
  <c r="A2509" i="2"/>
  <c r="A2510" i="2"/>
  <c r="A2511" i="2"/>
  <c r="A2512" i="2"/>
  <c r="A2513" i="2"/>
  <c r="A2514" i="2"/>
  <c r="A2515" i="2"/>
  <c r="A2516" i="2"/>
  <c r="A2517" i="2"/>
  <c r="A2518" i="2"/>
  <c r="A2519" i="2"/>
  <c r="A2520" i="2"/>
  <c r="A2521" i="2"/>
  <c r="A2522" i="2"/>
  <c r="A2523" i="2"/>
  <c r="A2524" i="2"/>
  <c r="A2525" i="2"/>
  <c r="A2526" i="2"/>
  <c r="A2527" i="2"/>
  <c r="A2528" i="2"/>
  <c r="A2529" i="2"/>
  <c r="A2530" i="2"/>
  <c r="A2531" i="2"/>
  <c r="A2532" i="2"/>
  <c r="A2533" i="2"/>
  <c r="A2534" i="2"/>
  <c r="A2535" i="2"/>
  <c r="A2536" i="2"/>
  <c r="A2537" i="2"/>
  <c r="A2538" i="2"/>
  <c r="A2539" i="2"/>
  <c r="A2540" i="2"/>
  <c r="A2541" i="2"/>
  <c r="A2542" i="2"/>
  <c r="A2543" i="2"/>
  <c r="A2544" i="2"/>
  <c r="A2545" i="2"/>
  <c r="A2546" i="2"/>
  <c r="A2547" i="2"/>
  <c r="A2548" i="2"/>
  <c r="A2549" i="2"/>
  <c r="A2550" i="2"/>
  <c r="A2551" i="2"/>
  <c r="A2552" i="2"/>
  <c r="A2553" i="2"/>
  <c r="A2554" i="2"/>
  <c r="A2555" i="2"/>
  <c r="A2556" i="2"/>
  <c r="A2557" i="2"/>
  <c r="A2558" i="2"/>
  <c r="A2559" i="2"/>
  <c r="A2560" i="2"/>
  <c r="A2561" i="2"/>
  <c r="A2562" i="2"/>
  <c r="A2563" i="2"/>
  <c r="A2564" i="2"/>
  <c r="A2565" i="2"/>
  <c r="A2566" i="2"/>
  <c r="A2567" i="2"/>
  <c r="A2568" i="2"/>
  <c r="A2569" i="2"/>
  <c r="A2570" i="2"/>
  <c r="A2571" i="2"/>
  <c r="A2572" i="2"/>
  <c r="A2573" i="2"/>
  <c r="A2574" i="2"/>
  <c r="A2575" i="2"/>
  <c r="A2576" i="2"/>
  <c r="A2577" i="2"/>
  <c r="A2578" i="2"/>
  <c r="A2579" i="2"/>
  <c r="A2580" i="2"/>
  <c r="A2581" i="2"/>
  <c r="A2582" i="2"/>
  <c r="A2583" i="2"/>
  <c r="A2584" i="2"/>
  <c r="A2585" i="2"/>
  <c r="A2586" i="2"/>
  <c r="A2587" i="2"/>
  <c r="A2588" i="2"/>
  <c r="A2589" i="2"/>
  <c r="A2590" i="2"/>
  <c r="A2591" i="2"/>
  <c r="A2592" i="2"/>
  <c r="A2593" i="2"/>
  <c r="A2594" i="2"/>
  <c r="A2595" i="2"/>
  <c r="A2596" i="2"/>
  <c r="A2597" i="2"/>
  <c r="A2598" i="2"/>
  <c r="A2599" i="2"/>
  <c r="A2600" i="2"/>
  <c r="A2601" i="2"/>
  <c r="A2602" i="2"/>
  <c r="A2603" i="2"/>
  <c r="A2604" i="2"/>
  <c r="A2605" i="2"/>
  <c r="A2606" i="2"/>
  <c r="A2607" i="2"/>
  <c r="A2608" i="2"/>
  <c r="A2609" i="2"/>
  <c r="A2610" i="2"/>
  <c r="A2611" i="2"/>
  <c r="A2612" i="2"/>
  <c r="A2613" i="2"/>
  <c r="A2614" i="2"/>
  <c r="A2615" i="2"/>
  <c r="A2616" i="2"/>
  <c r="A2617" i="2"/>
  <c r="A2618" i="2"/>
  <c r="A2619" i="2"/>
  <c r="A2620" i="2"/>
  <c r="A2621" i="2"/>
  <c r="A2622" i="2"/>
  <c r="A2623" i="2"/>
  <c r="A2624" i="2"/>
  <c r="A2625" i="2"/>
  <c r="A2626" i="2"/>
  <c r="A2627" i="2"/>
  <c r="A2628" i="2"/>
  <c r="A2629" i="2"/>
  <c r="A2630" i="2"/>
  <c r="A2631" i="2"/>
  <c r="A2632" i="2"/>
  <c r="A2633" i="2"/>
  <c r="A2634" i="2"/>
  <c r="A2635" i="2"/>
  <c r="A2636" i="2"/>
  <c r="A2637" i="2"/>
  <c r="A2638" i="2"/>
  <c r="A2639" i="2"/>
  <c r="A2640" i="2"/>
  <c r="A2641" i="2"/>
  <c r="A2642" i="2"/>
  <c r="A2643" i="2"/>
  <c r="A2644" i="2"/>
  <c r="A2645" i="2"/>
  <c r="A2646" i="2"/>
  <c r="A2647" i="2"/>
  <c r="A2648" i="2"/>
  <c r="A2649" i="2"/>
  <c r="A2650" i="2"/>
  <c r="A2651" i="2"/>
  <c r="A2652" i="2"/>
  <c r="A2653" i="2"/>
  <c r="A2654" i="2"/>
  <c r="A2655" i="2"/>
  <c r="A2656" i="2"/>
  <c r="A2657" i="2"/>
  <c r="A2658" i="2"/>
  <c r="A2659" i="2"/>
  <c r="A2660" i="2"/>
  <c r="A2661" i="2"/>
  <c r="A2662" i="2"/>
  <c r="A2663" i="2"/>
  <c r="A2664" i="2"/>
  <c r="A2665" i="2"/>
  <c r="A2666" i="2"/>
  <c r="A2667" i="2"/>
  <c r="A2668" i="2"/>
  <c r="A2669" i="2"/>
  <c r="A2670" i="2"/>
  <c r="A2671" i="2"/>
  <c r="A2672" i="2"/>
  <c r="A2673" i="2"/>
  <c r="A2674" i="2"/>
  <c r="A2675" i="2"/>
  <c r="A2676" i="2"/>
  <c r="A2677" i="2"/>
  <c r="A2678" i="2"/>
  <c r="A2679" i="2"/>
  <c r="A2680" i="2"/>
  <c r="A2681" i="2"/>
  <c r="A2682" i="2"/>
  <c r="A2683" i="2"/>
  <c r="A2684" i="2"/>
  <c r="A2685" i="2"/>
  <c r="A2686" i="2"/>
  <c r="A2687" i="2"/>
  <c r="A2688" i="2"/>
  <c r="A2689" i="2"/>
  <c r="A2690" i="2"/>
  <c r="A2691" i="2"/>
  <c r="A2692" i="2"/>
  <c r="A2693" i="2"/>
  <c r="A2694" i="2"/>
  <c r="A2695" i="2"/>
  <c r="A2696" i="2"/>
  <c r="A2697" i="2"/>
  <c r="A2698" i="2"/>
  <c r="A2699" i="2"/>
  <c r="A2700" i="2"/>
  <c r="A2701" i="2"/>
  <c r="A2702" i="2"/>
  <c r="A2703" i="2"/>
  <c r="A2704" i="2"/>
  <c r="A2705" i="2"/>
  <c r="A2706" i="2"/>
  <c r="A2707" i="2"/>
  <c r="A2708" i="2"/>
  <c r="A2709" i="2"/>
  <c r="A2710" i="2"/>
  <c r="A2711" i="2"/>
  <c r="A2712" i="2"/>
  <c r="A2713" i="2"/>
  <c r="A2714" i="2"/>
  <c r="A2715" i="2"/>
  <c r="A2716" i="2"/>
  <c r="A2717" i="2"/>
  <c r="A2718" i="2"/>
  <c r="A2719" i="2"/>
  <c r="A2720" i="2"/>
  <c r="A2721" i="2"/>
  <c r="A2722" i="2"/>
  <c r="A2723" i="2"/>
  <c r="A2724" i="2"/>
  <c r="A2725" i="2"/>
  <c r="A2726" i="2"/>
  <c r="A2727" i="2"/>
  <c r="A2728" i="2"/>
  <c r="A2729" i="2"/>
  <c r="A2730" i="2"/>
  <c r="A2731" i="2"/>
  <c r="A2732" i="2"/>
  <c r="A2733" i="2"/>
  <c r="A2734" i="2"/>
  <c r="A2735" i="2"/>
  <c r="A2736" i="2"/>
  <c r="A2737" i="2"/>
  <c r="A2738" i="2"/>
  <c r="A2739" i="2"/>
  <c r="A2740" i="2"/>
  <c r="A2741" i="2"/>
  <c r="A2742" i="2"/>
  <c r="A2743" i="2"/>
  <c r="A2744" i="2"/>
  <c r="A2745" i="2"/>
  <c r="A2746" i="2"/>
  <c r="A2747" i="2"/>
  <c r="A2748" i="2"/>
  <c r="A2749" i="2"/>
  <c r="A2750" i="2"/>
  <c r="A2751" i="2"/>
  <c r="A2752" i="2"/>
  <c r="A2753" i="2"/>
  <c r="A2754" i="2"/>
  <c r="A2755" i="2"/>
  <c r="A2756" i="2"/>
  <c r="A2757" i="2"/>
  <c r="A2758" i="2"/>
  <c r="A2759" i="2"/>
  <c r="A2760" i="2"/>
  <c r="A2761" i="2"/>
  <c r="A2762" i="2"/>
  <c r="A2763" i="2"/>
  <c r="A2764" i="2"/>
  <c r="A2765" i="2"/>
  <c r="A2766" i="2"/>
  <c r="A2767" i="2"/>
  <c r="A2768" i="2"/>
  <c r="A2769" i="2"/>
  <c r="A2770" i="2"/>
  <c r="A2771" i="2"/>
  <c r="A2772" i="2"/>
  <c r="A2773" i="2"/>
  <c r="A2774" i="2"/>
  <c r="A2775" i="2"/>
  <c r="A2776" i="2"/>
  <c r="A2777" i="2"/>
  <c r="A2778" i="2"/>
  <c r="A2779" i="2"/>
  <c r="A2780" i="2"/>
  <c r="A2781" i="2"/>
  <c r="A2782" i="2"/>
  <c r="A2783" i="2"/>
  <c r="A2784" i="2"/>
  <c r="A2785" i="2"/>
  <c r="A2786" i="2"/>
  <c r="A2787" i="2"/>
  <c r="A2788" i="2"/>
  <c r="A2789" i="2"/>
  <c r="A2790" i="2"/>
  <c r="A2791" i="2"/>
  <c r="A2792" i="2"/>
  <c r="A2793" i="2"/>
  <c r="A2794" i="2"/>
  <c r="A2795" i="2"/>
  <c r="A2796" i="2"/>
  <c r="A2797" i="2"/>
  <c r="A2798" i="2"/>
  <c r="A2799" i="2"/>
  <c r="A2800" i="2"/>
  <c r="A2801" i="2"/>
  <c r="A2802" i="2"/>
  <c r="A2803" i="2"/>
  <c r="A2804" i="2"/>
  <c r="A2805" i="2"/>
  <c r="A2806" i="2"/>
  <c r="A2807" i="2"/>
  <c r="A2808" i="2"/>
  <c r="A2809" i="2"/>
  <c r="A2810" i="2"/>
  <c r="A2811" i="2"/>
  <c r="A2812" i="2"/>
  <c r="A2813" i="2"/>
  <c r="A2814" i="2"/>
  <c r="A2815" i="2"/>
  <c r="A2816" i="2"/>
  <c r="A2817" i="2"/>
  <c r="A2818" i="2"/>
  <c r="A2819" i="2"/>
  <c r="A2820" i="2"/>
  <c r="A2821" i="2"/>
  <c r="A2822" i="2"/>
  <c r="A2823" i="2"/>
  <c r="A2824" i="2"/>
  <c r="A2825" i="2"/>
  <c r="A2826" i="2"/>
  <c r="A2827" i="2"/>
  <c r="A2828" i="2"/>
  <c r="A2829" i="2"/>
  <c r="A2830" i="2"/>
  <c r="A2831" i="2"/>
  <c r="A2832" i="2"/>
  <c r="A2833" i="2"/>
  <c r="A2834" i="2"/>
  <c r="A2835" i="2"/>
  <c r="A2836" i="2"/>
  <c r="A2837" i="2"/>
  <c r="A2838" i="2"/>
  <c r="A2839" i="2"/>
  <c r="A2840" i="2"/>
  <c r="A2841" i="2"/>
  <c r="A2842" i="2"/>
  <c r="A2843" i="2"/>
  <c r="A2844" i="2"/>
  <c r="A2845" i="2"/>
  <c r="A2846" i="2"/>
  <c r="A2847" i="2"/>
  <c r="A2848" i="2"/>
  <c r="A2849" i="2"/>
  <c r="A2850" i="2"/>
  <c r="A2851" i="2"/>
  <c r="A2852" i="2"/>
  <c r="A2853" i="2"/>
  <c r="A2854" i="2"/>
  <c r="A2855" i="2"/>
  <c r="A2856" i="2"/>
  <c r="A2857" i="2"/>
  <c r="A2858" i="2"/>
  <c r="A2859" i="2"/>
  <c r="A2860" i="2"/>
  <c r="A2861" i="2"/>
  <c r="A2862" i="2"/>
  <c r="A2863" i="2"/>
  <c r="A2864" i="2"/>
  <c r="A2865" i="2"/>
  <c r="A2866" i="2"/>
  <c r="A2867" i="2"/>
  <c r="A2868" i="2"/>
  <c r="A2869" i="2"/>
  <c r="A2870" i="2"/>
  <c r="A2871" i="2"/>
  <c r="A2872" i="2"/>
  <c r="A2873" i="2"/>
  <c r="A2874" i="2"/>
  <c r="A2875" i="2"/>
  <c r="A2876" i="2"/>
  <c r="A2877" i="2"/>
  <c r="A2878" i="2"/>
  <c r="A2879" i="2"/>
  <c r="A2880" i="2"/>
  <c r="A2881" i="2"/>
  <c r="A2882" i="2"/>
  <c r="A2883" i="2"/>
  <c r="A2884" i="2"/>
  <c r="A2885" i="2"/>
  <c r="A2886" i="2"/>
  <c r="A2887" i="2"/>
  <c r="A2888" i="2"/>
  <c r="A2889" i="2"/>
  <c r="A2890" i="2"/>
  <c r="A2891" i="2"/>
  <c r="A2892" i="2"/>
  <c r="A2893" i="2"/>
  <c r="A2894" i="2"/>
  <c r="A2895" i="2"/>
  <c r="A2896" i="2"/>
  <c r="A2897" i="2"/>
  <c r="A2898" i="2"/>
  <c r="A2899" i="2"/>
  <c r="A2900" i="2"/>
  <c r="A2901" i="2"/>
  <c r="A2902" i="2"/>
  <c r="A2903" i="2"/>
  <c r="A2904" i="2"/>
  <c r="A2905" i="2"/>
  <c r="A2906" i="2"/>
  <c r="A2907" i="2"/>
  <c r="A2908" i="2"/>
  <c r="A2909" i="2"/>
  <c r="A2910" i="2"/>
  <c r="A2911" i="2"/>
  <c r="A2912" i="2"/>
  <c r="A2913" i="2"/>
  <c r="A2914" i="2"/>
  <c r="A2915" i="2"/>
  <c r="A2916" i="2"/>
  <c r="A2917" i="2"/>
  <c r="A2918" i="2"/>
  <c r="A2919" i="2"/>
  <c r="A2920" i="2"/>
  <c r="A2921" i="2"/>
  <c r="A2922" i="2"/>
  <c r="A2923" i="2"/>
  <c r="A2924" i="2"/>
  <c r="A2925" i="2"/>
  <c r="A2926" i="2"/>
  <c r="A2927" i="2"/>
  <c r="A2928" i="2"/>
  <c r="A2929" i="2"/>
  <c r="A2930" i="2"/>
  <c r="A2931" i="2"/>
  <c r="A2932" i="2"/>
  <c r="A2933" i="2"/>
  <c r="A2934" i="2"/>
  <c r="A2935" i="2"/>
  <c r="A2936" i="2"/>
  <c r="A2937" i="2"/>
  <c r="A2938" i="2"/>
  <c r="A2939" i="2"/>
  <c r="A2940" i="2"/>
  <c r="A2941" i="2"/>
  <c r="A2942" i="2"/>
  <c r="A2943" i="2"/>
  <c r="A2944" i="2"/>
  <c r="A2945" i="2"/>
  <c r="A2946" i="2"/>
  <c r="A2947" i="2"/>
  <c r="A2948" i="2"/>
  <c r="A2949" i="2"/>
  <c r="A2950" i="2"/>
  <c r="A2951" i="2"/>
  <c r="A2952" i="2"/>
  <c r="A2953" i="2"/>
  <c r="A2954" i="2"/>
  <c r="A2955" i="2"/>
  <c r="A2956" i="2"/>
  <c r="A2957" i="2"/>
  <c r="A2958" i="2"/>
  <c r="A2959" i="2"/>
  <c r="A2960" i="2"/>
  <c r="A2961" i="2"/>
  <c r="A2962" i="2"/>
  <c r="A2963" i="2"/>
  <c r="A2964" i="2"/>
  <c r="A2965" i="2"/>
  <c r="A2966" i="2"/>
  <c r="A2967" i="2"/>
  <c r="A2968" i="2"/>
  <c r="A2969" i="2"/>
  <c r="A2970" i="2"/>
  <c r="A2971" i="2"/>
  <c r="A2972" i="2"/>
  <c r="A2973" i="2"/>
  <c r="A2974" i="2"/>
  <c r="A2975" i="2"/>
  <c r="A2976" i="2"/>
  <c r="A2977" i="2"/>
  <c r="A2978" i="2"/>
  <c r="A2979" i="2"/>
  <c r="A2980" i="2"/>
  <c r="A2981" i="2"/>
  <c r="A2982" i="2"/>
  <c r="A2983" i="2"/>
  <c r="A2984" i="2"/>
  <c r="A2985" i="2"/>
  <c r="A2986" i="2"/>
  <c r="A2987" i="2"/>
  <c r="A2988" i="2"/>
  <c r="A2989" i="2"/>
  <c r="A2990" i="2"/>
  <c r="A2991" i="2"/>
  <c r="A2992" i="2"/>
  <c r="A2993" i="2"/>
  <c r="A2994" i="2"/>
  <c r="A2995" i="2"/>
  <c r="A2996" i="2"/>
  <c r="A2997" i="2"/>
  <c r="A2998" i="2"/>
  <c r="A2999" i="2"/>
  <c r="A3000" i="2"/>
  <c r="A3001" i="2"/>
  <c r="A2" i="2"/>
  <c r="C6" i="3" l="1"/>
  <c r="B10" i="3" s="1"/>
  <c r="C14" i="3"/>
  <c r="B14" i="3"/>
</calcChain>
</file>

<file path=xl/sharedStrings.xml><?xml version="1.0" encoding="utf-8"?>
<sst xmlns="http://schemas.openxmlformats.org/spreadsheetml/2006/main" count="9056" uniqueCount="54">
  <si>
    <t>Case_ID</t>
  </si>
  <si>
    <t>Date_Received</t>
  </si>
  <si>
    <t>Department</t>
  </si>
  <si>
    <t>Complexity_Score</t>
  </si>
  <si>
    <t>AI_Assisted</t>
  </si>
  <si>
    <t>Turnaround_Time_Hours</t>
  </si>
  <si>
    <t>Amendment_Required</t>
  </si>
  <si>
    <t>Clinician_ID</t>
  </si>
  <si>
    <t>AI_Concordance</t>
  </si>
  <si>
    <t>Radiology</t>
  </si>
  <si>
    <t>Cardiology</t>
  </si>
  <si>
    <t>Pathology</t>
  </si>
  <si>
    <t>Oncology</t>
  </si>
  <si>
    <t>MD_20</t>
  </si>
  <si>
    <t>MD_11</t>
  </si>
  <si>
    <t>MD_14</t>
  </si>
  <si>
    <t>MD_12</t>
  </si>
  <si>
    <t>MD_07</t>
  </si>
  <si>
    <t>MD_19</t>
  </si>
  <si>
    <t>MD_18</t>
  </si>
  <si>
    <t>MD_17</t>
  </si>
  <si>
    <t>MD_02</t>
  </si>
  <si>
    <t>MD_16</t>
  </si>
  <si>
    <t>MD_03</t>
  </si>
  <si>
    <t>MD_15</t>
  </si>
  <si>
    <t>MD_04</t>
  </si>
  <si>
    <t>MD_10</t>
  </si>
  <si>
    <t>MD_08</t>
  </si>
  <si>
    <t>MD_13</t>
  </si>
  <si>
    <t>MD_01</t>
  </si>
  <si>
    <t>MD_06</t>
  </si>
  <si>
    <t>MD_09</t>
  </si>
  <si>
    <t>MD_05</t>
  </si>
  <si>
    <t>N/A</t>
  </si>
  <si>
    <t>Agreed</t>
  </si>
  <si>
    <t>Disagreed</t>
  </si>
  <si>
    <t>KPI 1: Total Cases</t>
  </si>
  <si>
    <t>Before AI:</t>
  </si>
  <si>
    <t>After AI:</t>
  </si>
  <si>
    <t>KPI 3: TAT Improvement %</t>
  </si>
  <si>
    <t>KPI 2: Average Turnaround Time</t>
  </si>
  <si>
    <t xml:space="preserve">AI reduced turnaround time by: </t>
  </si>
  <si>
    <t>KPI 4: Error Reduction</t>
  </si>
  <si>
    <t>Row Labels</t>
  </si>
  <si>
    <t>FALSE</t>
  </si>
  <si>
    <t>TRUE</t>
  </si>
  <si>
    <t>Grand Total</t>
  </si>
  <si>
    <t>Average of Turnaround_Time_Hours</t>
  </si>
  <si>
    <t>Count of Amendment_Required</t>
  </si>
  <si>
    <t>AI Impact on Turnaround Time</t>
  </si>
  <si>
    <t>Error Reduction</t>
  </si>
  <si>
    <t>Column Labels</t>
  </si>
  <si>
    <t>Department Performance</t>
  </si>
  <si>
    <t>Count of Case_ID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</si>
</sst>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sz val="11"/>
      <name val="Aptos Narrow"/>
      <family val="2"/>
      <scheme val="minor"/>
    </font>
  </fonts>
  <fills count="4">
    <fill>
      <patternFill patternType="none"/>
    </fill>
    <fill>
      <patternFill patternType="gray125"/>
    </fill>
    <fill>
      <patternFill patternType="solid">
        <fgColor rgb="FF0F9ED5"/>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2" fontId="0" fillId="0" borderId="0" xfId="0" applyNumberFormat="1"/>
    <xf numFmtId="9" fontId="0" fillId="0" borderId="0" xfId="1" applyFont="1"/>
    <xf numFmtId="0" fontId="2" fillId="0" borderId="0" xfId="0" applyFont="1"/>
    <xf numFmtId="0" fontId="0" fillId="0" borderId="0" xfId="0" pivotButton="1"/>
    <xf numFmtId="0" fontId="0" fillId="0" borderId="0" xfId="0" applyAlignment="1">
      <alignment horizontal="left"/>
    </xf>
    <xf numFmtId="0" fontId="3" fillId="0" borderId="0" xfId="0" applyFont="1" applyAlignment="1">
      <alignment vertical="center"/>
    </xf>
    <xf numFmtId="0" fontId="0" fillId="2" borderId="0" xfId="0" applyFill="1"/>
    <xf numFmtId="0" fontId="4" fillId="2" borderId="0" xfId="0" applyFont="1" applyFill="1"/>
    <xf numFmtId="0" fontId="0" fillId="0" borderId="0" xfId="0" applyNumberFormat="1"/>
    <xf numFmtId="0" fontId="0" fillId="3" borderId="0" xfId="0" applyFill="1"/>
    <xf numFmtId="0" fontId="4" fillId="3" borderId="0" xfId="0" applyFont="1" applyFill="1"/>
  </cellXfs>
  <cellStyles count="2">
    <cellStyle name="Normal" xfId="0" builtinId="0"/>
    <cellStyle name="Percent" xfId="1" builtinId="5"/>
  </cellStyles>
  <dxfs count="14">
    <dxf>
      <numFmt numFmtId="165" formatCode="0.00000000"/>
    </dxf>
    <dxf>
      <numFmt numFmtId="2" formatCode="0.00"/>
    </dxf>
    <dxf>
      <numFmt numFmtId="165" formatCode="0.00000000"/>
    </dxf>
    <dxf>
      <numFmt numFmtId="2" formatCode="0.00"/>
    </dxf>
    <dxf>
      <numFmt numFmtId="165" formatCode="0.00000000"/>
    </dxf>
    <dxf>
      <numFmt numFmtId="2" formatCode="0.00"/>
    </dxf>
    <dxf>
      <numFmt numFmtId="165" formatCode="0.00000000"/>
    </dxf>
    <dxf>
      <numFmt numFmtId="2" formatCode="0.00"/>
    </dxf>
    <dxf>
      <numFmt numFmtId="165" formatCode="0.00000000"/>
    </dxf>
    <dxf>
      <numFmt numFmtId="2" formatCode="0.00"/>
    </dxf>
    <dxf>
      <numFmt numFmtId="165" formatCode="0.00000000"/>
    </dxf>
    <dxf>
      <numFmt numFmtId="2" formatCode="0.00"/>
    </dxf>
    <dxf>
      <numFmt numFmtId="165" formatCode="0.00000000"/>
    </dxf>
    <dxf>
      <numFmt numFmtId="164" formatCode="0.0000000"/>
    </dxf>
  </dxfs>
  <tableStyles count="0" defaultTableStyle="TableStyleMedium2" defaultPivotStyle="PivotStyleLight16"/>
  <colors>
    <mruColors>
      <color rgb="FF0F9E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[AI_Healthcare_Dashboard.xlsx]Pivot_Tables!PivotTable1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a:t>
            </a:r>
            <a:r>
              <a:rPr lang="en-US" baseline="0"/>
              <a:t> Reduced Diagnostic Turnaround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Pivot_Tables!$A$4:$A$6</c:f>
              <c:strCache>
                <c:ptCount val="2"/>
                <c:pt idx="0">
                  <c:v>FALSE</c:v>
                </c:pt>
                <c:pt idx="1">
                  <c:v>TRUE</c:v>
                </c:pt>
              </c:strCache>
            </c:strRef>
          </c:cat>
          <c:val>
            <c:numRef>
              <c:f>Pivot_Tables!$B$4:$B$6</c:f>
              <c:numCache>
                <c:formatCode>0.00</c:formatCode>
                <c:ptCount val="2"/>
                <c:pt idx="0">
                  <c:v>19.049569922848043</c:v>
                </c:pt>
                <c:pt idx="1">
                  <c:v>9.6597440840707396</c:v>
                </c:pt>
              </c:numCache>
            </c:numRef>
          </c:val>
          <c:extLst>
            <c:ext xmlns:c16="http://schemas.microsoft.com/office/drawing/2014/chart" uri="{C3380CC4-5D6E-409C-BE32-E72D297353CC}">
              <c16:uniqueId val="{00000000-C875-44BE-99ED-667A0BFF559C}"/>
            </c:ext>
          </c:extLst>
        </c:ser>
        <c:dLbls>
          <c:showLegendKey val="0"/>
          <c:showVal val="0"/>
          <c:showCatName val="0"/>
          <c:showSerName val="0"/>
          <c:showPercent val="0"/>
          <c:showBubbleSize val="0"/>
        </c:dLbls>
        <c:gapWidth val="219"/>
        <c:overlap val="-27"/>
        <c:axId val="1697446224"/>
        <c:axId val="1697458224"/>
      </c:barChart>
      <c:catAx>
        <c:axId val="1697446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AI</a:t>
                </a:r>
                <a:r>
                  <a:rPr lang="en-US" baseline="0"/>
                  <a:t> Assisted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458224"/>
        <c:crosses val="autoZero"/>
        <c:auto val="1"/>
        <c:lblAlgn val="ctr"/>
        <c:lblOffset val="100"/>
        <c:noMultiLvlLbl val="0"/>
      </c:catAx>
      <c:valAx>
        <c:axId val="1697458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TAT </a:t>
                </a:r>
                <a:r>
                  <a:rPr lang="en-US" baseline="0"/>
                  <a:t>(hr)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44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[AI_Healthcare_Dashboard.xlsx]Pivot_Tables!PivotTable3</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Department Performance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Pivot_Tables!$H$3:$H$4</c:f>
              <c:strCache>
                <c:ptCount val="1"/>
                <c:pt idx="0">
                  <c:v>FALSE</c:v>
                </c:pt>
              </c:strCache>
            </c:strRef>
          </c:tx>
          <c:spPr>
            <a:solidFill>
              <a:schemeClr val="accent2"/>
            </a:solidFill>
            <a:ln>
              <a:noFill/>
            </a:ln>
            <a:effectLst/>
            <a:scene3d>
              <a:camera prst="orthographicFront"/>
              <a:lightRig rig="brightRoom" dir="t"/>
            </a:scene3d>
            <a:sp3d prstMaterial="flat">
              <a:bevelT w="50800" h="101600" prst="angle"/>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Pivot_Tables!$G$5:$G$9</c:f>
              <c:strCache>
                <c:ptCount val="4"/>
                <c:pt idx="0">
                  <c:v>Cardiology</c:v>
                </c:pt>
                <c:pt idx="1">
                  <c:v>Oncology</c:v>
                </c:pt>
                <c:pt idx="2">
                  <c:v>Pathology</c:v>
                </c:pt>
                <c:pt idx="3">
                  <c:v>Radiology</c:v>
                </c:pt>
              </c:strCache>
            </c:strRef>
          </c:cat>
          <c:val>
            <c:numRef>
              <c:f>Pivot_Tables!$H$5:$H$9</c:f>
              <c:numCache>
                <c:formatCode>0.00</c:formatCode>
                <c:ptCount val="4"/>
                <c:pt idx="0">
                  <c:v>19.212278652701908</c:v>
                </c:pt>
                <c:pt idx="1">
                  <c:v>18.275327429045486</c:v>
                </c:pt>
                <c:pt idx="2">
                  <c:v>19.577188433695916</c:v>
                </c:pt>
                <c:pt idx="3">
                  <c:v>19.224983071771881</c:v>
                </c:pt>
              </c:numCache>
            </c:numRef>
          </c:val>
          <c:extLst>
            <c:ext xmlns:c16="http://schemas.microsoft.com/office/drawing/2014/chart" uri="{C3380CC4-5D6E-409C-BE32-E72D297353CC}">
              <c16:uniqueId val="{00000008-E548-4EBC-AD03-BCA9D12AC3ED}"/>
            </c:ext>
          </c:extLst>
        </c:ser>
        <c:ser>
          <c:idx val="1"/>
          <c:order val="1"/>
          <c:tx>
            <c:strRef>
              <c:f>Pivot_Tables!$I$3:$I$4</c:f>
              <c:strCache>
                <c:ptCount val="1"/>
                <c:pt idx="0">
                  <c:v>TRUE</c:v>
                </c:pt>
              </c:strCache>
            </c:strRef>
          </c:tx>
          <c:spPr>
            <a:solidFill>
              <a:schemeClr val="accent4"/>
            </a:solidFill>
            <a:ln>
              <a:noFill/>
            </a:ln>
            <a:effectLst/>
            <a:scene3d>
              <a:camera prst="orthographicFront"/>
              <a:lightRig rig="brightRoom" dir="t"/>
            </a:scene3d>
            <a:sp3d prstMaterial="flat">
              <a:bevelT w="50800" h="101600" prst="angle"/>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Pivot_Tables!$G$5:$G$9</c:f>
              <c:strCache>
                <c:ptCount val="4"/>
                <c:pt idx="0">
                  <c:v>Cardiology</c:v>
                </c:pt>
                <c:pt idx="1">
                  <c:v>Oncology</c:v>
                </c:pt>
                <c:pt idx="2">
                  <c:v>Pathology</c:v>
                </c:pt>
                <c:pt idx="3">
                  <c:v>Radiology</c:v>
                </c:pt>
              </c:strCache>
            </c:strRef>
          </c:cat>
          <c:val>
            <c:numRef>
              <c:f>Pivot_Tables!$I$5:$I$9</c:f>
              <c:numCache>
                <c:formatCode>0.00</c:formatCode>
                <c:ptCount val="4"/>
                <c:pt idx="0">
                  <c:v>9.5640571423021896</c:v>
                </c:pt>
                <c:pt idx="1">
                  <c:v>9.184505189343021</c:v>
                </c:pt>
                <c:pt idx="2">
                  <c:v>9.7360434317697617</c:v>
                </c:pt>
                <c:pt idx="3">
                  <c:v>10.118861431655306</c:v>
                </c:pt>
              </c:numCache>
            </c:numRef>
          </c:val>
          <c:extLst>
            <c:ext xmlns:c16="http://schemas.microsoft.com/office/drawing/2014/chart" uri="{C3380CC4-5D6E-409C-BE32-E72D297353CC}">
              <c16:uniqueId val="{00000001-587A-4D6E-ACFF-E82A668943E8}"/>
            </c:ext>
          </c:extLst>
        </c:ser>
        <c:dLbls>
          <c:showLegendKey val="0"/>
          <c:showVal val="0"/>
          <c:showCatName val="0"/>
          <c:showSerName val="0"/>
          <c:showPercent val="0"/>
          <c:showBubbleSize val="0"/>
        </c:dLbls>
        <c:gapWidth val="100"/>
        <c:axId val="1748625904"/>
        <c:axId val="1748628304"/>
      </c:barChart>
      <c:valAx>
        <c:axId val="1748628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Average turnaround time (hr)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625904"/>
        <c:crosses val="autoZero"/>
        <c:crossBetween val="between"/>
      </c:valAx>
      <c:catAx>
        <c:axId val="1748625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6283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[AI_Healthcare_Dashboard.xlsx]Pivot_Tables!PivotTable4</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AI Diagnostic Agreement Rate</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Pivot_Tables!$B$11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084-431A-92B4-15F5EB28BE1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084-431A-92B4-15F5EB28BE1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Pivot_Tables!$A$12:$A$14</c:f>
              <c:strCache>
                <c:ptCount val="2"/>
                <c:pt idx="0">
                  <c:v>Agreed</c:v>
                </c:pt>
                <c:pt idx="1">
                  <c:v>Disagreed</c:v>
                </c:pt>
              </c:strCache>
            </c:strRef>
          </c:cat>
          <c:val>
            <c:numRef>
              <c:f>Pivot_Tables!$B$12:$B$14</c:f>
              <c:numCache>
                <c:formatCode>General</c:formatCode>
                <c:ptCount val="2"/>
                <c:pt idx="0">
                  <c:v>1308</c:v>
                </c:pt>
                <c:pt idx="1">
                  <c:v>126</c:v>
                </c:pt>
              </c:numCache>
            </c:numRef>
          </c:val>
          <c:extLst>
            <c:ext xmlns:c16="http://schemas.microsoft.com/office/drawing/2014/chart" uri="{C3380CC4-5D6E-409C-BE32-E72D297353CC}">
              <c16:uniqueId val="{00000007-228C-4014-8A28-0339C1BE30E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[AI_Healthcare_Dashboard.xlsx]Pivot_Tables!PivotTable5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TAT</a:t>
            </a:r>
            <a:r>
              <a:rPr lang="en-US" baseline="0"/>
              <a:t> by Case Complexity by AI Assistance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Pivot_Tables!$B$16:$B$17</c:f>
              <c:strCache>
                <c:ptCount val="1"/>
                <c:pt idx="0">
                  <c:v>FALSE</c:v>
                </c:pt>
              </c:strCache>
            </c:strRef>
          </c:tx>
          <c:spPr>
            <a:solidFill>
              <a:schemeClr val="accent1"/>
            </a:solidFill>
            <a:ln>
              <a:noFill/>
            </a:ln>
            <a:effectLst/>
          </c:spPr>
          <c:invertIfNegative val="0"/>
          <c:cat>
            <c:strRef>
              <c:f>Pivot_Tables!$A$18:$A$23</c:f>
              <c:strCache>
                <c:ptCount val="5"/>
                <c:pt idx="0">
                  <c:v>1</c:v>
                </c:pt>
                <c:pt idx="1">
                  <c:v>2</c:v>
                </c:pt>
                <c:pt idx="2">
                  <c:v>3</c:v>
                </c:pt>
                <c:pt idx="3">
                  <c:v>4</c:v>
                </c:pt>
                <c:pt idx="4">
                  <c:v>5</c:v>
                </c:pt>
              </c:strCache>
            </c:strRef>
          </c:cat>
          <c:val>
            <c:numRef>
              <c:f>Pivot_Tables!$B$18:$B$23</c:f>
              <c:numCache>
                <c:formatCode>0.00</c:formatCode>
                <c:ptCount val="5"/>
                <c:pt idx="0">
                  <c:v>18.778257120067757</c:v>
                </c:pt>
                <c:pt idx="1">
                  <c:v>19.456064557665599</c:v>
                </c:pt>
                <c:pt idx="2">
                  <c:v>19.619270255698535</c:v>
                </c:pt>
                <c:pt idx="3">
                  <c:v>18.772923688195363</c:v>
                </c:pt>
                <c:pt idx="4">
                  <c:v>18.693692332306885</c:v>
                </c:pt>
              </c:numCache>
            </c:numRef>
          </c:val>
          <c:extLst>
            <c:ext xmlns:c16="http://schemas.microsoft.com/office/drawing/2014/chart" uri="{C3380CC4-5D6E-409C-BE32-E72D297353CC}">
              <c16:uniqueId val="{00000000-F52B-4EBB-894E-4F8C677F2E73}"/>
            </c:ext>
          </c:extLst>
        </c:ser>
        <c:ser>
          <c:idx val="1"/>
          <c:order val="1"/>
          <c:tx>
            <c:strRef>
              <c:f>Pivot_Tables!$C$16:$C$17</c:f>
              <c:strCache>
                <c:ptCount val="1"/>
                <c:pt idx="0">
                  <c:v>TRUE</c:v>
                </c:pt>
              </c:strCache>
            </c:strRef>
          </c:tx>
          <c:spPr>
            <a:solidFill>
              <a:schemeClr val="accent2"/>
            </a:solidFill>
            <a:ln>
              <a:noFill/>
            </a:ln>
            <a:effectLst/>
          </c:spPr>
          <c:invertIfNegative val="0"/>
          <c:cat>
            <c:strRef>
              <c:f>Pivot_Tables!$A$18:$A$23</c:f>
              <c:strCache>
                <c:ptCount val="5"/>
                <c:pt idx="0">
                  <c:v>1</c:v>
                </c:pt>
                <c:pt idx="1">
                  <c:v>2</c:v>
                </c:pt>
                <c:pt idx="2">
                  <c:v>3</c:v>
                </c:pt>
                <c:pt idx="3">
                  <c:v>4</c:v>
                </c:pt>
                <c:pt idx="4">
                  <c:v>5</c:v>
                </c:pt>
              </c:strCache>
            </c:strRef>
          </c:cat>
          <c:val>
            <c:numRef>
              <c:f>Pivot_Tables!$C$18:$C$23</c:f>
              <c:numCache>
                <c:formatCode>0.00</c:formatCode>
                <c:ptCount val="5"/>
                <c:pt idx="0">
                  <c:v>9.6786293289139511</c:v>
                </c:pt>
                <c:pt idx="1">
                  <c:v>9.6542220857029637</c:v>
                </c:pt>
                <c:pt idx="2">
                  <c:v>9.2738627033258396</c:v>
                </c:pt>
                <c:pt idx="3">
                  <c:v>9.0164608921467675</c:v>
                </c:pt>
                <c:pt idx="4">
                  <c:v>10.672101491547487</c:v>
                </c:pt>
              </c:numCache>
            </c:numRef>
          </c:val>
          <c:extLst>
            <c:ext xmlns:c16="http://schemas.microsoft.com/office/drawing/2014/chart" uri="{C3380CC4-5D6E-409C-BE32-E72D297353CC}">
              <c16:uniqueId val="{00000001-F52B-4EBB-894E-4F8C677F2E73}"/>
            </c:ext>
          </c:extLst>
        </c:ser>
        <c:dLbls>
          <c:showLegendKey val="0"/>
          <c:showVal val="0"/>
          <c:showCatName val="0"/>
          <c:showSerName val="0"/>
          <c:showPercent val="0"/>
          <c:showBubbleSize val="0"/>
        </c:dLbls>
        <c:gapWidth val="219"/>
        <c:overlap val="-27"/>
        <c:axId val="1744182160"/>
        <c:axId val="1744184560"/>
      </c:barChart>
      <c:catAx>
        <c:axId val="1744182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Case Complexity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184560"/>
        <c:crosses val="autoZero"/>
        <c:auto val="1"/>
        <c:lblAlgn val="ctr"/>
        <c:lblOffset val="100"/>
        <c:noMultiLvlLbl val="0"/>
      </c:catAx>
      <c:valAx>
        <c:axId val="1744184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Turnaround Time (hr)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1821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207645</xdr:colOff>
      <xdr:row>0</xdr:row>
      <xdr:rowOff>74294</xdr:rowOff>
    </xdr:from>
    <xdr:to>
      <xdr:col>15</xdr:col>
      <xdr:colOff>64770</xdr:colOff>
      <xdr:row>3</xdr:row>
      <xdr:rowOff>45719</xdr:rowOff>
    </xdr:to>
    <xdr:sp macro="" textlink="">
      <xdr:nvSpPr>
        <xdr:cNvPr id="2" name="TextBox 1">
          <a:extLst>
            <a:ext uri="{FF2B5EF4-FFF2-40B4-BE49-F238E27FC236}">
              <a16:creationId xmlns:a16="http://schemas.microsoft.com/office/drawing/2014/main" id="{222D5CEB-6084-0331-38D2-ADDCC1FD268A}"/>
            </a:ext>
          </a:extLst>
        </xdr:cNvPr>
        <xdr:cNvSpPr txBox="1"/>
      </xdr:nvSpPr>
      <xdr:spPr>
        <a:xfrm>
          <a:off x="3232785" y="74294"/>
          <a:ext cx="5953125" cy="520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latin typeface="Arial" panose="020B0604020202020204" pitchFamily="34" charset="0"/>
              <a:cs typeface="Arial" panose="020B0604020202020204" pitchFamily="34" charset="0"/>
            </a:rPr>
            <a:t>AI Healthcare Analytics Dashboard</a:t>
          </a:r>
        </a:p>
      </xdr:txBody>
    </xdr:sp>
    <xdr:clientData/>
  </xdr:twoCellAnchor>
  <xdr:twoCellAnchor>
    <xdr:from>
      <xdr:col>2</xdr:col>
      <xdr:colOff>95249</xdr:colOff>
      <xdr:row>4</xdr:row>
      <xdr:rowOff>108585</xdr:rowOff>
    </xdr:from>
    <xdr:to>
      <xdr:col>7</xdr:col>
      <xdr:colOff>200025</xdr:colOff>
      <xdr:row>8</xdr:row>
      <xdr:rowOff>177165</xdr:rowOff>
    </xdr:to>
    <xdr:sp macro="" textlink="">
      <xdr:nvSpPr>
        <xdr:cNvPr id="3" name="Rectangle 2">
          <a:extLst>
            <a:ext uri="{FF2B5EF4-FFF2-40B4-BE49-F238E27FC236}">
              <a16:creationId xmlns:a16="http://schemas.microsoft.com/office/drawing/2014/main" id="{3ECC8E95-1584-7A13-BA36-93D3B1EAB5B2}"/>
            </a:ext>
          </a:extLst>
        </xdr:cNvPr>
        <xdr:cNvSpPr/>
      </xdr:nvSpPr>
      <xdr:spPr>
        <a:xfrm>
          <a:off x="1802129" y="840105"/>
          <a:ext cx="2642236" cy="800100"/>
        </a:xfrm>
        <a:prstGeom prst="rect">
          <a:avLst/>
        </a:prstGeom>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800" b="1">
              <a:latin typeface="Arial" panose="020B0604020202020204" pitchFamily="34" charset="0"/>
              <a:cs typeface="Arial" panose="020B0604020202020204" pitchFamily="34" charset="0"/>
            </a:rPr>
            <a:t>Total Cases</a:t>
          </a:r>
        </a:p>
        <a:p>
          <a:pPr algn="ctr"/>
          <a:r>
            <a:rPr lang="en-US" sz="1800" b="1">
              <a:latin typeface="Arial" panose="020B0604020202020204" pitchFamily="34" charset="0"/>
              <a:cs typeface="Arial" panose="020B0604020202020204" pitchFamily="34" charset="0"/>
            </a:rPr>
            <a:t>3,000</a:t>
          </a:r>
        </a:p>
      </xdr:txBody>
    </xdr:sp>
    <xdr:clientData/>
  </xdr:twoCellAnchor>
  <xdr:twoCellAnchor>
    <xdr:from>
      <xdr:col>7</xdr:col>
      <xdr:colOff>373373</xdr:colOff>
      <xdr:row>4</xdr:row>
      <xdr:rowOff>108585</xdr:rowOff>
    </xdr:from>
    <xdr:to>
      <xdr:col>12</xdr:col>
      <xdr:colOff>131396</xdr:colOff>
      <xdr:row>8</xdr:row>
      <xdr:rowOff>165735</xdr:rowOff>
    </xdr:to>
    <xdr:sp macro="" textlink="">
      <xdr:nvSpPr>
        <xdr:cNvPr id="6" name="Rectangle 5">
          <a:extLst>
            <a:ext uri="{FF2B5EF4-FFF2-40B4-BE49-F238E27FC236}">
              <a16:creationId xmlns:a16="http://schemas.microsoft.com/office/drawing/2014/main" id="{A9A9D964-4758-4E7E-A8A0-507BA3B70894}"/>
            </a:ext>
          </a:extLst>
        </xdr:cNvPr>
        <xdr:cNvSpPr/>
      </xdr:nvSpPr>
      <xdr:spPr>
        <a:xfrm>
          <a:off x="4617713" y="840105"/>
          <a:ext cx="2806023" cy="788670"/>
        </a:xfrm>
        <a:prstGeom prst="rect">
          <a:avLst/>
        </a:prstGeom>
        <a:ln>
          <a:noFill/>
        </a:ln>
      </xdr:spPr>
      <xdr:style>
        <a:lnRef idx="2">
          <a:schemeClr val="accent4">
            <a:shade val="15000"/>
          </a:schemeClr>
        </a:lnRef>
        <a:fillRef idx="1">
          <a:schemeClr val="accent4"/>
        </a:fillRef>
        <a:effectRef idx="0">
          <a:schemeClr val="accent4"/>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800" b="1">
              <a:solidFill>
                <a:schemeClr val="lt1"/>
              </a:solidFill>
              <a:latin typeface="Arial" panose="020B0604020202020204" pitchFamily="34" charset="0"/>
              <a:ea typeface="+mn-ea"/>
              <a:cs typeface="Arial" panose="020B0604020202020204" pitchFamily="34" charset="0"/>
            </a:rPr>
            <a:t>TAT Reduction</a:t>
          </a:r>
        </a:p>
        <a:p>
          <a:pPr marL="0" indent="0" algn="ctr"/>
          <a:r>
            <a:rPr lang="en-US" sz="1800" b="1">
              <a:solidFill>
                <a:schemeClr val="lt1"/>
              </a:solidFill>
              <a:latin typeface="Arial" panose="020B0604020202020204" pitchFamily="34" charset="0"/>
              <a:ea typeface="+mn-ea"/>
              <a:cs typeface="Arial" panose="020B0604020202020204" pitchFamily="34" charset="0"/>
            </a:rPr>
            <a:t>49%</a:t>
          </a:r>
        </a:p>
      </xdr:txBody>
    </xdr:sp>
    <xdr:clientData/>
  </xdr:twoCellAnchor>
  <xdr:twoCellAnchor>
    <xdr:from>
      <xdr:col>12</xdr:col>
      <xdr:colOff>268598</xdr:colOff>
      <xdr:row>4</xdr:row>
      <xdr:rowOff>116205</xdr:rowOff>
    </xdr:from>
    <xdr:to>
      <xdr:col>17</xdr:col>
      <xdr:colOff>26621</xdr:colOff>
      <xdr:row>8</xdr:row>
      <xdr:rowOff>163830</xdr:rowOff>
    </xdr:to>
    <xdr:sp macro="" textlink="">
      <xdr:nvSpPr>
        <xdr:cNvPr id="7" name="Rectangle 6">
          <a:extLst>
            <a:ext uri="{FF2B5EF4-FFF2-40B4-BE49-F238E27FC236}">
              <a16:creationId xmlns:a16="http://schemas.microsoft.com/office/drawing/2014/main" id="{0406CB86-A128-4747-AD39-B87E3CA72928}"/>
            </a:ext>
          </a:extLst>
        </xdr:cNvPr>
        <xdr:cNvSpPr/>
      </xdr:nvSpPr>
      <xdr:spPr>
        <a:xfrm>
          <a:off x="7560938" y="847725"/>
          <a:ext cx="2806023" cy="779145"/>
        </a:xfrm>
        <a:prstGeom prst="rect">
          <a:avLst/>
        </a:prstGeom>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800" b="1">
              <a:solidFill>
                <a:schemeClr val="lt1"/>
              </a:solidFill>
              <a:latin typeface="Arial" panose="020B0604020202020204" pitchFamily="34" charset="0"/>
              <a:ea typeface="+mn-ea"/>
              <a:cs typeface="Arial" panose="020B0604020202020204" pitchFamily="34" charset="0"/>
            </a:rPr>
            <a:t>Error</a:t>
          </a:r>
          <a:r>
            <a:rPr lang="en-US" sz="1200" b="1" baseline="0">
              <a:latin typeface="Arial" panose="020B0604020202020204" pitchFamily="34" charset="0"/>
              <a:cs typeface="Arial" panose="020B0604020202020204" pitchFamily="34" charset="0"/>
            </a:rPr>
            <a:t> </a:t>
          </a:r>
          <a:r>
            <a:rPr lang="en-US" sz="2000" b="1">
              <a:solidFill>
                <a:schemeClr val="lt1"/>
              </a:solidFill>
              <a:latin typeface="Arial" panose="020B0604020202020204" pitchFamily="34" charset="0"/>
              <a:ea typeface="+mn-ea"/>
              <a:cs typeface="Arial" panose="020B0604020202020204" pitchFamily="34" charset="0"/>
            </a:rPr>
            <a:t>Reduction</a:t>
          </a:r>
        </a:p>
        <a:p>
          <a:pPr algn="ctr"/>
          <a:r>
            <a:rPr lang="en-US" sz="2000" b="1" baseline="0">
              <a:latin typeface="Arial" panose="020B0604020202020204" pitchFamily="34" charset="0"/>
              <a:cs typeface="Arial" panose="020B0604020202020204" pitchFamily="34" charset="0"/>
            </a:rPr>
            <a:t>1%</a:t>
          </a:r>
          <a:endParaRPr lang="en-US" sz="2000" b="1">
            <a:latin typeface="Arial" panose="020B0604020202020204" pitchFamily="34" charset="0"/>
            <a:cs typeface="Arial" panose="020B0604020202020204" pitchFamily="34" charset="0"/>
          </a:endParaRPr>
        </a:p>
      </xdr:txBody>
    </xdr:sp>
    <xdr:clientData/>
  </xdr:twoCellAnchor>
  <xdr:twoCellAnchor>
    <xdr:from>
      <xdr:col>2</xdr:col>
      <xdr:colOff>96207</xdr:colOff>
      <xdr:row>9</xdr:row>
      <xdr:rowOff>114300</xdr:rowOff>
    </xdr:from>
    <xdr:to>
      <xdr:col>9</xdr:col>
      <xdr:colOff>400050</xdr:colOff>
      <xdr:row>24</xdr:row>
      <xdr:rowOff>0</xdr:rowOff>
    </xdr:to>
    <xdr:graphicFrame macro="">
      <xdr:nvGraphicFramePr>
        <xdr:cNvPr id="8" name="Chart 7">
          <a:extLst>
            <a:ext uri="{FF2B5EF4-FFF2-40B4-BE49-F238E27FC236}">
              <a16:creationId xmlns:a16="http://schemas.microsoft.com/office/drawing/2014/main" id="{3710E7FC-FFC5-4C49-9D32-255B87A6A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541020</xdr:colOff>
      <xdr:row>9</xdr:row>
      <xdr:rowOff>114300</xdr:rowOff>
    </xdr:from>
    <xdr:to>
      <xdr:col>17</xdr:col>
      <xdr:colOff>19050</xdr:colOff>
      <xdr:row>24</xdr:row>
      <xdr:rowOff>0</xdr:rowOff>
    </xdr:to>
    <xdr:graphicFrame macro="">
      <xdr:nvGraphicFramePr>
        <xdr:cNvPr id="9" name="Chart 8">
          <a:extLst>
            <a:ext uri="{FF2B5EF4-FFF2-40B4-BE49-F238E27FC236}">
              <a16:creationId xmlns:a16="http://schemas.microsoft.com/office/drawing/2014/main" id="{D66AD306-8E4B-4BCC-AA78-B99E8B14C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57150</xdr:colOff>
      <xdr:row>8</xdr:row>
      <xdr:rowOff>161925</xdr:rowOff>
    </xdr:from>
    <xdr:to>
      <xdr:col>1</xdr:col>
      <xdr:colOff>990600</xdr:colOff>
      <xdr:row>17</xdr:row>
      <xdr:rowOff>85725</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0EC1742E-4B1E-4A2A-A416-03C3ED703CC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7150" y="1624965"/>
              <a:ext cx="1543050" cy="1569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17</xdr:row>
      <xdr:rowOff>177166</xdr:rowOff>
    </xdr:from>
    <xdr:to>
      <xdr:col>1</xdr:col>
      <xdr:colOff>1000125</xdr:colOff>
      <xdr:row>23</xdr:row>
      <xdr:rowOff>120016</xdr:rowOff>
    </xdr:to>
    <mc:AlternateContent xmlns:mc="http://schemas.openxmlformats.org/markup-compatibility/2006">
      <mc:Choice xmlns:a14="http://schemas.microsoft.com/office/drawing/2010/main" Requires="a14">
        <xdr:graphicFrame macro="">
          <xdr:nvGraphicFramePr>
            <xdr:cNvPr id="12" name="AI_Assisted">
              <a:extLst>
                <a:ext uri="{FF2B5EF4-FFF2-40B4-BE49-F238E27FC236}">
                  <a16:creationId xmlns:a16="http://schemas.microsoft.com/office/drawing/2014/main" id="{064A71CF-E703-44EE-9386-B09DEA7E504D}"/>
                </a:ext>
              </a:extLst>
            </xdr:cNvPr>
            <xdr:cNvGraphicFramePr/>
          </xdr:nvGraphicFramePr>
          <xdr:xfrm>
            <a:off x="0" y="0"/>
            <a:ext cx="0" cy="0"/>
          </xdr:xfrm>
          <a:graphic>
            <a:graphicData uri="http://schemas.microsoft.com/office/drawing/2010/slicer">
              <sle:slicer xmlns:sle="http://schemas.microsoft.com/office/drawing/2010/slicer" name="AI_Assisted"/>
            </a:graphicData>
          </a:graphic>
        </xdr:graphicFrame>
      </mc:Choice>
      <mc:Fallback>
        <xdr:sp macro="" textlink="">
          <xdr:nvSpPr>
            <xdr:cNvPr id="0" name=""/>
            <xdr:cNvSpPr>
              <a:spLocks noTextEdit="1"/>
            </xdr:cNvSpPr>
          </xdr:nvSpPr>
          <xdr:spPr>
            <a:xfrm>
              <a:off x="66675" y="3286126"/>
              <a:ext cx="1543050" cy="1040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xdr:colOff>
      <xdr:row>24</xdr:row>
      <xdr:rowOff>104775</xdr:rowOff>
    </xdr:from>
    <xdr:to>
      <xdr:col>9</xdr:col>
      <xdr:colOff>388620</xdr:colOff>
      <xdr:row>38</xdr:row>
      <xdr:rowOff>173355</xdr:rowOff>
    </xdr:to>
    <xdr:graphicFrame macro="">
      <xdr:nvGraphicFramePr>
        <xdr:cNvPr id="4" name="Chart 3">
          <a:extLst>
            <a:ext uri="{FF2B5EF4-FFF2-40B4-BE49-F238E27FC236}">
              <a16:creationId xmlns:a16="http://schemas.microsoft.com/office/drawing/2014/main" id="{B2B7E841-123E-4912-84B1-72434BE08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533400</xdr:colOff>
      <xdr:row>24</xdr:row>
      <xdr:rowOff>129540</xdr:rowOff>
    </xdr:from>
    <xdr:to>
      <xdr:col>17</xdr:col>
      <xdr:colOff>22860</xdr:colOff>
      <xdr:row>38</xdr:row>
      <xdr:rowOff>160020</xdr:rowOff>
    </xdr:to>
    <xdr:graphicFrame macro="">
      <xdr:nvGraphicFramePr>
        <xdr:cNvPr id="5" name="Chart 4">
          <a:extLst>
            <a:ext uri="{FF2B5EF4-FFF2-40B4-BE49-F238E27FC236}">
              <a16:creationId xmlns:a16="http://schemas.microsoft.com/office/drawing/2014/main" id="{DEB53C07-BAC2-44D2-BC72-8E3E34035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24</xdr:row>
      <xdr:rowOff>22860</xdr:rowOff>
    </xdr:from>
    <xdr:to>
      <xdr:col>1</xdr:col>
      <xdr:colOff>990600</xdr:colOff>
      <xdr:row>33</xdr:row>
      <xdr:rowOff>30480</xdr:rowOff>
    </xdr:to>
    <mc:AlternateContent xmlns:mc="http://schemas.openxmlformats.org/markup-compatibility/2006">
      <mc:Choice xmlns:tsle="http://schemas.microsoft.com/office/drawing/2012/timeslicer" Requires="tsle">
        <xdr:graphicFrame macro="">
          <xdr:nvGraphicFramePr>
            <xdr:cNvPr id="10" name="Date_Received">
              <a:extLst>
                <a:ext uri="{FF2B5EF4-FFF2-40B4-BE49-F238E27FC236}">
                  <a16:creationId xmlns:a16="http://schemas.microsoft.com/office/drawing/2014/main" id="{5A0D874D-560A-4143-97FD-D149261B36C6}"/>
                </a:ext>
              </a:extLst>
            </xdr:cNvPr>
            <xdr:cNvGraphicFramePr/>
          </xdr:nvGraphicFramePr>
          <xdr:xfrm>
            <a:off x="0" y="0"/>
            <a:ext cx="0" cy="0"/>
          </xdr:xfrm>
          <a:graphic>
            <a:graphicData uri="http://schemas.microsoft.com/office/drawing/2012/timeslicer">
              <tsle:timeslicer xmlns:tsle="http://schemas.microsoft.com/office/drawing/2012/timeslicer" name="Date_Received"/>
            </a:graphicData>
          </a:graphic>
        </xdr:graphicFrame>
      </mc:Choice>
      <mc:Fallback>
        <xdr:sp macro="" textlink="">
          <xdr:nvSpPr>
            <xdr:cNvPr id="0" name=""/>
            <xdr:cNvSpPr>
              <a:spLocks noTextEdit="1"/>
            </xdr:cNvSpPr>
          </xdr:nvSpPr>
          <xdr:spPr>
            <a:xfrm>
              <a:off x="60960" y="4411980"/>
              <a:ext cx="1539240" cy="16535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g,Yu-ju" refreshedDate="46195.749777662037" createdVersion="8" refreshedVersion="8" minRefreshableVersion="3" recordCount="3000" xr:uid="{53174A80-6A88-496F-8F81-17EA04361E2A}">
  <cacheSource type="worksheet">
    <worksheetSource ref="A1:I3001" sheet="Raw_Data"/>
  </cacheSource>
  <cacheFields count="9">
    <cacheField name="Case_ID" numFmtId="0">
      <sharedItems count="3000">
        <s v="CASE-0001"/>
        <s v="CASE-0002"/>
        <s v="CASE-0003"/>
        <s v="CASE-0004"/>
        <s v="CASE-0005"/>
        <s v="CASE-0006"/>
        <s v="CASE-0007"/>
        <s v="CASE-0008"/>
        <s v="CASE-0009"/>
        <s v="CASE-0010"/>
        <s v="CASE-0011"/>
        <s v="CASE-0012"/>
        <s v="CASE-0013"/>
        <s v="CASE-0014"/>
        <s v="CASE-0015"/>
        <s v="CASE-0016"/>
        <s v="CASE-0017"/>
        <s v="CASE-0018"/>
        <s v="CASE-0019"/>
        <s v="CASE-0020"/>
        <s v="CASE-0021"/>
        <s v="CASE-0022"/>
        <s v="CASE-0023"/>
        <s v="CASE-0024"/>
        <s v="CASE-0025"/>
        <s v="CASE-0026"/>
        <s v="CASE-0027"/>
        <s v="CASE-0028"/>
        <s v="CASE-0029"/>
        <s v="CASE-0030"/>
        <s v="CASE-0031"/>
        <s v="CASE-0032"/>
        <s v="CASE-0033"/>
        <s v="CASE-0034"/>
        <s v="CASE-0035"/>
        <s v="CASE-0036"/>
        <s v="CASE-0037"/>
        <s v="CASE-0038"/>
        <s v="CASE-0039"/>
        <s v="CASE-0040"/>
        <s v="CASE-0041"/>
        <s v="CASE-0042"/>
        <s v="CASE-0043"/>
        <s v="CASE-0044"/>
        <s v="CASE-0045"/>
        <s v="CASE-0046"/>
        <s v="CASE-0047"/>
        <s v="CASE-0048"/>
        <s v="CASE-0049"/>
        <s v="CASE-0050"/>
        <s v="CASE-0051"/>
        <s v="CASE-0052"/>
        <s v="CASE-0053"/>
        <s v="CASE-0054"/>
        <s v="CASE-0055"/>
        <s v="CASE-0056"/>
        <s v="CASE-0057"/>
        <s v="CASE-0058"/>
        <s v="CASE-0059"/>
        <s v="CASE-0060"/>
        <s v="CASE-0061"/>
        <s v="CASE-0062"/>
        <s v="CASE-0063"/>
        <s v="CASE-0064"/>
        <s v="CASE-0065"/>
        <s v="CASE-0066"/>
        <s v="CASE-0067"/>
        <s v="CASE-0068"/>
        <s v="CASE-0069"/>
        <s v="CASE-0070"/>
        <s v="CASE-0071"/>
        <s v="CASE-0072"/>
        <s v="CASE-0073"/>
        <s v="CASE-0074"/>
        <s v="CASE-0075"/>
        <s v="CASE-0076"/>
        <s v="CASE-0077"/>
        <s v="CASE-0078"/>
        <s v="CASE-0079"/>
        <s v="CASE-0080"/>
        <s v="CASE-0081"/>
        <s v="CASE-0082"/>
        <s v="CASE-0083"/>
        <s v="CASE-0084"/>
        <s v="CASE-0085"/>
        <s v="CASE-0086"/>
        <s v="CASE-0087"/>
        <s v="CASE-0088"/>
        <s v="CASE-0089"/>
        <s v="CASE-0090"/>
        <s v="CASE-0091"/>
        <s v="CASE-0092"/>
        <s v="CASE-0093"/>
        <s v="CASE-0094"/>
        <s v="CASE-0095"/>
        <s v="CASE-0096"/>
        <s v="CASE-0097"/>
        <s v="CASE-0098"/>
        <s v="CASE-0099"/>
        <s v="CASE-0100"/>
        <s v="CASE-0101"/>
        <s v="CASE-0102"/>
        <s v="CASE-0103"/>
        <s v="CASE-0104"/>
        <s v="CASE-0105"/>
        <s v="CASE-0106"/>
        <s v="CASE-0107"/>
        <s v="CASE-0108"/>
        <s v="CASE-0109"/>
        <s v="CASE-0110"/>
        <s v="CASE-0111"/>
        <s v="CASE-0112"/>
        <s v="CASE-0113"/>
        <s v="CASE-0114"/>
        <s v="CASE-0115"/>
        <s v="CASE-0116"/>
        <s v="CASE-0117"/>
        <s v="CASE-0118"/>
        <s v="CASE-0119"/>
        <s v="CASE-0120"/>
        <s v="CASE-0121"/>
        <s v="CASE-0122"/>
        <s v="CASE-0123"/>
        <s v="CASE-0124"/>
        <s v="CASE-0125"/>
        <s v="CASE-0126"/>
        <s v="CASE-0127"/>
        <s v="CASE-0128"/>
        <s v="CASE-0129"/>
        <s v="CASE-0130"/>
        <s v="CASE-0131"/>
        <s v="CASE-0132"/>
        <s v="CASE-0133"/>
        <s v="CASE-0134"/>
        <s v="CASE-0135"/>
        <s v="CASE-0136"/>
        <s v="CASE-0137"/>
        <s v="CASE-0138"/>
        <s v="CASE-0139"/>
        <s v="CASE-0140"/>
        <s v="CASE-0141"/>
        <s v="CASE-0142"/>
        <s v="CASE-0143"/>
        <s v="CASE-0144"/>
        <s v="CASE-0145"/>
        <s v="CASE-0146"/>
        <s v="CASE-0147"/>
        <s v="CASE-0148"/>
        <s v="CASE-0149"/>
        <s v="CASE-0150"/>
        <s v="CASE-0151"/>
        <s v="CASE-0152"/>
        <s v="CASE-0153"/>
        <s v="CASE-0154"/>
        <s v="CASE-0155"/>
        <s v="CASE-0156"/>
        <s v="CASE-0157"/>
        <s v="CASE-0158"/>
        <s v="CASE-0159"/>
        <s v="CASE-0160"/>
        <s v="CASE-0161"/>
        <s v="CASE-0162"/>
        <s v="CASE-0163"/>
        <s v="CASE-0164"/>
        <s v="CASE-0165"/>
        <s v="CASE-0166"/>
        <s v="CASE-0167"/>
        <s v="CASE-0168"/>
        <s v="CASE-0169"/>
        <s v="CASE-0170"/>
        <s v="CASE-0171"/>
        <s v="CASE-0172"/>
        <s v="CASE-0173"/>
        <s v="CASE-0174"/>
        <s v="CASE-0175"/>
        <s v="CASE-0176"/>
        <s v="CASE-0177"/>
        <s v="CASE-0178"/>
        <s v="CASE-0179"/>
        <s v="CASE-0180"/>
        <s v="CASE-0181"/>
        <s v="CASE-0182"/>
        <s v="CASE-0183"/>
        <s v="CASE-0184"/>
        <s v="CASE-0185"/>
        <s v="CASE-0186"/>
        <s v="CASE-0187"/>
        <s v="CASE-0188"/>
        <s v="CASE-0189"/>
        <s v="CASE-0190"/>
        <s v="CASE-0191"/>
        <s v="CASE-0192"/>
        <s v="CASE-0193"/>
        <s v="CASE-0194"/>
        <s v="CASE-0195"/>
        <s v="CASE-0196"/>
        <s v="CASE-0197"/>
        <s v="CASE-0198"/>
        <s v="CASE-0199"/>
        <s v="CASE-0200"/>
        <s v="CASE-0201"/>
        <s v="CASE-0202"/>
        <s v="CASE-0203"/>
        <s v="CASE-0204"/>
        <s v="CASE-0205"/>
        <s v="CASE-0206"/>
        <s v="CASE-0207"/>
        <s v="CASE-0208"/>
        <s v="CASE-0209"/>
        <s v="CASE-0210"/>
        <s v="CASE-0211"/>
        <s v="CASE-0212"/>
        <s v="CASE-0213"/>
        <s v="CASE-0214"/>
        <s v="CASE-0215"/>
        <s v="CASE-0216"/>
        <s v="CASE-0217"/>
        <s v="CASE-0218"/>
        <s v="CASE-0219"/>
        <s v="CASE-0220"/>
        <s v="CASE-0221"/>
        <s v="CASE-0222"/>
        <s v="CASE-0223"/>
        <s v="CASE-0224"/>
        <s v="CASE-0225"/>
        <s v="CASE-0226"/>
        <s v="CASE-0227"/>
        <s v="CASE-0228"/>
        <s v="CASE-0229"/>
        <s v="CASE-0230"/>
        <s v="CASE-0231"/>
        <s v="CASE-0232"/>
        <s v="CASE-0233"/>
        <s v="CASE-0234"/>
        <s v="CASE-0235"/>
        <s v="CASE-0236"/>
        <s v="CASE-0237"/>
        <s v="CASE-0238"/>
        <s v="CASE-0239"/>
        <s v="CASE-0240"/>
        <s v="CASE-0241"/>
        <s v="CASE-0242"/>
        <s v="CASE-0243"/>
        <s v="CASE-0244"/>
        <s v="CASE-0245"/>
        <s v="CASE-0246"/>
        <s v="CASE-0247"/>
        <s v="CASE-0248"/>
        <s v="CASE-0249"/>
        <s v="CASE-0250"/>
        <s v="CASE-0251"/>
        <s v="CASE-0252"/>
        <s v="CASE-0253"/>
        <s v="CASE-0254"/>
        <s v="CASE-0255"/>
        <s v="CASE-0256"/>
        <s v="CASE-0257"/>
        <s v="CASE-0258"/>
        <s v="CASE-0259"/>
        <s v="CASE-0260"/>
        <s v="CASE-0261"/>
        <s v="CASE-0262"/>
        <s v="CASE-0263"/>
        <s v="CASE-0264"/>
        <s v="CASE-0265"/>
        <s v="CASE-0266"/>
        <s v="CASE-0267"/>
        <s v="CASE-0268"/>
        <s v="CASE-0269"/>
        <s v="CASE-0270"/>
        <s v="CASE-0271"/>
        <s v="CASE-0272"/>
        <s v="CASE-0273"/>
        <s v="CASE-0274"/>
        <s v="CASE-0275"/>
        <s v="CASE-0276"/>
        <s v="CASE-0277"/>
        <s v="CASE-0278"/>
        <s v="CASE-0279"/>
        <s v="CASE-0280"/>
        <s v="CASE-0281"/>
        <s v="CASE-0282"/>
        <s v="CASE-0283"/>
        <s v="CASE-0284"/>
        <s v="CASE-0285"/>
        <s v="CASE-0286"/>
        <s v="CASE-0287"/>
        <s v="CASE-0288"/>
        <s v="CASE-0289"/>
        <s v="CASE-0290"/>
        <s v="CASE-0291"/>
        <s v="CASE-0292"/>
        <s v="CASE-0293"/>
        <s v="CASE-0294"/>
        <s v="CASE-0295"/>
        <s v="CASE-0296"/>
        <s v="CASE-0297"/>
        <s v="CASE-0298"/>
        <s v="CASE-0299"/>
        <s v="CASE-0300"/>
        <s v="CASE-0301"/>
        <s v="CASE-0302"/>
        <s v="CASE-0303"/>
        <s v="CASE-0304"/>
        <s v="CASE-0305"/>
        <s v="CASE-0306"/>
        <s v="CASE-0307"/>
        <s v="CASE-0308"/>
        <s v="CASE-0309"/>
        <s v="CASE-0310"/>
        <s v="CASE-0311"/>
        <s v="CASE-0312"/>
        <s v="CASE-0313"/>
        <s v="CASE-0314"/>
        <s v="CASE-0315"/>
        <s v="CASE-0316"/>
        <s v="CASE-0317"/>
        <s v="CASE-0318"/>
        <s v="CASE-0319"/>
        <s v="CASE-0320"/>
        <s v="CASE-0321"/>
        <s v="CASE-0322"/>
        <s v="CASE-0323"/>
        <s v="CASE-0324"/>
        <s v="CASE-0325"/>
        <s v="CASE-0326"/>
        <s v="CASE-0327"/>
        <s v="CASE-0328"/>
        <s v="CASE-0329"/>
        <s v="CASE-0330"/>
        <s v="CASE-0331"/>
        <s v="CASE-0332"/>
        <s v="CASE-0333"/>
        <s v="CASE-0334"/>
        <s v="CASE-0335"/>
        <s v="CASE-0336"/>
        <s v="CASE-0337"/>
        <s v="CASE-0338"/>
        <s v="CASE-0339"/>
        <s v="CASE-0340"/>
        <s v="CASE-0341"/>
        <s v="CASE-0342"/>
        <s v="CASE-0343"/>
        <s v="CASE-0344"/>
        <s v="CASE-0345"/>
        <s v="CASE-0346"/>
        <s v="CASE-0347"/>
        <s v="CASE-0348"/>
        <s v="CASE-0349"/>
        <s v="CASE-0350"/>
        <s v="CASE-0351"/>
        <s v="CASE-0352"/>
        <s v="CASE-0353"/>
        <s v="CASE-0354"/>
        <s v="CASE-0355"/>
        <s v="CASE-0356"/>
        <s v="CASE-0357"/>
        <s v="CASE-0358"/>
        <s v="CASE-0359"/>
        <s v="CASE-0360"/>
        <s v="CASE-0361"/>
        <s v="CASE-0362"/>
        <s v="CASE-0363"/>
        <s v="CASE-0364"/>
        <s v="CASE-0365"/>
        <s v="CASE-0366"/>
        <s v="CASE-0367"/>
        <s v="CASE-0368"/>
        <s v="CASE-0369"/>
        <s v="CASE-0370"/>
        <s v="CASE-0371"/>
        <s v="CASE-0372"/>
        <s v="CASE-0373"/>
        <s v="CASE-0374"/>
        <s v="CASE-0375"/>
        <s v="CASE-0376"/>
        <s v="CASE-0377"/>
        <s v="CASE-0378"/>
        <s v="CASE-0379"/>
        <s v="CASE-0380"/>
        <s v="CASE-0381"/>
        <s v="CASE-0382"/>
        <s v="CASE-0383"/>
        <s v="CASE-0384"/>
        <s v="CASE-0385"/>
        <s v="CASE-0386"/>
        <s v="CASE-0387"/>
        <s v="CASE-0388"/>
        <s v="CASE-0389"/>
        <s v="CASE-0390"/>
        <s v="CASE-0391"/>
        <s v="CASE-0392"/>
        <s v="CASE-0393"/>
        <s v="CASE-0394"/>
        <s v="CASE-0395"/>
        <s v="CASE-0396"/>
        <s v="CASE-0397"/>
        <s v="CASE-0398"/>
        <s v="CASE-0399"/>
        <s v="CASE-0400"/>
        <s v="CASE-0401"/>
        <s v="CASE-0402"/>
        <s v="CASE-0403"/>
        <s v="CASE-0404"/>
        <s v="CASE-0405"/>
        <s v="CASE-0406"/>
        <s v="CASE-0407"/>
        <s v="CASE-0408"/>
        <s v="CASE-0409"/>
        <s v="CASE-0410"/>
        <s v="CASE-0411"/>
        <s v="CASE-0412"/>
        <s v="CASE-0413"/>
        <s v="CASE-0414"/>
        <s v="CASE-0415"/>
        <s v="CASE-0416"/>
        <s v="CASE-0417"/>
        <s v="CASE-0418"/>
        <s v="CASE-0419"/>
        <s v="CASE-0420"/>
        <s v="CASE-0421"/>
        <s v="CASE-0422"/>
        <s v="CASE-0423"/>
        <s v="CASE-0424"/>
        <s v="CASE-0425"/>
        <s v="CASE-0426"/>
        <s v="CASE-0427"/>
        <s v="CASE-0428"/>
        <s v="CASE-0429"/>
        <s v="CASE-0430"/>
        <s v="CASE-0431"/>
        <s v="CASE-0432"/>
        <s v="CASE-0433"/>
        <s v="CASE-0434"/>
        <s v="CASE-0435"/>
        <s v="CASE-0436"/>
        <s v="CASE-0437"/>
        <s v="CASE-0438"/>
        <s v="CASE-0439"/>
        <s v="CASE-0440"/>
        <s v="CASE-0441"/>
        <s v="CASE-0442"/>
        <s v="CASE-0443"/>
        <s v="CASE-0444"/>
        <s v="CASE-0445"/>
        <s v="CASE-0446"/>
        <s v="CASE-0447"/>
        <s v="CASE-0448"/>
        <s v="CASE-0449"/>
        <s v="CASE-0450"/>
        <s v="CASE-0451"/>
        <s v="CASE-0452"/>
        <s v="CASE-0453"/>
        <s v="CASE-0454"/>
        <s v="CASE-0455"/>
        <s v="CASE-0456"/>
        <s v="CASE-0457"/>
        <s v="CASE-0458"/>
        <s v="CASE-0459"/>
        <s v="CASE-0460"/>
        <s v="CASE-0461"/>
        <s v="CASE-0462"/>
        <s v="CASE-0463"/>
        <s v="CASE-0464"/>
        <s v="CASE-0465"/>
        <s v="CASE-0466"/>
        <s v="CASE-0467"/>
        <s v="CASE-0468"/>
        <s v="CASE-0469"/>
        <s v="CASE-0470"/>
        <s v="CASE-0471"/>
        <s v="CASE-0472"/>
        <s v="CASE-0473"/>
        <s v="CASE-0474"/>
        <s v="CASE-0475"/>
        <s v="CASE-0476"/>
        <s v="CASE-0477"/>
        <s v="CASE-0478"/>
        <s v="CASE-0479"/>
        <s v="CASE-0480"/>
        <s v="CASE-0481"/>
        <s v="CASE-0482"/>
        <s v="CASE-0483"/>
        <s v="CASE-0484"/>
        <s v="CASE-0485"/>
        <s v="CASE-0486"/>
        <s v="CASE-0487"/>
        <s v="CASE-0488"/>
        <s v="CASE-0489"/>
        <s v="CASE-0490"/>
        <s v="CASE-0491"/>
        <s v="CASE-0492"/>
        <s v="CASE-0493"/>
        <s v="CASE-0494"/>
        <s v="CASE-0495"/>
        <s v="CASE-0496"/>
        <s v="CASE-0497"/>
        <s v="CASE-0498"/>
        <s v="CASE-0499"/>
        <s v="CASE-0500"/>
        <s v="CASE-0501"/>
        <s v="CASE-0502"/>
        <s v="CASE-0503"/>
        <s v="CASE-0504"/>
        <s v="CASE-0505"/>
        <s v="CASE-0506"/>
        <s v="CASE-0507"/>
        <s v="CASE-0508"/>
        <s v="CASE-0509"/>
        <s v="CASE-0510"/>
        <s v="CASE-0511"/>
        <s v="CASE-0512"/>
        <s v="CASE-0513"/>
        <s v="CASE-0514"/>
        <s v="CASE-0515"/>
        <s v="CASE-0516"/>
        <s v="CASE-0517"/>
        <s v="CASE-0518"/>
        <s v="CASE-0519"/>
        <s v="CASE-0520"/>
        <s v="CASE-0521"/>
        <s v="CASE-0522"/>
        <s v="CASE-0523"/>
        <s v="CASE-0524"/>
        <s v="CASE-0525"/>
        <s v="CASE-0526"/>
        <s v="CASE-0527"/>
        <s v="CASE-0528"/>
        <s v="CASE-0529"/>
        <s v="CASE-0530"/>
        <s v="CASE-0531"/>
        <s v="CASE-0532"/>
        <s v="CASE-0533"/>
        <s v="CASE-0534"/>
        <s v="CASE-0535"/>
        <s v="CASE-0536"/>
        <s v="CASE-0537"/>
        <s v="CASE-0538"/>
        <s v="CASE-0539"/>
        <s v="CASE-0540"/>
        <s v="CASE-0541"/>
        <s v="CASE-0542"/>
        <s v="CASE-0543"/>
        <s v="CASE-0544"/>
        <s v="CASE-0545"/>
        <s v="CASE-0546"/>
        <s v="CASE-0547"/>
        <s v="CASE-0548"/>
        <s v="CASE-0549"/>
        <s v="CASE-0550"/>
        <s v="CASE-0551"/>
        <s v="CASE-0552"/>
        <s v="CASE-0553"/>
        <s v="CASE-0554"/>
        <s v="CASE-0555"/>
        <s v="CASE-0556"/>
        <s v="CASE-0557"/>
        <s v="CASE-0558"/>
        <s v="CASE-0559"/>
        <s v="CASE-0560"/>
        <s v="CASE-0561"/>
        <s v="CASE-0562"/>
        <s v="CASE-0563"/>
        <s v="CASE-0564"/>
        <s v="CASE-0565"/>
        <s v="CASE-0566"/>
        <s v="CASE-0567"/>
        <s v="CASE-0568"/>
        <s v="CASE-0569"/>
        <s v="CASE-0570"/>
        <s v="CASE-0571"/>
        <s v="CASE-0572"/>
        <s v="CASE-0573"/>
        <s v="CASE-0574"/>
        <s v="CASE-0575"/>
        <s v="CASE-0576"/>
        <s v="CASE-0577"/>
        <s v="CASE-0578"/>
        <s v="CASE-0579"/>
        <s v="CASE-0580"/>
        <s v="CASE-0581"/>
        <s v="CASE-0582"/>
        <s v="CASE-0583"/>
        <s v="CASE-0584"/>
        <s v="CASE-0585"/>
        <s v="CASE-0586"/>
        <s v="CASE-0587"/>
        <s v="CASE-0588"/>
        <s v="CASE-0589"/>
        <s v="CASE-0590"/>
        <s v="CASE-0591"/>
        <s v="CASE-0592"/>
        <s v="CASE-0593"/>
        <s v="CASE-0594"/>
        <s v="CASE-0595"/>
        <s v="CASE-0596"/>
        <s v="CASE-0597"/>
        <s v="CASE-0598"/>
        <s v="CASE-0599"/>
        <s v="CASE-0600"/>
        <s v="CASE-0601"/>
        <s v="CASE-0602"/>
        <s v="CASE-0603"/>
        <s v="CASE-0604"/>
        <s v="CASE-0605"/>
        <s v="CASE-0606"/>
        <s v="CASE-0607"/>
        <s v="CASE-0608"/>
        <s v="CASE-0609"/>
        <s v="CASE-0610"/>
        <s v="CASE-0611"/>
        <s v="CASE-0612"/>
        <s v="CASE-0613"/>
        <s v="CASE-0614"/>
        <s v="CASE-0615"/>
        <s v="CASE-0616"/>
        <s v="CASE-0617"/>
        <s v="CASE-0618"/>
        <s v="CASE-0619"/>
        <s v="CASE-0620"/>
        <s v="CASE-0621"/>
        <s v="CASE-0622"/>
        <s v="CASE-0623"/>
        <s v="CASE-0624"/>
        <s v="CASE-0625"/>
        <s v="CASE-0626"/>
        <s v="CASE-0627"/>
        <s v="CASE-0628"/>
        <s v="CASE-0629"/>
        <s v="CASE-0630"/>
        <s v="CASE-0631"/>
        <s v="CASE-0632"/>
        <s v="CASE-0633"/>
        <s v="CASE-0634"/>
        <s v="CASE-0635"/>
        <s v="CASE-0636"/>
        <s v="CASE-0637"/>
        <s v="CASE-0638"/>
        <s v="CASE-0639"/>
        <s v="CASE-0640"/>
        <s v="CASE-0641"/>
        <s v="CASE-0642"/>
        <s v="CASE-0643"/>
        <s v="CASE-0644"/>
        <s v="CASE-0645"/>
        <s v="CASE-0646"/>
        <s v="CASE-0647"/>
        <s v="CASE-0648"/>
        <s v="CASE-0649"/>
        <s v="CASE-0650"/>
        <s v="CASE-0651"/>
        <s v="CASE-0652"/>
        <s v="CASE-0653"/>
        <s v="CASE-0654"/>
        <s v="CASE-0655"/>
        <s v="CASE-0656"/>
        <s v="CASE-0657"/>
        <s v="CASE-0658"/>
        <s v="CASE-0659"/>
        <s v="CASE-0660"/>
        <s v="CASE-0661"/>
        <s v="CASE-0662"/>
        <s v="CASE-0663"/>
        <s v="CASE-0664"/>
        <s v="CASE-0665"/>
        <s v="CASE-0666"/>
        <s v="CASE-0667"/>
        <s v="CASE-0668"/>
        <s v="CASE-0669"/>
        <s v="CASE-0670"/>
        <s v="CASE-0671"/>
        <s v="CASE-0672"/>
        <s v="CASE-0673"/>
        <s v="CASE-0674"/>
        <s v="CASE-0675"/>
        <s v="CASE-0676"/>
        <s v="CASE-0677"/>
        <s v="CASE-0678"/>
        <s v="CASE-0679"/>
        <s v="CASE-0680"/>
        <s v="CASE-0681"/>
        <s v="CASE-0682"/>
        <s v="CASE-0683"/>
        <s v="CASE-0684"/>
        <s v="CASE-0685"/>
        <s v="CASE-0686"/>
        <s v="CASE-0687"/>
        <s v="CASE-0688"/>
        <s v="CASE-0689"/>
        <s v="CASE-0690"/>
        <s v="CASE-0691"/>
        <s v="CASE-0692"/>
        <s v="CASE-0693"/>
        <s v="CASE-0694"/>
        <s v="CASE-0695"/>
        <s v="CASE-0696"/>
        <s v="CASE-0697"/>
        <s v="CASE-0698"/>
        <s v="CASE-0699"/>
        <s v="CASE-0700"/>
        <s v="CASE-0701"/>
        <s v="CASE-0702"/>
        <s v="CASE-0703"/>
        <s v="CASE-0704"/>
        <s v="CASE-0705"/>
        <s v="CASE-0706"/>
        <s v="CASE-0707"/>
        <s v="CASE-0708"/>
        <s v="CASE-0709"/>
        <s v="CASE-0710"/>
        <s v="CASE-0711"/>
        <s v="CASE-0712"/>
        <s v="CASE-0713"/>
        <s v="CASE-0714"/>
        <s v="CASE-0715"/>
        <s v="CASE-0716"/>
        <s v="CASE-0717"/>
        <s v="CASE-0718"/>
        <s v="CASE-0719"/>
        <s v="CASE-0720"/>
        <s v="CASE-0721"/>
        <s v="CASE-0722"/>
        <s v="CASE-0723"/>
        <s v="CASE-0724"/>
        <s v="CASE-0725"/>
        <s v="CASE-0726"/>
        <s v="CASE-0727"/>
        <s v="CASE-0728"/>
        <s v="CASE-0729"/>
        <s v="CASE-0730"/>
        <s v="CASE-0731"/>
        <s v="CASE-0732"/>
        <s v="CASE-0733"/>
        <s v="CASE-0734"/>
        <s v="CASE-0735"/>
        <s v="CASE-0736"/>
        <s v="CASE-0737"/>
        <s v="CASE-0738"/>
        <s v="CASE-0739"/>
        <s v="CASE-0740"/>
        <s v="CASE-0741"/>
        <s v="CASE-0742"/>
        <s v="CASE-0743"/>
        <s v="CASE-0744"/>
        <s v="CASE-0745"/>
        <s v="CASE-0746"/>
        <s v="CASE-0747"/>
        <s v="CASE-0748"/>
        <s v="CASE-0749"/>
        <s v="CASE-0750"/>
        <s v="CASE-0751"/>
        <s v="CASE-0752"/>
        <s v="CASE-0753"/>
        <s v="CASE-0754"/>
        <s v="CASE-0755"/>
        <s v="CASE-0756"/>
        <s v="CASE-0757"/>
        <s v="CASE-0758"/>
        <s v="CASE-0759"/>
        <s v="CASE-0760"/>
        <s v="CASE-0761"/>
        <s v="CASE-0762"/>
        <s v="CASE-0763"/>
        <s v="CASE-0764"/>
        <s v="CASE-0765"/>
        <s v="CASE-0766"/>
        <s v="CASE-0767"/>
        <s v="CASE-0768"/>
        <s v="CASE-0769"/>
        <s v="CASE-0770"/>
        <s v="CASE-0771"/>
        <s v="CASE-0772"/>
        <s v="CASE-0773"/>
        <s v="CASE-0774"/>
        <s v="CASE-0775"/>
        <s v="CASE-0776"/>
        <s v="CASE-0777"/>
        <s v="CASE-0778"/>
        <s v="CASE-0779"/>
        <s v="CASE-0780"/>
        <s v="CASE-0781"/>
        <s v="CASE-0782"/>
        <s v="CASE-0783"/>
        <s v="CASE-0784"/>
        <s v="CASE-0785"/>
        <s v="CASE-0786"/>
        <s v="CASE-0787"/>
        <s v="CASE-0788"/>
        <s v="CASE-0789"/>
        <s v="CASE-0790"/>
        <s v="CASE-0791"/>
        <s v="CASE-0792"/>
        <s v="CASE-0793"/>
        <s v="CASE-0794"/>
        <s v="CASE-0795"/>
        <s v="CASE-0796"/>
        <s v="CASE-0797"/>
        <s v="CASE-0798"/>
        <s v="CASE-0799"/>
        <s v="CASE-0800"/>
        <s v="CASE-0801"/>
        <s v="CASE-0802"/>
        <s v="CASE-0803"/>
        <s v="CASE-0804"/>
        <s v="CASE-0805"/>
        <s v="CASE-0806"/>
        <s v="CASE-0807"/>
        <s v="CASE-0808"/>
        <s v="CASE-0809"/>
        <s v="CASE-0810"/>
        <s v="CASE-0811"/>
        <s v="CASE-0812"/>
        <s v="CASE-0813"/>
        <s v="CASE-0814"/>
        <s v="CASE-0815"/>
        <s v="CASE-0816"/>
        <s v="CASE-0817"/>
        <s v="CASE-0818"/>
        <s v="CASE-0819"/>
        <s v="CASE-0820"/>
        <s v="CASE-0821"/>
        <s v="CASE-0822"/>
        <s v="CASE-0823"/>
        <s v="CASE-0824"/>
        <s v="CASE-0825"/>
        <s v="CASE-0826"/>
        <s v="CASE-0827"/>
        <s v="CASE-0828"/>
        <s v="CASE-0829"/>
        <s v="CASE-0830"/>
        <s v="CASE-0831"/>
        <s v="CASE-0832"/>
        <s v="CASE-0833"/>
        <s v="CASE-0834"/>
        <s v="CASE-0835"/>
        <s v="CASE-0836"/>
        <s v="CASE-0837"/>
        <s v="CASE-0838"/>
        <s v="CASE-0839"/>
        <s v="CASE-0840"/>
        <s v="CASE-0841"/>
        <s v="CASE-0842"/>
        <s v="CASE-0843"/>
        <s v="CASE-0844"/>
        <s v="CASE-0845"/>
        <s v="CASE-0846"/>
        <s v="CASE-0847"/>
        <s v="CASE-0848"/>
        <s v="CASE-0849"/>
        <s v="CASE-0850"/>
        <s v="CASE-0851"/>
        <s v="CASE-0852"/>
        <s v="CASE-0853"/>
        <s v="CASE-0854"/>
        <s v="CASE-0855"/>
        <s v="CASE-0856"/>
        <s v="CASE-0857"/>
        <s v="CASE-0858"/>
        <s v="CASE-0859"/>
        <s v="CASE-0860"/>
        <s v="CASE-0861"/>
        <s v="CASE-0862"/>
        <s v="CASE-0863"/>
        <s v="CASE-0864"/>
        <s v="CASE-0865"/>
        <s v="CASE-0866"/>
        <s v="CASE-0867"/>
        <s v="CASE-0868"/>
        <s v="CASE-0869"/>
        <s v="CASE-0870"/>
        <s v="CASE-0871"/>
        <s v="CASE-0872"/>
        <s v="CASE-0873"/>
        <s v="CASE-0874"/>
        <s v="CASE-0875"/>
        <s v="CASE-0876"/>
        <s v="CASE-0877"/>
        <s v="CASE-0878"/>
        <s v="CASE-0879"/>
        <s v="CASE-0880"/>
        <s v="CASE-0881"/>
        <s v="CASE-0882"/>
        <s v="CASE-0883"/>
        <s v="CASE-0884"/>
        <s v="CASE-0885"/>
        <s v="CASE-0886"/>
        <s v="CASE-0887"/>
        <s v="CASE-0888"/>
        <s v="CASE-0889"/>
        <s v="CASE-0890"/>
        <s v="CASE-0891"/>
        <s v="CASE-0892"/>
        <s v="CASE-0893"/>
        <s v="CASE-0894"/>
        <s v="CASE-0895"/>
        <s v="CASE-0896"/>
        <s v="CASE-0897"/>
        <s v="CASE-0898"/>
        <s v="CASE-0899"/>
        <s v="CASE-0900"/>
        <s v="CASE-0901"/>
        <s v="CASE-0902"/>
        <s v="CASE-0903"/>
        <s v="CASE-0904"/>
        <s v="CASE-0905"/>
        <s v="CASE-0906"/>
        <s v="CASE-0907"/>
        <s v="CASE-0908"/>
        <s v="CASE-0909"/>
        <s v="CASE-0910"/>
        <s v="CASE-0911"/>
        <s v="CASE-0912"/>
        <s v="CASE-0913"/>
        <s v="CASE-0914"/>
        <s v="CASE-0915"/>
        <s v="CASE-0916"/>
        <s v="CASE-0917"/>
        <s v="CASE-0918"/>
        <s v="CASE-0919"/>
        <s v="CASE-0920"/>
        <s v="CASE-0921"/>
        <s v="CASE-0922"/>
        <s v="CASE-0923"/>
        <s v="CASE-0924"/>
        <s v="CASE-0925"/>
        <s v="CASE-0926"/>
        <s v="CASE-0927"/>
        <s v="CASE-0928"/>
        <s v="CASE-0929"/>
        <s v="CASE-0930"/>
        <s v="CASE-0931"/>
        <s v="CASE-0932"/>
        <s v="CASE-0933"/>
        <s v="CASE-0934"/>
        <s v="CASE-0935"/>
        <s v="CASE-0936"/>
        <s v="CASE-0937"/>
        <s v="CASE-0938"/>
        <s v="CASE-0939"/>
        <s v="CASE-0940"/>
        <s v="CASE-0941"/>
        <s v="CASE-0942"/>
        <s v="CASE-0943"/>
        <s v="CASE-0944"/>
        <s v="CASE-0945"/>
        <s v="CASE-0946"/>
        <s v="CASE-0947"/>
        <s v="CASE-0948"/>
        <s v="CASE-0949"/>
        <s v="CASE-0950"/>
        <s v="CASE-0951"/>
        <s v="CASE-0952"/>
        <s v="CASE-0953"/>
        <s v="CASE-0954"/>
        <s v="CASE-0955"/>
        <s v="CASE-0956"/>
        <s v="CASE-0957"/>
        <s v="CASE-0958"/>
        <s v="CASE-0959"/>
        <s v="CASE-0960"/>
        <s v="CASE-0961"/>
        <s v="CASE-0962"/>
        <s v="CASE-0963"/>
        <s v="CASE-0964"/>
        <s v="CASE-0965"/>
        <s v="CASE-0966"/>
        <s v="CASE-0967"/>
        <s v="CASE-0968"/>
        <s v="CASE-0969"/>
        <s v="CASE-0970"/>
        <s v="CASE-0971"/>
        <s v="CASE-0972"/>
        <s v="CASE-0973"/>
        <s v="CASE-0974"/>
        <s v="CASE-0975"/>
        <s v="CASE-0976"/>
        <s v="CASE-0977"/>
        <s v="CASE-0978"/>
        <s v="CASE-0979"/>
        <s v="CASE-0980"/>
        <s v="CASE-0981"/>
        <s v="CASE-0982"/>
        <s v="CASE-0983"/>
        <s v="CASE-0984"/>
        <s v="CASE-0985"/>
        <s v="CASE-0986"/>
        <s v="CASE-0987"/>
        <s v="CASE-0988"/>
        <s v="CASE-0989"/>
        <s v="CASE-0990"/>
        <s v="CASE-0991"/>
        <s v="CASE-0992"/>
        <s v="CASE-0993"/>
        <s v="CASE-0994"/>
        <s v="CASE-0995"/>
        <s v="CASE-0996"/>
        <s v="CASE-0997"/>
        <s v="CASE-0998"/>
        <s v="CASE-0999"/>
        <s v="CASE-1000"/>
        <s v="CASE-1001"/>
        <s v="CASE-1002"/>
        <s v="CASE-1003"/>
        <s v="CASE-1004"/>
        <s v="CASE-1005"/>
        <s v="CASE-1006"/>
        <s v="CASE-1007"/>
        <s v="CASE-1008"/>
        <s v="CASE-1009"/>
        <s v="CASE-1010"/>
        <s v="CASE-1011"/>
        <s v="CASE-1012"/>
        <s v="CASE-1013"/>
        <s v="CASE-1014"/>
        <s v="CASE-1015"/>
        <s v="CASE-1016"/>
        <s v="CASE-1017"/>
        <s v="CASE-1018"/>
        <s v="CASE-1019"/>
        <s v="CASE-1020"/>
        <s v="CASE-1021"/>
        <s v="CASE-1022"/>
        <s v="CASE-1023"/>
        <s v="CASE-1024"/>
        <s v="CASE-1025"/>
        <s v="CASE-1026"/>
        <s v="CASE-1027"/>
        <s v="CASE-1028"/>
        <s v="CASE-1029"/>
        <s v="CASE-1030"/>
        <s v="CASE-1031"/>
        <s v="CASE-1032"/>
        <s v="CASE-1033"/>
        <s v="CASE-1034"/>
        <s v="CASE-1035"/>
        <s v="CASE-1036"/>
        <s v="CASE-1037"/>
        <s v="CASE-1038"/>
        <s v="CASE-1039"/>
        <s v="CASE-1040"/>
        <s v="CASE-1041"/>
        <s v="CASE-1042"/>
        <s v="CASE-1043"/>
        <s v="CASE-1044"/>
        <s v="CASE-1045"/>
        <s v="CASE-1046"/>
        <s v="CASE-1047"/>
        <s v="CASE-1048"/>
        <s v="CASE-1049"/>
        <s v="CASE-1050"/>
        <s v="CASE-1051"/>
        <s v="CASE-1052"/>
        <s v="CASE-1053"/>
        <s v="CASE-1054"/>
        <s v="CASE-1055"/>
        <s v="CASE-1056"/>
        <s v="CASE-1057"/>
        <s v="CASE-1058"/>
        <s v="CASE-1059"/>
        <s v="CASE-1060"/>
        <s v="CASE-1061"/>
        <s v="CASE-1062"/>
        <s v="CASE-1063"/>
        <s v="CASE-1064"/>
        <s v="CASE-1065"/>
        <s v="CASE-1066"/>
        <s v="CASE-1067"/>
        <s v="CASE-1068"/>
        <s v="CASE-1069"/>
        <s v="CASE-1070"/>
        <s v="CASE-1071"/>
        <s v="CASE-1072"/>
        <s v="CASE-1073"/>
        <s v="CASE-1074"/>
        <s v="CASE-1075"/>
        <s v="CASE-1076"/>
        <s v="CASE-1077"/>
        <s v="CASE-1078"/>
        <s v="CASE-1079"/>
        <s v="CASE-1080"/>
        <s v="CASE-1081"/>
        <s v="CASE-1082"/>
        <s v="CASE-1083"/>
        <s v="CASE-1084"/>
        <s v="CASE-1085"/>
        <s v="CASE-1086"/>
        <s v="CASE-1087"/>
        <s v="CASE-1088"/>
        <s v="CASE-1089"/>
        <s v="CASE-1090"/>
        <s v="CASE-1091"/>
        <s v="CASE-1092"/>
        <s v="CASE-1093"/>
        <s v="CASE-1094"/>
        <s v="CASE-1095"/>
        <s v="CASE-1096"/>
        <s v="CASE-1097"/>
        <s v="CASE-1098"/>
        <s v="CASE-1099"/>
        <s v="CASE-1100"/>
        <s v="CASE-1101"/>
        <s v="CASE-1102"/>
        <s v="CASE-1103"/>
        <s v="CASE-1104"/>
        <s v="CASE-1105"/>
        <s v="CASE-1106"/>
        <s v="CASE-1107"/>
        <s v="CASE-1108"/>
        <s v="CASE-1109"/>
        <s v="CASE-1110"/>
        <s v="CASE-1111"/>
        <s v="CASE-1112"/>
        <s v="CASE-1113"/>
        <s v="CASE-1114"/>
        <s v="CASE-1115"/>
        <s v="CASE-1116"/>
        <s v="CASE-1117"/>
        <s v="CASE-1118"/>
        <s v="CASE-1119"/>
        <s v="CASE-1120"/>
        <s v="CASE-1121"/>
        <s v="CASE-1122"/>
        <s v="CASE-1123"/>
        <s v="CASE-1124"/>
        <s v="CASE-1125"/>
        <s v="CASE-1126"/>
        <s v="CASE-1127"/>
        <s v="CASE-1128"/>
        <s v="CASE-1129"/>
        <s v="CASE-1130"/>
        <s v="CASE-1131"/>
        <s v="CASE-1132"/>
        <s v="CASE-1133"/>
        <s v="CASE-1134"/>
        <s v="CASE-1135"/>
        <s v="CASE-1136"/>
        <s v="CASE-1137"/>
        <s v="CASE-1138"/>
        <s v="CASE-1139"/>
        <s v="CASE-1140"/>
        <s v="CASE-1141"/>
        <s v="CASE-1142"/>
        <s v="CASE-1143"/>
        <s v="CASE-1144"/>
        <s v="CASE-1145"/>
        <s v="CASE-1146"/>
        <s v="CASE-1147"/>
        <s v="CASE-1148"/>
        <s v="CASE-1149"/>
        <s v="CASE-1150"/>
        <s v="CASE-1151"/>
        <s v="CASE-1152"/>
        <s v="CASE-1153"/>
        <s v="CASE-1154"/>
        <s v="CASE-1155"/>
        <s v="CASE-1156"/>
        <s v="CASE-1157"/>
        <s v="CASE-1158"/>
        <s v="CASE-1159"/>
        <s v="CASE-1160"/>
        <s v="CASE-1161"/>
        <s v="CASE-1162"/>
        <s v="CASE-1163"/>
        <s v="CASE-1164"/>
        <s v="CASE-1165"/>
        <s v="CASE-1166"/>
        <s v="CASE-1167"/>
        <s v="CASE-1168"/>
        <s v="CASE-1169"/>
        <s v="CASE-1170"/>
        <s v="CASE-1171"/>
        <s v="CASE-1172"/>
        <s v="CASE-1173"/>
        <s v="CASE-1174"/>
        <s v="CASE-1175"/>
        <s v="CASE-1176"/>
        <s v="CASE-1177"/>
        <s v="CASE-1178"/>
        <s v="CASE-1179"/>
        <s v="CASE-1180"/>
        <s v="CASE-1181"/>
        <s v="CASE-1182"/>
        <s v="CASE-1183"/>
        <s v="CASE-1184"/>
        <s v="CASE-1185"/>
        <s v="CASE-1186"/>
        <s v="CASE-1187"/>
        <s v="CASE-1188"/>
        <s v="CASE-1189"/>
        <s v="CASE-1190"/>
        <s v="CASE-1191"/>
        <s v="CASE-1192"/>
        <s v="CASE-1193"/>
        <s v="CASE-1194"/>
        <s v="CASE-1195"/>
        <s v="CASE-1196"/>
        <s v="CASE-1197"/>
        <s v="CASE-1198"/>
        <s v="CASE-1199"/>
        <s v="CASE-1200"/>
        <s v="CASE-1201"/>
        <s v="CASE-1202"/>
        <s v="CASE-1203"/>
        <s v="CASE-1204"/>
        <s v="CASE-1205"/>
        <s v="CASE-1206"/>
        <s v="CASE-1207"/>
        <s v="CASE-1208"/>
        <s v="CASE-1209"/>
        <s v="CASE-1210"/>
        <s v="CASE-1211"/>
        <s v="CASE-1212"/>
        <s v="CASE-1213"/>
        <s v="CASE-1214"/>
        <s v="CASE-1215"/>
        <s v="CASE-1216"/>
        <s v="CASE-1217"/>
        <s v="CASE-1218"/>
        <s v="CASE-1219"/>
        <s v="CASE-1220"/>
        <s v="CASE-1221"/>
        <s v="CASE-1222"/>
        <s v="CASE-1223"/>
        <s v="CASE-1224"/>
        <s v="CASE-1225"/>
        <s v="CASE-1226"/>
        <s v="CASE-1227"/>
        <s v="CASE-1228"/>
        <s v="CASE-1229"/>
        <s v="CASE-1230"/>
        <s v="CASE-1231"/>
        <s v="CASE-1232"/>
        <s v="CASE-1233"/>
        <s v="CASE-1234"/>
        <s v="CASE-1235"/>
        <s v="CASE-1236"/>
        <s v="CASE-1237"/>
        <s v="CASE-1238"/>
        <s v="CASE-1239"/>
        <s v="CASE-1240"/>
        <s v="CASE-1241"/>
        <s v="CASE-1242"/>
        <s v="CASE-1243"/>
        <s v="CASE-1244"/>
        <s v="CASE-1245"/>
        <s v="CASE-1246"/>
        <s v="CASE-1247"/>
        <s v="CASE-1248"/>
        <s v="CASE-1249"/>
        <s v="CASE-1250"/>
        <s v="CASE-1251"/>
        <s v="CASE-1252"/>
        <s v="CASE-1253"/>
        <s v="CASE-1254"/>
        <s v="CASE-1255"/>
        <s v="CASE-1256"/>
        <s v="CASE-1257"/>
        <s v="CASE-1258"/>
        <s v="CASE-1259"/>
        <s v="CASE-1260"/>
        <s v="CASE-1261"/>
        <s v="CASE-1262"/>
        <s v="CASE-1263"/>
        <s v="CASE-1264"/>
        <s v="CASE-1265"/>
        <s v="CASE-1266"/>
        <s v="CASE-1267"/>
        <s v="CASE-1268"/>
        <s v="CASE-1269"/>
        <s v="CASE-1270"/>
        <s v="CASE-1271"/>
        <s v="CASE-1272"/>
        <s v="CASE-1273"/>
        <s v="CASE-1274"/>
        <s v="CASE-1275"/>
        <s v="CASE-1276"/>
        <s v="CASE-1277"/>
        <s v="CASE-1278"/>
        <s v="CASE-1279"/>
        <s v="CASE-1280"/>
        <s v="CASE-1281"/>
        <s v="CASE-1282"/>
        <s v="CASE-1283"/>
        <s v="CASE-1284"/>
        <s v="CASE-1285"/>
        <s v="CASE-1286"/>
        <s v="CASE-1287"/>
        <s v="CASE-1288"/>
        <s v="CASE-1289"/>
        <s v="CASE-1290"/>
        <s v="CASE-1291"/>
        <s v="CASE-1292"/>
        <s v="CASE-1293"/>
        <s v="CASE-1294"/>
        <s v="CASE-1295"/>
        <s v="CASE-1296"/>
        <s v="CASE-1297"/>
        <s v="CASE-1298"/>
        <s v="CASE-1299"/>
        <s v="CASE-1300"/>
        <s v="CASE-1301"/>
        <s v="CASE-1302"/>
        <s v="CASE-1303"/>
        <s v="CASE-1304"/>
        <s v="CASE-1305"/>
        <s v="CASE-1306"/>
        <s v="CASE-1307"/>
        <s v="CASE-1308"/>
        <s v="CASE-1309"/>
        <s v="CASE-1310"/>
        <s v="CASE-1311"/>
        <s v="CASE-1312"/>
        <s v="CASE-1313"/>
        <s v="CASE-1314"/>
        <s v="CASE-1315"/>
        <s v="CASE-1316"/>
        <s v="CASE-1317"/>
        <s v="CASE-1318"/>
        <s v="CASE-1319"/>
        <s v="CASE-1320"/>
        <s v="CASE-1321"/>
        <s v="CASE-1322"/>
        <s v="CASE-1323"/>
        <s v="CASE-1324"/>
        <s v="CASE-1325"/>
        <s v="CASE-1326"/>
        <s v="CASE-1327"/>
        <s v="CASE-1328"/>
        <s v="CASE-1329"/>
        <s v="CASE-1330"/>
        <s v="CASE-1331"/>
        <s v="CASE-1332"/>
        <s v="CASE-1333"/>
        <s v="CASE-1334"/>
        <s v="CASE-1335"/>
        <s v="CASE-1336"/>
        <s v="CASE-1337"/>
        <s v="CASE-1338"/>
        <s v="CASE-1339"/>
        <s v="CASE-1340"/>
        <s v="CASE-1341"/>
        <s v="CASE-1342"/>
        <s v="CASE-1343"/>
        <s v="CASE-1344"/>
        <s v="CASE-1345"/>
        <s v="CASE-1346"/>
        <s v="CASE-1347"/>
        <s v="CASE-1348"/>
        <s v="CASE-1349"/>
        <s v="CASE-1350"/>
        <s v="CASE-1351"/>
        <s v="CASE-1352"/>
        <s v="CASE-1353"/>
        <s v="CASE-1354"/>
        <s v="CASE-1355"/>
        <s v="CASE-1356"/>
        <s v="CASE-1357"/>
        <s v="CASE-1358"/>
        <s v="CASE-1359"/>
        <s v="CASE-1360"/>
        <s v="CASE-1361"/>
        <s v="CASE-1362"/>
        <s v="CASE-1363"/>
        <s v="CASE-1364"/>
        <s v="CASE-1365"/>
        <s v="CASE-1366"/>
        <s v="CASE-1367"/>
        <s v="CASE-1368"/>
        <s v="CASE-1369"/>
        <s v="CASE-1370"/>
        <s v="CASE-1371"/>
        <s v="CASE-1372"/>
        <s v="CASE-1373"/>
        <s v="CASE-1374"/>
        <s v="CASE-1375"/>
        <s v="CASE-1376"/>
        <s v="CASE-1377"/>
        <s v="CASE-1378"/>
        <s v="CASE-1379"/>
        <s v="CASE-1380"/>
        <s v="CASE-1381"/>
        <s v="CASE-1382"/>
        <s v="CASE-1383"/>
        <s v="CASE-1384"/>
        <s v="CASE-1385"/>
        <s v="CASE-1386"/>
        <s v="CASE-1387"/>
        <s v="CASE-1388"/>
        <s v="CASE-1389"/>
        <s v="CASE-1390"/>
        <s v="CASE-1391"/>
        <s v="CASE-1392"/>
        <s v="CASE-1393"/>
        <s v="CASE-1394"/>
        <s v="CASE-1395"/>
        <s v="CASE-1396"/>
        <s v="CASE-1397"/>
        <s v="CASE-1398"/>
        <s v="CASE-1399"/>
        <s v="CASE-1400"/>
        <s v="CASE-1401"/>
        <s v="CASE-1402"/>
        <s v="CASE-1403"/>
        <s v="CASE-1404"/>
        <s v="CASE-1405"/>
        <s v="CASE-1406"/>
        <s v="CASE-1407"/>
        <s v="CASE-1408"/>
        <s v="CASE-1409"/>
        <s v="CASE-1410"/>
        <s v="CASE-1411"/>
        <s v="CASE-1412"/>
        <s v="CASE-1413"/>
        <s v="CASE-1414"/>
        <s v="CASE-1415"/>
        <s v="CASE-1416"/>
        <s v="CASE-1417"/>
        <s v="CASE-1418"/>
        <s v="CASE-1419"/>
        <s v="CASE-1420"/>
        <s v="CASE-1421"/>
        <s v="CASE-1422"/>
        <s v="CASE-1423"/>
        <s v="CASE-1424"/>
        <s v="CASE-1425"/>
        <s v="CASE-1426"/>
        <s v="CASE-1427"/>
        <s v="CASE-1428"/>
        <s v="CASE-1429"/>
        <s v="CASE-1430"/>
        <s v="CASE-1431"/>
        <s v="CASE-1432"/>
        <s v="CASE-1433"/>
        <s v="CASE-1434"/>
        <s v="CASE-1435"/>
        <s v="CASE-1436"/>
        <s v="CASE-1437"/>
        <s v="CASE-1438"/>
        <s v="CASE-1439"/>
        <s v="CASE-1440"/>
        <s v="CASE-1441"/>
        <s v="CASE-1442"/>
        <s v="CASE-1443"/>
        <s v="CASE-1444"/>
        <s v="CASE-1445"/>
        <s v="CASE-1446"/>
        <s v="CASE-1447"/>
        <s v="CASE-1448"/>
        <s v="CASE-1449"/>
        <s v="CASE-1450"/>
        <s v="CASE-1451"/>
        <s v="CASE-1452"/>
        <s v="CASE-1453"/>
        <s v="CASE-1454"/>
        <s v="CASE-1455"/>
        <s v="CASE-1456"/>
        <s v="CASE-1457"/>
        <s v="CASE-1458"/>
        <s v="CASE-1459"/>
        <s v="CASE-1460"/>
        <s v="CASE-1461"/>
        <s v="CASE-1462"/>
        <s v="CASE-1463"/>
        <s v="CASE-1464"/>
        <s v="CASE-1465"/>
        <s v="CASE-1466"/>
        <s v="CASE-1467"/>
        <s v="CASE-1468"/>
        <s v="CASE-1469"/>
        <s v="CASE-1470"/>
        <s v="CASE-1471"/>
        <s v="CASE-1472"/>
        <s v="CASE-1473"/>
        <s v="CASE-1474"/>
        <s v="CASE-1475"/>
        <s v="CASE-1476"/>
        <s v="CASE-1477"/>
        <s v="CASE-1478"/>
        <s v="CASE-1479"/>
        <s v="CASE-1480"/>
        <s v="CASE-1481"/>
        <s v="CASE-1482"/>
        <s v="CASE-1483"/>
        <s v="CASE-1484"/>
        <s v="CASE-1485"/>
        <s v="CASE-1486"/>
        <s v="CASE-1487"/>
        <s v="CASE-1488"/>
        <s v="CASE-1489"/>
        <s v="CASE-1490"/>
        <s v="CASE-1491"/>
        <s v="CASE-1492"/>
        <s v="CASE-1493"/>
        <s v="CASE-1494"/>
        <s v="CASE-1495"/>
        <s v="CASE-1496"/>
        <s v="CASE-1497"/>
        <s v="CASE-1498"/>
        <s v="CASE-1499"/>
        <s v="CASE-1500"/>
        <s v="CASE-1501"/>
        <s v="CASE-1502"/>
        <s v="CASE-1503"/>
        <s v="CASE-1504"/>
        <s v="CASE-1505"/>
        <s v="CASE-1506"/>
        <s v="CASE-1507"/>
        <s v="CASE-1508"/>
        <s v="CASE-1509"/>
        <s v="CASE-1510"/>
        <s v="CASE-1511"/>
        <s v="CASE-1512"/>
        <s v="CASE-1513"/>
        <s v="CASE-1514"/>
        <s v="CASE-1515"/>
        <s v="CASE-1516"/>
        <s v="CASE-1517"/>
        <s v="CASE-1518"/>
        <s v="CASE-1519"/>
        <s v="CASE-1520"/>
        <s v="CASE-1521"/>
        <s v="CASE-1522"/>
        <s v="CASE-1523"/>
        <s v="CASE-1524"/>
        <s v="CASE-1525"/>
        <s v="CASE-1526"/>
        <s v="CASE-1527"/>
        <s v="CASE-1528"/>
        <s v="CASE-1529"/>
        <s v="CASE-1530"/>
        <s v="CASE-1531"/>
        <s v="CASE-1532"/>
        <s v="CASE-1533"/>
        <s v="CASE-1534"/>
        <s v="CASE-1535"/>
        <s v="CASE-1536"/>
        <s v="CASE-1537"/>
        <s v="CASE-1538"/>
        <s v="CASE-1539"/>
        <s v="CASE-1540"/>
        <s v="CASE-1541"/>
        <s v="CASE-1542"/>
        <s v="CASE-1543"/>
        <s v="CASE-1544"/>
        <s v="CASE-1545"/>
        <s v="CASE-1546"/>
        <s v="CASE-1547"/>
        <s v="CASE-1548"/>
        <s v="CASE-1549"/>
        <s v="CASE-1550"/>
        <s v="CASE-1551"/>
        <s v="CASE-1552"/>
        <s v="CASE-1553"/>
        <s v="CASE-1554"/>
        <s v="CASE-1555"/>
        <s v="CASE-1556"/>
        <s v="CASE-1557"/>
        <s v="CASE-1558"/>
        <s v="CASE-1559"/>
        <s v="CASE-1560"/>
        <s v="CASE-1561"/>
        <s v="CASE-1562"/>
        <s v="CASE-1563"/>
        <s v="CASE-1564"/>
        <s v="CASE-1565"/>
        <s v="CASE-1566"/>
        <s v="CASE-1567"/>
        <s v="CASE-1568"/>
        <s v="CASE-1569"/>
        <s v="CASE-1570"/>
        <s v="CASE-1571"/>
        <s v="CASE-1572"/>
        <s v="CASE-1573"/>
        <s v="CASE-1574"/>
        <s v="CASE-1575"/>
        <s v="CASE-1576"/>
        <s v="CASE-1577"/>
        <s v="CASE-1578"/>
        <s v="CASE-1579"/>
        <s v="CASE-1580"/>
        <s v="CASE-1581"/>
        <s v="CASE-1582"/>
        <s v="CASE-1583"/>
        <s v="CASE-1584"/>
        <s v="CASE-1585"/>
        <s v="CASE-1586"/>
        <s v="CASE-1587"/>
        <s v="CASE-1588"/>
        <s v="CASE-1589"/>
        <s v="CASE-1590"/>
        <s v="CASE-1591"/>
        <s v="CASE-1592"/>
        <s v="CASE-1593"/>
        <s v="CASE-1594"/>
        <s v="CASE-1595"/>
        <s v="CASE-1596"/>
        <s v="CASE-1597"/>
        <s v="CASE-1598"/>
        <s v="CASE-1599"/>
        <s v="CASE-1600"/>
        <s v="CASE-1601"/>
        <s v="CASE-1602"/>
        <s v="CASE-1603"/>
        <s v="CASE-1604"/>
        <s v="CASE-1605"/>
        <s v="CASE-1606"/>
        <s v="CASE-1607"/>
        <s v="CASE-1608"/>
        <s v="CASE-1609"/>
        <s v="CASE-1610"/>
        <s v="CASE-1611"/>
        <s v="CASE-1612"/>
        <s v="CASE-1613"/>
        <s v="CASE-1614"/>
        <s v="CASE-1615"/>
        <s v="CASE-1616"/>
        <s v="CASE-1617"/>
        <s v="CASE-1618"/>
        <s v="CASE-1619"/>
        <s v="CASE-1620"/>
        <s v="CASE-1621"/>
        <s v="CASE-1622"/>
        <s v="CASE-1623"/>
        <s v="CASE-1624"/>
        <s v="CASE-1625"/>
        <s v="CASE-1626"/>
        <s v="CASE-1627"/>
        <s v="CASE-1628"/>
        <s v="CASE-1629"/>
        <s v="CASE-1630"/>
        <s v="CASE-1631"/>
        <s v="CASE-1632"/>
        <s v="CASE-1633"/>
        <s v="CASE-1634"/>
        <s v="CASE-1635"/>
        <s v="CASE-1636"/>
        <s v="CASE-1637"/>
        <s v="CASE-1638"/>
        <s v="CASE-1639"/>
        <s v="CASE-1640"/>
        <s v="CASE-1641"/>
        <s v="CASE-1642"/>
        <s v="CASE-1643"/>
        <s v="CASE-1644"/>
        <s v="CASE-1645"/>
        <s v="CASE-1646"/>
        <s v="CASE-1647"/>
        <s v="CASE-1648"/>
        <s v="CASE-1649"/>
        <s v="CASE-1650"/>
        <s v="CASE-1651"/>
        <s v="CASE-1652"/>
        <s v="CASE-1653"/>
        <s v="CASE-1654"/>
        <s v="CASE-1655"/>
        <s v="CASE-1656"/>
        <s v="CASE-1657"/>
        <s v="CASE-1658"/>
        <s v="CASE-1659"/>
        <s v="CASE-1660"/>
        <s v="CASE-1661"/>
        <s v="CASE-1662"/>
        <s v="CASE-1663"/>
        <s v="CASE-1664"/>
        <s v="CASE-1665"/>
        <s v="CASE-1666"/>
        <s v="CASE-1667"/>
        <s v="CASE-1668"/>
        <s v="CASE-1669"/>
        <s v="CASE-1670"/>
        <s v="CASE-1671"/>
        <s v="CASE-1672"/>
        <s v="CASE-1673"/>
        <s v="CASE-1674"/>
        <s v="CASE-1675"/>
        <s v="CASE-1676"/>
        <s v="CASE-1677"/>
        <s v="CASE-1678"/>
        <s v="CASE-1679"/>
        <s v="CASE-1680"/>
        <s v="CASE-1681"/>
        <s v="CASE-1682"/>
        <s v="CASE-1683"/>
        <s v="CASE-1684"/>
        <s v="CASE-1685"/>
        <s v="CASE-1686"/>
        <s v="CASE-1687"/>
        <s v="CASE-1688"/>
        <s v="CASE-1689"/>
        <s v="CASE-1690"/>
        <s v="CASE-1691"/>
        <s v="CASE-1692"/>
        <s v="CASE-1693"/>
        <s v="CASE-1694"/>
        <s v="CASE-1695"/>
        <s v="CASE-1696"/>
        <s v="CASE-1697"/>
        <s v="CASE-1698"/>
        <s v="CASE-1699"/>
        <s v="CASE-1700"/>
        <s v="CASE-1701"/>
        <s v="CASE-1702"/>
        <s v="CASE-1703"/>
        <s v="CASE-1704"/>
        <s v="CASE-1705"/>
        <s v="CASE-1706"/>
        <s v="CASE-1707"/>
        <s v="CASE-1708"/>
        <s v="CASE-1709"/>
        <s v="CASE-1710"/>
        <s v="CASE-1711"/>
        <s v="CASE-1712"/>
        <s v="CASE-1713"/>
        <s v="CASE-1714"/>
        <s v="CASE-1715"/>
        <s v="CASE-1716"/>
        <s v="CASE-1717"/>
        <s v="CASE-1718"/>
        <s v="CASE-1719"/>
        <s v="CASE-1720"/>
        <s v="CASE-1721"/>
        <s v="CASE-1722"/>
        <s v="CASE-1723"/>
        <s v="CASE-1724"/>
        <s v="CASE-1725"/>
        <s v="CASE-1726"/>
        <s v="CASE-1727"/>
        <s v="CASE-1728"/>
        <s v="CASE-1729"/>
        <s v="CASE-1730"/>
        <s v="CASE-1731"/>
        <s v="CASE-1732"/>
        <s v="CASE-1733"/>
        <s v="CASE-1734"/>
        <s v="CASE-1735"/>
        <s v="CASE-1736"/>
        <s v="CASE-1737"/>
        <s v="CASE-1738"/>
        <s v="CASE-1739"/>
        <s v="CASE-1740"/>
        <s v="CASE-1741"/>
        <s v="CASE-1742"/>
        <s v="CASE-1743"/>
        <s v="CASE-1744"/>
        <s v="CASE-1745"/>
        <s v="CASE-1746"/>
        <s v="CASE-1747"/>
        <s v="CASE-1748"/>
        <s v="CASE-1749"/>
        <s v="CASE-1750"/>
        <s v="CASE-1751"/>
        <s v="CASE-1752"/>
        <s v="CASE-1753"/>
        <s v="CASE-1754"/>
        <s v="CASE-1755"/>
        <s v="CASE-1756"/>
        <s v="CASE-1757"/>
        <s v="CASE-1758"/>
        <s v="CASE-1759"/>
        <s v="CASE-1760"/>
        <s v="CASE-1761"/>
        <s v="CASE-1762"/>
        <s v="CASE-1763"/>
        <s v="CASE-1764"/>
        <s v="CASE-1765"/>
        <s v="CASE-1766"/>
        <s v="CASE-1767"/>
        <s v="CASE-1768"/>
        <s v="CASE-1769"/>
        <s v="CASE-1770"/>
        <s v="CASE-1771"/>
        <s v="CASE-1772"/>
        <s v="CASE-1773"/>
        <s v="CASE-1774"/>
        <s v="CASE-1775"/>
        <s v="CASE-1776"/>
        <s v="CASE-1777"/>
        <s v="CASE-1778"/>
        <s v="CASE-1779"/>
        <s v="CASE-1780"/>
        <s v="CASE-1781"/>
        <s v="CASE-1782"/>
        <s v="CASE-1783"/>
        <s v="CASE-1784"/>
        <s v="CASE-1785"/>
        <s v="CASE-1786"/>
        <s v="CASE-1787"/>
        <s v="CASE-1788"/>
        <s v="CASE-1789"/>
        <s v="CASE-1790"/>
        <s v="CASE-1791"/>
        <s v="CASE-1792"/>
        <s v="CASE-1793"/>
        <s v="CASE-1794"/>
        <s v="CASE-1795"/>
        <s v="CASE-1796"/>
        <s v="CASE-1797"/>
        <s v="CASE-1798"/>
        <s v="CASE-1799"/>
        <s v="CASE-1800"/>
        <s v="CASE-1801"/>
        <s v="CASE-1802"/>
        <s v="CASE-1803"/>
        <s v="CASE-1804"/>
        <s v="CASE-1805"/>
        <s v="CASE-1806"/>
        <s v="CASE-1807"/>
        <s v="CASE-1808"/>
        <s v="CASE-1809"/>
        <s v="CASE-1810"/>
        <s v="CASE-1811"/>
        <s v="CASE-1812"/>
        <s v="CASE-1813"/>
        <s v="CASE-1814"/>
        <s v="CASE-1815"/>
        <s v="CASE-1816"/>
        <s v="CASE-1817"/>
        <s v="CASE-1818"/>
        <s v="CASE-1819"/>
        <s v="CASE-1820"/>
        <s v="CASE-1821"/>
        <s v="CASE-1822"/>
        <s v="CASE-1823"/>
        <s v="CASE-1824"/>
        <s v="CASE-1825"/>
        <s v="CASE-1826"/>
        <s v="CASE-1827"/>
        <s v="CASE-1828"/>
        <s v="CASE-1829"/>
        <s v="CASE-1830"/>
        <s v="CASE-1831"/>
        <s v="CASE-1832"/>
        <s v="CASE-1833"/>
        <s v="CASE-1834"/>
        <s v="CASE-1835"/>
        <s v="CASE-1836"/>
        <s v="CASE-1837"/>
        <s v="CASE-1838"/>
        <s v="CASE-1839"/>
        <s v="CASE-1840"/>
        <s v="CASE-1841"/>
        <s v="CASE-1842"/>
        <s v="CASE-1843"/>
        <s v="CASE-1844"/>
        <s v="CASE-1845"/>
        <s v="CASE-1846"/>
        <s v="CASE-1847"/>
        <s v="CASE-1848"/>
        <s v="CASE-1849"/>
        <s v="CASE-1850"/>
        <s v="CASE-1851"/>
        <s v="CASE-1852"/>
        <s v="CASE-1853"/>
        <s v="CASE-1854"/>
        <s v="CASE-1855"/>
        <s v="CASE-1856"/>
        <s v="CASE-1857"/>
        <s v="CASE-1858"/>
        <s v="CASE-1859"/>
        <s v="CASE-1860"/>
        <s v="CASE-1861"/>
        <s v="CASE-1862"/>
        <s v="CASE-1863"/>
        <s v="CASE-1864"/>
        <s v="CASE-1865"/>
        <s v="CASE-1866"/>
        <s v="CASE-1867"/>
        <s v="CASE-1868"/>
        <s v="CASE-1869"/>
        <s v="CASE-1870"/>
        <s v="CASE-1871"/>
        <s v="CASE-1872"/>
        <s v="CASE-1873"/>
        <s v="CASE-1874"/>
        <s v="CASE-1875"/>
        <s v="CASE-1876"/>
        <s v="CASE-1877"/>
        <s v="CASE-1878"/>
        <s v="CASE-1879"/>
        <s v="CASE-1880"/>
        <s v="CASE-1881"/>
        <s v="CASE-1882"/>
        <s v="CASE-1883"/>
        <s v="CASE-1884"/>
        <s v="CASE-1885"/>
        <s v="CASE-1886"/>
        <s v="CASE-1887"/>
        <s v="CASE-1888"/>
        <s v="CASE-1889"/>
        <s v="CASE-1890"/>
        <s v="CASE-1891"/>
        <s v="CASE-1892"/>
        <s v="CASE-1893"/>
        <s v="CASE-1894"/>
        <s v="CASE-1895"/>
        <s v="CASE-1896"/>
        <s v="CASE-1897"/>
        <s v="CASE-1898"/>
        <s v="CASE-1899"/>
        <s v="CASE-1900"/>
        <s v="CASE-1901"/>
        <s v="CASE-1902"/>
        <s v="CASE-1903"/>
        <s v="CASE-1904"/>
        <s v="CASE-1905"/>
        <s v="CASE-1906"/>
        <s v="CASE-1907"/>
        <s v="CASE-1908"/>
        <s v="CASE-1909"/>
        <s v="CASE-1910"/>
        <s v="CASE-1911"/>
        <s v="CASE-1912"/>
        <s v="CASE-1913"/>
        <s v="CASE-1914"/>
        <s v="CASE-1915"/>
        <s v="CASE-1916"/>
        <s v="CASE-1917"/>
        <s v="CASE-1918"/>
        <s v="CASE-1919"/>
        <s v="CASE-1920"/>
        <s v="CASE-1921"/>
        <s v="CASE-1922"/>
        <s v="CASE-1923"/>
        <s v="CASE-1924"/>
        <s v="CASE-1925"/>
        <s v="CASE-1926"/>
        <s v="CASE-1927"/>
        <s v="CASE-1928"/>
        <s v="CASE-1929"/>
        <s v="CASE-1930"/>
        <s v="CASE-1931"/>
        <s v="CASE-1932"/>
        <s v="CASE-1933"/>
        <s v="CASE-1934"/>
        <s v="CASE-1935"/>
        <s v="CASE-1936"/>
        <s v="CASE-1937"/>
        <s v="CASE-1938"/>
        <s v="CASE-1939"/>
        <s v="CASE-1940"/>
        <s v="CASE-1941"/>
        <s v="CASE-1942"/>
        <s v="CASE-1943"/>
        <s v="CASE-1944"/>
        <s v="CASE-1945"/>
        <s v="CASE-1946"/>
        <s v="CASE-1947"/>
        <s v="CASE-1948"/>
        <s v="CASE-1949"/>
        <s v="CASE-1950"/>
        <s v="CASE-1951"/>
        <s v="CASE-1952"/>
        <s v="CASE-1953"/>
        <s v="CASE-1954"/>
        <s v="CASE-1955"/>
        <s v="CASE-1956"/>
        <s v="CASE-1957"/>
        <s v="CASE-1958"/>
        <s v="CASE-1959"/>
        <s v="CASE-1960"/>
        <s v="CASE-1961"/>
        <s v="CASE-1962"/>
        <s v="CASE-1963"/>
        <s v="CASE-1964"/>
        <s v="CASE-1965"/>
        <s v="CASE-1966"/>
        <s v="CASE-1967"/>
        <s v="CASE-1968"/>
        <s v="CASE-1969"/>
        <s v="CASE-1970"/>
        <s v="CASE-1971"/>
        <s v="CASE-1972"/>
        <s v="CASE-1973"/>
        <s v="CASE-1974"/>
        <s v="CASE-1975"/>
        <s v="CASE-1976"/>
        <s v="CASE-1977"/>
        <s v="CASE-1978"/>
        <s v="CASE-1979"/>
        <s v="CASE-1980"/>
        <s v="CASE-1981"/>
        <s v="CASE-1982"/>
        <s v="CASE-1983"/>
        <s v="CASE-1984"/>
        <s v="CASE-1985"/>
        <s v="CASE-1986"/>
        <s v="CASE-1987"/>
        <s v="CASE-1988"/>
        <s v="CASE-1989"/>
        <s v="CASE-1990"/>
        <s v="CASE-1991"/>
        <s v="CASE-1992"/>
        <s v="CASE-1993"/>
        <s v="CASE-1994"/>
        <s v="CASE-1995"/>
        <s v="CASE-1996"/>
        <s v="CASE-1997"/>
        <s v="CASE-1998"/>
        <s v="CASE-1999"/>
        <s v="CASE-2000"/>
        <s v="CASE-2001"/>
        <s v="CASE-2002"/>
        <s v="CASE-2003"/>
        <s v="CASE-2004"/>
        <s v="CASE-2005"/>
        <s v="CASE-2006"/>
        <s v="CASE-2007"/>
        <s v="CASE-2008"/>
        <s v="CASE-2009"/>
        <s v="CASE-2010"/>
        <s v="CASE-2011"/>
        <s v="CASE-2012"/>
        <s v="CASE-2013"/>
        <s v="CASE-2014"/>
        <s v="CASE-2015"/>
        <s v="CASE-2016"/>
        <s v="CASE-2017"/>
        <s v="CASE-2018"/>
        <s v="CASE-2019"/>
        <s v="CASE-2020"/>
        <s v="CASE-2021"/>
        <s v="CASE-2022"/>
        <s v="CASE-2023"/>
        <s v="CASE-2024"/>
        <s v="CASE-2025"/>
        <s v="CASE-2026"/>
        <s v="CASE-2027"/>
        <s v="CASE-2028"/>
        <s v="CASE-2029"/>
        <s v="CASE-2030"/>
        <s v="CASE-2031"/>
        <s v="CASE-2032"/>
        <s v="CASE-2033"/>
        <s v="CASE-2034"/>
        <s v="CASE-2035"/>
        <s v="CASE-2036"/>
        <s v="CASE-2037"/>
        <s v="CASE-2038"/>
        <s v="CASE-2039"/>
        <s v="CASE-2040"/>
        <s v="CASE-2041"/>
        <s v="CASE-2042"/>
        <s v="CASE-2043"/>
        <s v="CASE-2044"/>
        <s v="CASE-2045"/>
        <s v="CASE-2046"/>
        <s v="CASE-2047"/>
        <s v="CASE-2048"/>
        <s v="CASE-2049"/>
        <s v="CASE-2050"/>
        <s v="CASE-2051"/>
        <s v="CASE-2052"/>
        <s v="CASE-2053"/>
        <s v="CASE-2054"/>
        <s v="CASE-2055"/>
        <s v="CASE-2056"/>
        <s v="CASE-2057"/>
        <s v="CASE-2058"/>
        <s v="CASE-2059"/>
        <s v="CASE-2060"/>
        <s v="CASE-2061"/>
        <s v="CASE-2062"/>
        <s v="CASE-2063"/>
        <s v="CASE-2064"/>
        <s v="CASE-2065"/>
        <s v="CASE-2066"/>
        <s v="CASE-2067"/>
        <s v="CASE-2068"/>
        <s v="CASE-2069"/>
        <s v="CASE-2070"/>
        <s v="CASE-2071"/>
        <s v="CASE-2072"/>
        <s v="CASE-2073"/>
        <s v="CASE-2074"/>
        <s v="CASE-2075"/>
        <s v="CASE-2076"/>
        <s v="CASE-2077"/>
        <s v="CASE-2078"/>
        <s v="CASE-2079"/>
        <s v="CASE-2080"/>
        <s v="CASE-2081"/>
        <s v="CASE-2082"/>
        <s v="CASE-2083"/>
        <s v="CASE-2084"/>
        <s v="CASE-2085"/>
        <s v="CASE-2086"/>
        <s v="CASE-2087"/>
        <s v="CASE-2088"/>
        <s v="CASE-2089"/>
        <s v="CASE-2090"/>
        <s v="CASE-2091"/>
        <s v="CASE-2092"/>
        <s v="CASE-2093"/>
        <s v="CASE-2094"/>
        <s v="CASE-2095"/>
        <s v="CASE-2096"/>
        <s v="CASE-2097"/>
        <s v="CASE-2098"/>
        <s v="CASE-2099"/>
        <s v="CASE-2100"/>
        <s v="CASE-2101"/>
        <s v="CASE-2102"/>
        <s v="CASE-2103"/>
        <s v="CASE-2104"/>
        <s v="CASE-2105"/>
        <s v="CASE-2106"/>
        <s v="CASE-2107"/>
        <s v="CASE-2108"/>
        <s v="CASE-2109"/>
        <s v="CASE-2110"/>
        <s v="CASE-2111"/>
        <s v="CASE-2112"/>
        <s v="CASE-2113"/>
        <s v="CASE-2114"/>
        <s v="CASE-2115"/>
        <s v="CASE-2116"/>
        <s v="CASE-2117"/>
        <s v="CASE-2118"/>
        <s v="CASE-2119"/>
        <s v="CASE-2120"/>
        <s v="CASE-2121"/>
        <s v="CASE-2122"/>
        <s v="CASE-2123"/>
        <s v="CASE-2124"/>
        <s v="CASE-2125"/>
        <s v="CASE-2126"/>
        <s v="CASE-2127"/>
        <s v="CASE-2128"/>
        <s v="CASE-2129"/>
        <s v="CASE-2130"/>
        <s v="CASE-2131"/>
        <s v="CASE-2132"/>
        <s v="CASE-2133"/>
        <s v="CASE-2134"/>
        <s v="CASE-2135"/>
        <s v="CASE-2136"/>
        <s v="CASE-2137"/>
        <s v="CASE-2138"/>
        <s v="CASE-2139"/>
        <s v="CASE-2140"/>
        <s v="CASE-2141"/>
        <s v="CASE-2142"/>
        <s v="CASE-2143"/>
        <s v="CASE-2144"/>
        <s v="CASE-2145"/>
        <s v="CASE-2146"/>
        <s v="CASE-2147"/>
        <s v="CASE-2148"/>
        <s v="CASE-2149"/>
        <s v="CASE-2150"/>
        <s v="CASE-2151"/>
        <s v="CASE-2152"/>
        <s v="CASE-2153"/>
        <s v="CASE-2154"/>
        <s v="CASE-2155"/>
        <s v="CASE-2156"/>
        <s v="CASE-2157"/>
        <s v="CASE-2158"/>
        <s v="CASE-2159"/>
        <s v="CASE-2160"/>
        <s v="CASE-2161"/>
        <s v="CASE-2162"/>
        <s v="CASE-2163"/>
        <s v="CASE-2164"/>
        <s v="CASE-2165"/>
        <s v="CASE-2166"/>
        <s v="CASE-2167"/>
        <s v="CASE-2168"/>
        <s v="CASE-2169"/>
        <s v="CASE-2170"/>
        <s v="CASE-2171"/>
        <s v="CASE-2172"/>
        <s v="CASE-2173"/>
        <s v="CASE-2174"/>
        <s v="CASE-2175"/>
        <s v="CASE-2176"/>
        <s v="CASE-2177"/>
        <s v="CASE-2178"/>
        <s v="CASE-2179"/>
        <s v="CASE-2180"/>
        <s v="CASE-2181"/>
        <s v="CASE-2182"/>
        <s v="CASE-2183"/>
        <s v="CASE-2184"/>
        <s v="CASE-2185"/>
        <s v="CASE-2186"/>
        <s v="CASE-2187"/>
        <s v="CASE-2188"/>
        <s v="CASE-2189"/>
        <s v="CASE-2190"/>
        <s v="CASE-2191"/>
        <s v="CASE-2192"/>
        <s v="CASE-2193"/>
        <s v="CASE-2194"/>
        <s v="CASE-2195"/>
        <s v="CASE-2196"/>
        <s v="CASE-2197"/>
        <s v="CASE-2198"/>
        <s v="CASE-2199"/>
        <s v="CASE-2200"/>
        <s v="CASE-2201"/>
        <s v="CASE-2202"/>
        <s v="CASE-2203"/>
        <s v="CASE-2204"/>
        <s v="CASE-2205"/>
        <s v="CASE-2206"/>
        <s v="CASE-2207"/>
        <s v="CASE-2208"/>
        <s v="CASE-2209"/>
        <s v="CASE-2210"/>
        <s v="CASE-2211"/>
        <s v="CASE-2212"/>
        <s v="CASE-2213"/>
        <s v="CASE-2214"/>
        <s v="CASE-2215"/>
        <s v="CASE-2216"/>
        <s v="CASE-2217"/>
        <s v="CASE-2218"/>
        <s v="CASE-2219"/>
        <s v="CASE-2220"/>
        <s v="CASE-2221"/>
        <s v="CASE-2222"/>
        <s v="CASE-2223"/>
        <s v="CASE-2224"/>
        <s v="CASE-2225"/>
        <s v="CASE-2226"/>
        <s v="CASE-2227"/>
        <s v="CASE-2228"/>
        <s v="CASE-2229"/>
        <s v="CASE-2230"/>
        <s v="CASE-2231"/>
        <s v="CASE-2232"/>
        <s v="CASE-2233"/>
        <s v="CASE-2234"/>
        <s v="CASE-2235"/>
        <s v="CASE-2236"/>
        <s v="CASE-2237"/>
        <s v="CASE-2238"/>
        <s v="CASE-2239"/>
        <s v="CASE-2240"/>
        <s v="CASE-2241"/>
        <s v="CASE-2242"/>
        <s v="CASE-2243"/>
        <s v="CASE-2244"/>
        <s v="CASE-2245"/>
        <s v="CASE-2246"/>
        <s v="CASE-2247"/>
        <s v="CASE-2248"/>
        <s v="CASE-2249"/>
        <s v="CASE-2250"/>
        <s v="CASE-2251"/>
        <s v="CASE-2252"/>
        <s v="CASE-2253"/>
        <s v="CASE-2254"/>
        <s v="CASE-2255"/>
        <s v="CASE-2256"/>
        <s v="CASE-2257"/>
        <s v="CASE-2258"/>
        <s v="CASE-2259"/>
        <s v="CASE-2260"/>
        <s v="CASE-2261"/>
        <s v="CASE-2262"/>
        <s v="CASE-2263"/>
        <s v="CASE-2264"/>
        <s v="CASE-2265"/>
        <s v="CASE-2266"/>
        <s v="CASE-2267"/>
        <s v="CASE-2268"/>
        <s v="CASE-2269"/>
        <s v="CASE-2270"/>
        <s v="CASE-2271"/>
        <s v="CASE-2272"/>
        <s v="CASE-2273"/>
        <s v="CASE-2274"/>
        <s v="CASE-2275"/>
        <s v="CASE-2276"/>
        <s v="CASE-2277"/>
        <s v="CASE-2278"/>
        <s v="CASE-2279"/>
        <s v="CASE-2280"/>
        <s v="CASE-2281"/>
        <s v="CASE-2282"/>
        <s v="CASE-2283"/>
        <s v="CASE-2284"/>
        <s v="CASE-2285"/>
        <s v="CASE-2286"/>
        <s v="CASE-2287"/>
        <s v="CASE-2288"/>
        <s v="CASE-2289"/>
        <s v="CASE-2290"/>
        <s v="CASE-2291"/>
        <s v="CASE-2292"/>
        <s v="CASE-2293"/>
        <s v="CASE-2294"/>
        <s v="CASE-2295"/>
        <s v="CASE-2296"/>
        <s v="CASE-2297"/>
        <s v="CASE-2298"/>
        <s v="CASE-2299"/>
        <s v="CASE-2300"/>
        <s v="CASE-2301"/>
        <s v="CASE-2302"/>
        <s v="CASE-2303"/>
        <s v="CASE-2304"/>
        <s v="CASE-2305"/>
        <s v="CASE-2306"/>
        <s v="CASE-2307"/>
        <s v="CASE-2308"/>
        <s v="CASE-2309"/>
        <s v="CASE-2310"/>
        <s v="CASE-2311"/>
        <s v="CASE-2312"/>
        <s v="CASE-2313"/>
        <s v="CASE-2314"/>
        <s v="CASE-2315"/>
        <s v="CASE-2316"/>
        <s v="CASE-2317"/>
        <s v="CASE-2318"/>
        <s v="CASE-2319"/>
        <s v="CASE-2320"/>
        <s v="CASE-2321"/>
        <s v="CASE-2322"/>
        <s v="CASE-2323"/>
        <s v="CASE-2324"/>
        <s v="CASE-2325"/>
        <s v="CASE-2326"/>
        <s v="CASE-2327"/>
        <s v="CASE-2328"/>
        <s v="CASE-2329"/>
        <s v="CASE-2330"/>
        <s v="CASE-2331"/>
        <s v="CASE-2332"/>
        <s v="CASE-2333"/>
        <s v="CASE-2334"/>
        <s v="CASE-2335"/>
        <s v="CASE-2336"/>
        <s v="CASE-2337"/>
        <s v="CASE-2338"/>
        <s v="CASE-2339"/>
        <s v="CASE-2340"/>
        <s v="CASE-2341"/>
        <s v="CASE-2342"/>
        <s v="CASE-2343"/>
        <s v="CASE-2344"/>
        <s v="CASE-2345"/>
        <s v="CASE-2346"/>
        <s v="CASE-2347"/>
        <s v="CASE-2348"/>
        <s v="CASE-2349"/>
        <s v="CASE-2350"/>
        <s v="CASE-2351"/>
        <s v="CASE-2352"/>
        <s v="CASE-2353"/>
        <s v="CASE-2354"/>
        <s v="CASE-2355"/>
        <s v="CASE-2356"/>
        <s v="CASE-2357"/>
        <s v="CASE-2358"/>
        <s v="CASE-2359"/>
        <s v="CASE-2360"/>
        <s v="CASE-2361"/>
        <s v="CASE-2362"/>
        <s v="CASE-2363"/>
        <s v="CASE-2364"/>
        <s v="CASE-2365"/>
        <s v="CASE-2366"/>
        <s v="CASE-2367"/>
        <s v="CASE-2368"/>
        <s v="CASE-2369"/>
        <s v="CASE-2370"/>
        <s v="CASE-2371"/>
        <s v="CASE-2372"/>
        <s v="CASE-2373"/>
        <s v="CASE-2374"/>
        <s v="CASE-2375"/>
        <s v="CASE-2376"/>
        <s v="CASE-2377"/>
        <s v="CASE-2378"/>
        <s v="CASE-2379"/>
        <s v="CASE-2380"/>
        <s v="CASE-2381"/>
        <s v="CASE-2382"/>
        <s v="CASE-2383"/>
        <s v="CASE-2384"/>
        <s v="CASE-2385"/>
        <s v="CASE-2386"/>
        <s v="CASE-2387"/>
        <s v="CASE-2388"/>
        <s v="CASE-2389"/>
        <s v="CASE-2390"/>
        <s v="CASE-2391"/>
        <s v="CASE-2392"/>
        <s v="CASE-2393"/>
        <s v="CASE-2394"/>
        <s v="CASE-2395"/>
        <s v="CASE-2396"/>
        <s v="CASE-2397"/>
        <s v="CASE-2398"/>
        <s v="CASE-2399"/>
        <s v="CASE-2400"/>
        <s v="CASE-2401"/>
        <s v="CASE-2402"/>
        <s v="CASE-2403"/>
        <s v="CASE-2404"/>
        <s v="CASE-2405"/>
        <s v="CASE-2406"/>
        <s v="CASE-2407"/>
        <s v="CASE-2408"/>
        <s v="CASE-2409"/>
        <s v="CASE-2410"/>
        <s v="CASE-2411"/>
        <s v="CASE-2412"/>
        <s v="CASE-2413"/>
        <s v="CASE-2414"/>
        <s v="CASE-2415"/>
        <s v="CASE-2416"/>
        <s v="CASE-2417"/>
        <s v="CASE-2418"/>
        <s v="CASE-2419"/>
        <s v="CASE-2420"/>
        <s v="CASE-2421"/>
        <s v="CASE-2422"/>
        <s v="CASE-2423"/>
        <s v="CASE-2424"/>
        <s v="CASE-2425"/>
        <s v="CASE-2426"/>
        <s v="CASE-2427"/>
        <s v="CASE-2428"/>
        <s v="CASE-2429"/>
        <s v="CASE-2430"/>
        <s v="CASE-2431"/>
        <s v="CASE-2432"/>
        <s v="CASE-2433"/>
        <s v="CASE-2434"/>
        <s v="CASE-2435"/>
        <s v="CASE-2436"/>
        <s v="CASE-2437"/>
        <s v="CASE-2438"/>
        <s v="CASE-2439"/>
        <s v="CASE-2440"/>
        <s v="CASE-2441"/>
        <s v="CASE-2442"/>
        <s v="CASE-2443"/>
        <s v="CASE-2444"/>
        <s v="CASE-2445"/>
        <s v="CASE-2446"/>
        <s v="CASE-2447"/>
        <s v="CASE-2448"/>
        <s v="CASE-2449"/>
        <s v="CASE-2450"/>
        <s v="CASE-2451"/>
        <s v="CASE-2452"/>
        <s v="CASE-2453"/>
        <s v="CASE-2454"/>
        <s v="CASE-2455"/>
        <s v="CASE-2456"/>
        <s v="CASE-2457"/>
        <s v="CASE-2458"/>
        <s v="CASE-2459"/>
        <s v="CASE-2460"/>
        <s v="CASE-2461"/>
        <s v="CASE-2462"/>
        <s v="CASE-2463"/>
        <s v="CASE-2464"/>
        <s v="CASE-2465"/>
        <s v="CASE-2466"/>
        <s v="CASE-2467"/>
        <s v="CASE-2468"/>
        <s v="CASE-2469"/>
        <s v="CASE-2470"/>
        <s v="CASE-2471"/>
        <s v="CASE-2472"/>
        <s v="CASE-2473"/>
        <s v="CASE-2474"/>
        <s v="CASE-2475"/>
        <s v="CASE-2476"/>
        <s v="CASE-2477"/>
        <s v="CASE-2478"/>
        <s v="CASE-2479"/>
        <s v="CASE-2480"/>
        <s v="CASE-2481"/>
        <s v="CASE-2482"/>
        <s v="CASE-2483"/>
        <s v="CASE-2484"/>
        <s v="CASE-2485"/>
        <s v="CASE-2486"/>
        <s v="CASE-2487"/>
        <s v="CASE-2488"/>
        <s v="CASE-2489"/>
        <s v="CASE-2490"/>
        <s v="CASE-2491"/>
        <s v="CASE-2492"/>
        <s v="CASE-2493"/>
        <s v="CASE-2494"/>
        <s v="CASE-2495"/>
        <s v="CASE-2496"/>
        <s v="CASE-2497"/>
        <s v="CASE-2498"/>
        <s v="CASE-2499"/>
        <s v="CASE-2500"/>
        <s v="CASE-2501"/>
        <s v="CASE-2502"/>
        <s v="CASE-2503"/>
        <s v="CASE-2504"/>
        <s v="CASE-2505"/>
        <s v="CASE-2506"/>
        <s v="CASE-2507"/>
        <s v="CASE-2508"/>
        <s v="CASE-2509"/>
        <s v="CASE-2510"/>
        <s v="CASE-2511"/>
        <s v="CASE-2512"/>
        <s v="CASE-2513"/>
        <s v="CASE-2514"/>
        <s v="CASE-2515"/>
        <s v="CASE-2516"/>
        <s v="CASE-2517"/>
        <s v="CASE-2518"/>
        <s v="CASE-2519"/>
        <s v="CASE-2520"/>
        <s v="CASE-2521"/>
        <s v="CASE-2522"/>
        <s v="CASE-2523"/>
        <s v="CASE-2524"/>
        <s v="CASE-2525"/>
        <s v="CASE-2526"/>
        <s v="CASE-2527"/>
        <s v="CASE-2528"/>
        <s v="CASE-2529"/>
        <s v="CASE-2530"/>
        <s v="CASE-2531"/>
        <s v="CASE-2532"/>
        <s v="CASE-2533"/>
        <s v="CASE-2534"/>
        <s v="CASE-2535"/>
        <s v="CASE-2536"/>
        <s v="CASE-2537"/>
        <s v="CASE-2538"/>
        <s v="CASE-2539"/>
        <s v="CASE-2540"/>
        <s v="CASE-2541"/>
        <s v="CASE-2542"/>
        <s v="CASE-2543"/>
        <s v="CASE-2544"/>
        <s v="CASE-2545"/>
        <s v="CASE-2546"/>
        <s v="CASE-2547"/>
        <s v="CASE-2548"/>
        <s v="CASE-2549"/>
        <s v="CASE-2550"/>
        <s v="CASE-2551"/>
        <s v="CASE-2552"/>
        <s v="CASE-2553"/>
        <s v="CASE-2554"/>
        <s v="CASE-2555"/>
        <s v="CASE-2556"/>
        <s v="CASE-2557"/>
        <s v="CASE-2558"/>
        <s v="CASE-2559"/>
        <s v="CASE-2560"/>
        <s v="CASE-2561"/>
        <s v="CASE-2562"/>
        <s v="CASE-2563"/>
        <s v="CASE-2564"/>
        <s v="CASE-2565"/>
        <s v="CASE-2566"/>
        <s v="CASE-2567"/>
        <s v="CASE-2568"/>
        <s v="CASE-2569"/>
        <s v="CASE-2570"/>
        <s v="CASE-2571"/>
        <s v="CASE-2572"/>
        <s v="CASE-2573"/>
        <s v="CASE-2574"/>
        <s v="CASE-2575"/>
        <s v="CASE-2576"/>
        <s v="CASE-2577"/>
        <s v="CASE-2578"/>
        <s v="CASE-2579"/>
        <s v="CASE-2580"/>
        <s v="CASE-2581"/>
        <s v="CASE-2582"/>
        <s v="CASE-2583"/>
        <s v="CASE-2584"/>
        <s v="CASE-2585"/>
        <s v="CASE-2586"/>
        <s v="CASE-2587"/>
        <s v="CASE-2588"/>
        <s v="CASE-2589"/>
        <s v="CASE-2590"/>
        <s v="CASE-2591"/>
        <s v="CASE-2592"/>
        <s v="CASE-2593"/>
        <s v="CASE-2594"/>
        <s v="CASE-2595"/>
        <s v="CASE-2596"/>
        <s v="CASE-2597"/>
        <s v="CASE-2598"/>
        <s v="CASE-2599"/>
        <s v="CASE-2600"/>
        <s v="CASE-2601"/>
        <s v="CASE-2602"/>
        <s v="CASE-2603"/>
        <s v="CASE-2604"/>
        <s v="CASE-2605"/>
        <s v="CASE-2606"/>
        <s v="CASE-2607"/>
        <s v="CASE-2608"/>
        <s v="CASE-2609"/>
        <s v="CASE-2610"/>
        <s v="CASE-2611"/>
        <s v="CASE-2612"/>
        <s v="CASE-2613"/>
        <s v="CASE-2614"/>
        <s v="CASE-2615"/>
        <s v="CASE-2616"/>
        <s v="CASE-2617"/>
        <s v="CASE-2618"/>
        <s v="CASE-2619"/>
        <s v="CASE-2620"/>
        <s v="CASE-2621"/>
        <s v="CASE-2622"/>
        <s v="CASE-2623"/>
        <s v="CASE-2624"/>
        <s v="CASE-2625"/>
        <s v="CASE-2626"/>
        <s v="CASE-2627"/>
        <s v="CASE-2628"/>
        <s v="CASE-2629"/>
        <s v="CASE-2630"/>
        <s v="CASE-2631"/>
        <s v="CASE-2632"/>
        <s v="CASE-2633"/>
        <s v="CASE-2634"/>
        <s v="CASE-2635"/>
        <s v="CASE-2636"/>
        <s v="CASE-2637"/>
        <s v="CASE-2638"/>
        <s v="CASE-2639"/>
        <s v="CASE-2640"/>
        <s v="CASE-2641"/>
        <s v="CASE-2642"/>
        <s v="CASE-2643"/>
        <s v="CASE-2644"/>
        <s v="CASE-2645"/>
        <s v="CASE-2646"/>
        <s v="CASE-2647"/>
        <s v="CASE-2648"/>
        <s v="CASE-2649"/>
        <s v="CASE-2650"/>
        <s v="CASE-2651"/>
        <s v="CASE-2652"/>
        <s v="CASE-2653"/>
        <s v="CASE-2654"/>
        <s v="CASE-2655"/>
        <s v="CASE-2656"/>
        <s v="CASE-2657"/>
        <s v="CASE-2658"/>
        <s v="CASE-2659"/>
        <s v="CASE-2660"/>
        <s v="CASE-2661"/>
        <s v="CASE-2662"/>
        <s v="CASE-2663"/>
        <s v="CASE-2664"/>
        <s v="CASE-2665"/>
        <s v="CASE-2666"/>
        <s v="CASE-2667"/>
        <s v="CASE-2668"/>
        <s v="CASE-2669"/>
        <s v="CASE-2670"/>
        <s v="CASE-2671"/>
        <s v="CASE-2672"/>
        <s v="CASE-2673"/>
        <s v="CASE-2674"/>
        <s v="CASE-2675"/>
        <s v="CASE-2676"/>
        <s v="CASE-2677"/>
        <s v="CASE-2678"/>
        <s v="CASE-2679"/>
        <s v="CASE-2680"/>
        <s v="CASE-2681"/>
        <s v="CASE-2682"/>
        <s v="CASE-2683"/>
        <s v="CASE-2684"/>
        <s v="CASE-2685"/>
        <s v="CASE-2686"/>
        <s v="CASE-2687"/>
        <s v="CASE-2688"/>
        <s v="CASE-2689"/>
        <s v="CASE-2690"/>
        <s v="CASE-2691"/>
        <s v="CASE-2692"/>
        <s v="CASE-2693"/>
        <s v="CASE-2694"/>
        <s v="CASE-2695"/>
        <s v="CASE-2696"/>
        <s v="CASE-2697"/>
        <s v="CASE-2698"/>
        <s v="CASE-2699"/>
        <s v="CASE-2700"/>
        <s v="CASE-2701"/>
        <s v="CASE-2702"/>
        <s v="CASE-2703"/>
        <s v="CASE-2704"/>
        <s v="CASE-2705"/>
        <s v="CASE-2706"/>
        <s v="CASE-2707"/>
        <s v="CASE-2708"/>
        <s v="CASE-2709"/>
        <s v="CASE-2710"/>
        <s v="CASE-2711"/>
        <s v="CASE-2712"/>
        <s v="CASE-2713"/>
        <s v="CASE-2714"/>
        <s v="CASE-2715"/>
        <s v="CASE-2716"/>
        <s v="CASE-2717"/>
        <s v="CASE-2718"/>
        <s v="CASE-2719"/>
        <s v="CASE-2720"/>
        <s v="CASE-2721"/>
        <s v="CASE-2722"/>
        <s v="CASE-2723"/>
        <s v="CASE-2724"/>
        <s v="CASE-2725"/>
        <s v="CASE-2726"/>
        <s v="CASE-2727"/>
        <s v="CASE-2728"/>
        <s v="CASE-2729"/>
        <s v="CASE-2730"/>
        <s v="CASE-2731"/>
        <s v="CASE-2732"/>
        <s v="CASE-2733"/>
        <s v="CASE-2734"/>
        <s v="CASE-2735"/>
        <s v="CASE-2736"/>
        <s v="CASE-2737"/>
        <s v="CASE-2738"/>
        <s v="CASE-2739"/>
        <s v="CASE-2740"/>
        <s v="CASE-2741"/>
        <s v="CASE-2742"/>
        <s v="CASE-2743"/>
        <s v="CASE-2744"/>
        <s v="CASE-2745"/>
        <s v="CASE-2746"/>
        <s v="CASE-2747"/>
        <s v="CASE-2748"/>
        <s v="CASE-2749"/>
        <s v="CASE-2750"/>
        <s v="CASE-2751"/>
        <s v="CASE-2752"/>
        <s v="CASE-2753"/>
        <s v="CASE-2754"/>
        <s v="CASE-2755"/>
        <s v="CASE-2756"/>
        <s v="CASE-2757"/>
        <s v="CASE-2758"/>
        <s v="CASE-2759"/>
        <s v="CASE-2760"/>
        <s v="CASE-2761"/>
        <s v="CASE-2762"/>
        <s v="CASE-2763"/>
        <s v="CASE-2764"/>
        <s v="CASE-2765"/>
        <s v="CASE-2766"/>
        <s v="CASE-2767"/>
        <s v="CASE-2768"/>
        <s v="CASE-2769"/>
        <s v="CASE-2770"/>
        <s v="CASE-2771"/>
        <s v="CASE-2772"/>
        <s v="CASE-2773"/>
        <s v="CASE-2774"/>
        <s v="CASE-2775"/>
        <s v="CASE-2776"/>
        <s v="CASE-2777"/>
        <s v="CASE-2778"/>
        <s v="CASE-2779"/>
        <s v="CASE-2780"/>
        <s v="CASE-2781"/>
        <s v="CASE-2782"/>
        <s v="CASE-2783"/>
        <s v="CASE-2784"/>
        <s v="CASE-2785"/>
        <s v="CASE-2786"/>
        <s v="CASE-2787"/>
        <s v="CASE-2788"/>
        <s v="CASE-2789"/>
        <s v="CASE-2790"/>
        <s v="CASE-2791"/>
        <s v="CASE-2792"/>
        <s v="CASE-2793"/>
        <s v="CASE-2794"/>
        <s v="CASE-2795"/>
        <s v="CASE-2796"/>
        <s v="CASE-2797"/>
        <s v="CASE-2798"/>
        <s v="CASE-2799"/>
        <s v="CASE-2800"/>
        <s v="CASE-2801"/>
        <s v="CASE-2802"/>
        <s v="CASE-2803"/>
        <s v="CASE-2804"/>
        <s v="CASE-2805"/>
        <s v="CASE-2806"/>
        <s v="CASE-2807"/>
        <s v="CASE-2808"/>
        <s v="CASE-2809"/>
        <s v="CASE-2810"/>
        <s v="CASE-2811"/>
        <s v="CASE-2812"/>
        <s v="CASE-2813"/>
        <s v="CASE-2814"/>
        <s v="CASE-2815"/>
        <s v="CASE-2816"/>
        <s v="CASE-2817"/>
        <s v="CASE-2818"/>
        <s v="CASE-2819"/>
        <s v="CASE-2820"/>
        <s v="CASE-2821"/>
        <s v="CASE-2822"/>
        <s v="CASE-2823"/>
        <s v="CASE-2824"/>
        <s v="CASE-2825"/>
        <s v="CASE-2826"/>
        <s v="CASE-2827"/>
        <s v="CASE-2828"/>
        <s v="CASE-2829"/>
        <s v="CASE-2830"/>
        <s v="CASE-2831"/>
        <s v="CASE-2832"/>
        <s v="CASE-2833"/>
        <s v="CASE-2834"/>
        <s v="CASE-2835"/>
        <s v="CASE-2836"/>
        <s v="CASE-2837"/>
        <s v="CASE-2838"/>
        <s v="CASE-2839"/>
        <s v="CASE-2840"/>
        <s v="CASE-2841"/>
        <s v="CASE-2842"/>
        <s v="CASE-2843"/>
        <s v="CASE-2844"/>
        <s v="CASE-2845"/>
        <s v="CASE-2846"/>
        <s v="CASE-2847"/>
        <s v="CASE-2848"/>
        <s v="CASE-2849"/>
        <s v="CASE-2850"/>
        <s v="CASE-2851"/>
        <s v="CASE-2852"/>
        <s v="CASE-2853"/>
        <s v="CASE-2854"/>
        <s v="CASE-2855"/>
        <s v="CASE-2856"/>
        <s v="CASE-2857"/>
        <s v="CASE-2858"/>
        <s v="CASE-2859"/>
        <s v="CASE-2860"/>
        <s v="CASE-2861"/>
        <s v="CASE-2862"/>
        <s v="CASE-2863"/>
        <s v="CASE-2864"/>
        <s v="CASE-2865"/>
        <s v="CASE-2866"/>
        <s v="CASE-2867"/>
        <s v="CASE-2868"/>
        <s v="CASE-2869"/>
        <s v="CASE-2870"/>
        <s v="CASE-2871"/>
        <s v="CASE-2872"/>
        <s v="CASE-2873"/>
        <s v="CASE-2874"/>
        <s v="CASE-2875"/>
        <s v="CASE-2876"/>
        <s v="CASE-2877"/>
        <s v="CASE-2878"/>
        <s v="CASE-2879"/>
        <s v="CASE-2880"/>
        <s v="CASE-2881"/>
        <s v="CASE-2882"/>
        <s v="CASE-2883"/>
        <s v="CASE-2884"/>
        <s v="CASE-2885"/>
        <s v="CASE-2886"/>
        <s v="CASE-2887"/>
        <s v="CASE-2888"/>
        <s v="CASE-2889"/>
        <s v="CASE-2890"/>
        <s v="CASE-2891"/>
        <s v="CASE-2892"/>
        <s v="CASE-2893"/>
        <s v="CASE-2894"/>
        <s v="CASE-2895"/>
        <s v="CASE-2896"/>
        <s v="CASE-2897"/>
        <s v="CASE-2898"/>
        <s v="CASE-2899"/>
        <s v="CASE-2900"/>
        <s v="CASE-2901"/>
        <s v="CASE-2902"/>
        <s v="CASE-2903"/>
        <s v="CASE-2904"/>
        <s v="CASE-2905"/>
        <s v="CASE-2906"/>
        <s v="CASE-2907"/>
        <s v="CASE-2908"/>
        <s v="CASE-2909"/>
        <s v="CASE-2910"/>
        <s v="CASE-2911"/>
        <s v="CASE-2912"/>
        <s v="CASE-2913"/>
        <s v="CASE-2914"/>
        <s v="CASE-2915"/>
        <s v="CASE-2916"/>
        <s v="CASE-2917"/>
        <s v="CASE-2918"/>
        <s v="CASE-2919"/>
        <s v="CASE-2920"/>
        <s v="CASE-2921"/>
        <s v="CASE-2922"/>
        <s v="CASE-2923"/>
        <s v="CASE-2924"/>
        <s v="CASE-2925"/>
        <s v="CASE-2926"/>
        <s v="CASE-2927"/>
        <s v="CASE-2928"/>
        <s v="CASE-2929"/>
        <s v="CASE-2930"/>
        <s v="CASE-2931"/>
        <s v="CASE-2932"/>
        <s v="CASE-2933"/>
        <s v="CASE-2934"/>
        <s v="CASE-2935"/>
        <s v="CASE-2936"/>
        <s v="CASE-2937"/>
        <s v="CASE-2938"/>
        <s v="CASE-2939"/>
        <s v="CASE-2940"/>
        <s v="CASE-2941"/>
        <s v="CASE-2942"/>
        <s v="CASE-2943"/>
        <s v="CASE-2944"/>
        <s v="CASE-2945"/>
        <s v="CASE-2946"/>
        <s v="CASE-2947"/>
        <s v="CASE-2948"/>
        <s v="CASE-2949"/>
        <s v="CASE-2950"/>
        <s v="CASE-2951"/>
        <s v="CASE-2952"/>
        <s v="CASE-2953"/>
        <s v="CASE-2954"/>
        <s v="CASE-2955"/>
        <s v="CASE-2956"/>
        <s v="CASE-2957"/>
        <s v="CASE-2958"/>
        <s v="CASE-2959"/>
        <s v="CASE-2960"/>
        <s v="CASE-2961"/>
        <s v="CASE-2962"/>
        <s v="CASE-2963"/>
        <s v="CASE-2964"/>
        <s v="CASE-2965"/>
        <s v="CASE-2966"/>
        <s v="CASE-2967"/>
        <s v="CASE-2968"/>
        <s v="CASE-2969"/>
        <s v="CASE-2970"/>
        <s v="CASE-2971"/>
        <s v="CASE-2972"/>
        <s v="CASE-2973"/>
        <s v="CASE-2974"/>
        <s v="CASE-2975"/>
        <s v="CASE-2976"/>
        <s v="CASE-2977"/>
        <s v="CASE-2978"/>
        <s v="CASE-2979"/>
        <s v="CASE-2980"/>
        <s v="CASE-2981"/>
        <s v="CASE-2982"/>
        <s v="CASE-2983"/>
        <s v="CASE-2984"/>
        <s v="CASE-2985"/>
        <s v="CASE-2986"/>
        <s v="CASE-2987"/>
        <s v="CASE-2988"/>
        <s v="CASE-2989"/>
        <s v="CASE-2990"/>
        <s v="CASE-2991"/>
        <s v="CASE-2992"/>
        <s v="CASE-2993"/>
        <s v="CASE-2994"/>
        <s v="CASE-2995"/>
        <s v="CASE-2996"/>
        <s v="CASE-2997"/>
        <s v="CASE-2998"/>
        <s v="CASE-2999"/>
        <s v="CASE-3000"/>
      </sharedItems>
    </cacheField>
    <cacheField name="Date_Received" numFmtId="14">
      <sharedItems containsSemiMixedTypes="0" containsNonDate="0" containsDate="1" containsString="0" minDate="2024-07-01T00:00:00" maxDate="2026-07-01T00:00:00" count="717">
        <d v="2025-10-27T00:00:00"/>
        <d v="2025-08-08T00:00:00"/>
        <d v="2025-06-10T00:00:00"/>
        <d v="2025-06-02T00:00:00"/>
        <d v="2025-09-25T00:00:00"/>
        <d v="2025-07-12T00:00:00"/>
        <d v="2026-06-22T00:00:00"/>
        <d v="2025-06-11T00:00:00"/>
        <d v="2026-01-31T00:00:00"/>
        <d v="2025-06-01T00:00:00"/>
        <d v="2026-01-27T00:00:00"/>
        <d v="2025-02-07T00:00:00"/>
        <d v="2025-10-03T00:00:00"/>
        <d v="2026-05-29T00:00:00"/>
        <d v="2024-10-13T00:00:00"/>
        <d v="2026-04-23T00:00:00"/>
        <d v="2025-02-09T00:00:00"/>
        <d v="2025-02-11T00:00:00"/>
        <d v="2024-09-10T00:00:00"/>
        <d v="2025-07-06T00:00:00"/>
        <d v="2024-08-05T00:00:00"/>
        <d v="2026-05-09T00:00:00"/>
        <d v="2026-01-23T00:00:00"/>
        <d v="2025-09-01T00:00:00"/>
        <d v="2026-03-03T00:00:00"/>
        <d v="2024-11-04T00:00:00"/>
        <d v="2025-08-10T00:00:00"/>
        <d v="2024-09-26T00:00:00"/>
        <d v="2025-03-08T00:00:00"/>
        <d v="2025-02-27T00:00:00"/>
        <d v="2025-07-24T00:00:00"/>
        <d v="2024-09-08T00:00:00"/>
        <d v="2026-02-12T00:00:00"/>
        <d v="2024-08-04T00:00:00"/>
        <d v="2025-10-01T00:00:00"/>
        <d v="2025-12-26T00:00:00"/>
        <d v="2025-07-22T00:00:00"/>
        <d v="2026-06-24T00:00:00"/>
        <d v="2025-06-14T00:00:00"/>
        <d v="2026-06-23T00:00:00"/>
        <d v="2025-04-16T00:00:00"/>
        <d v="2026-05-22T00:00:00"/>
        <d v="2025-10-26T00:00:00"/>
        <d v="2024-08-15T00:00:00"/>
        <d v="2025-12-21T00:00:00"/>
        <d v="2024-11-08T00:00:00"/>
        <d v="2025-01-19T00:00:00"/>
        <d v="2026-03-16T00:00:00"/>
        <d v="2024-10-29T00:00:00"/>
        <d v="2025-12-15T00:00:00"/>
        <d v="2025-01-11T00:00:00"/>
        <d v="2025-09-29T00:00:00"/>
        <d v="2025-03-12T00:00:00"/>
        <d v="2025-07-02T00:00:00"/>
        <d v="2025-02-19T00:00:00"/>
        <d v="2026-04-24T00:00:00"/>
        <d v="2024-10-16T00:00:00"/>
        <d v="2026-03-23T00:00:00"/>
        <d v="2026-02-02T00:00:00"/>
        <d v="2025-05-21T00:00:00"/>
        <d v="2025-06-13T00:00:00"/>
        <d v="2026-01-11T00:00:00"/>
        <d v="2026-05-24T00:00:00"/>
        <d v="2026-01-12T00:00:00"/>
        <d v="2026-05-15T00:00:00"/>
        <d v="2024-12-29T00:00:00"/>
        <d v="2025-01-18T00:00:00"/>
        <d v="2025-04-29T00:00:00"/>
        <d v="2025-09-27T00:00:00"/>
        <d v="2024-10-30T00:00:00"/>
        <d v="2024-11-05T00:00:00"/>
        <d v="2025-02-14T00:00:00"/>
        <d v="2024-07-07T00:00:00"/>
        <d v="2025-11-27T00:00:00"/>
        <d v="2026-06-12T00:00:00"/>
        <d v="2026-03-25T00:00:00"/>
        <d v="2026-06-21T00:00:00"/>
        <d v="2025-03-30T00:00:00"/>
        <d v="2025-09-10T00:00:00"/>
        <d v="2024-12-31T00:00:00"/>
        <d v="2024-09-16T00:00:00"/>
        <d v="2025-11-28T00:00:00"/>
        <d v="2024-10-12T00:00:00"/>
        <d v="2025-02-16T00:00:00"/>
        <d v="2024-09-05T00:00:00"/>
        <d v="2025-10-16T00:00:00"/>
        <d v="2026-05-16T00:00:00"/>
        <d v="2025-12-08T00:00:00"/>
        <d v="2026-04-27T00:00:00"/>
        <d v="2025-08-24T00:00:00"/>
        <d v="2025-09-13T00:00:00"/>
        <d v="2026-04-02T00:00:00"/>
        <d v="2025-11-17T00:00:00"/>
        <d v="2024-07-02T00:00:00"/>
        <d v="2026-02-09T00:00:00"/>
        <d v="2026-04-20T00:00:00"/>
        <d v="2025-04-24T00:00:00"/>
        <d v="2026-03-05T00:00:00"/>
        <d v="2025-06-03T00:00:00"/>
        <d v="2025-03-11T00:00:00"/>
        <d v="2024-09-04T00:00:00"/>
        <d v="2024-08-02T00:00:00"/>
        <d v="2024-10-17T00:00:00"/>
        <d v="2025-11-08T00:00:00"/>
        <d v="2025-06-04T00:00:00"/>
        <d v="2026-02-04T00:00:00"/>
        <d v="2025-01-24T00:00:00"/>
        <d v="2026-04-29T00:00:00"/>
        <d v="2026-01-13T00:00:00"/>
        <d v="2025-02-20T00:00:00"/>
        <d v="2026-06-30T00:00:00"/>
        <d v="2026-04-04T00:00:00"/>
        <d v="2026-01-04T00:00:00"/>
        <d v="2025-01-02T00:00:00"/>
        <d v="2026-03-11T00:00:00"/>
        <d v="2026-05-27T00:00:00"/>
        <d v="2026-04-25T00:00:00"/>
        <d v="2024-11-21T00:00:00"/>
        <d v="2024-09-28T00:00:00"/>
        <d v="2024-12-11T00:00:00"/>
        <d v="2025-08-04T00:00:00"/>
        <d v="2024-12-05T00:00:00"/>
        <d v="2025-11-03T00:00:00"/>
        <d v="2024-11-14T00:00:00"/>
        <d v="2025-05-04T00:00:00"/>
        <d v="2024-11-09T00:00:00"/>
        <d v="2025-11-21T00:00:00"/>
        <d v="2024-10-14T00:00:00"/>
        <d v="2024-09-21T00:00:00"/>
        <d v="2026-06-08T00:00:00"/>
        <d v="2024-07-31T00:00:00"/>
        <d v="2026-05-19T00:00:00"/>
        <d v="2025-01-20T00:00:00"/>
        <d v="2025-06-09T00:00:00"/>
        <d v="2024-07-17T00:00:00"/>
        <d v="2025-08-07T00:00:00"/>
        <d v="2025-08-12T00:00:00"/>
        <d v="2026-04-14T00:00:00"/>
        <d v="2025-12-28T00:00:00"/>
        <d v="2026-01-25T00:00:00"/>
        <d v="2025-06-21T00:00:00"/>
        <d v="2026-04-06T00:00:00"/>
        <d v="2025-10-19T00:00:00"/>
        <d v="2024-07-11T00:00:00"/>
        <d v="2026-06-17T00:00:00"/>
        <d v="2024-11-26T00:00:00"/>
        <d v="2025-11-23T00:00:00"/>
        <d v="2025-06-24T00:00:00"/>
        <d v="2025-04-23T00:00:00"/>
        <d v="2026-01-07T00:00:00"/>
        <d v="2025-01-15T00:00:00"/>
        <d v="2025-08-18T00:00:00"/>
        <d v="2024-07-21T00:00:00"/>
        <d v="2026-06-18T00:00:00"/>
        <d v="2025-07-04T00:00:00"/>
        <d v="2026-02-07T00:00:00"/>
        <d v="2024-07-24T00:00:00"/>
        <d v="2025-11-25T00:00:00"/>
        <d v="2025-03-16T00:00:00"/>
        <d v="2026-06-16T00:00:00"/>
        <d v="2024-08-27T00:00:00"/>
        <d v="2025-09-05T00:00:00"/>
        <d v="2025-03-27T00:00:00"/>
        <d v="2025-07-29T00:00:00"/>
        <d v="2025-12-29T00:00:00"/>
        <d v="2025-10-11T00:00:00"/>
        <d v="2025-11-15T00:00:00"/>
        <d v="2025-10-25T00:00:00"/>
        <d v="2024-07-12T00:00:00"/>
        <d v="2026-01-19T00:00:00"/>
        <d v="2025-12-14T00:00:00"/>
        <d v="2025-11-12T00:00:00"/>
        <d v="2026-01-15T00:00:00"/>
        <d v="2026-06-26T00:00:00"/>
        <d v="2024-12-12T00:00:00"/>
        <d v="2024-10-05T00:00:00"/>
        <d v="2026-01-30T00:00:00"/>
        <d v="2024-11-02T00:00:00"/>
        <d v="2025-12-01T00:00:00"/>
        <d v="2024-08-22T00:00:00"/>
        <d v="2024-07-22T00:00:00"/>
        <d v="2024-07-18T00:00:00"/>
        <d v="2025-06-06T00:00:00"/>
        <d v="2024-09-12T00:00:00"/>
        <d v="2025-07-28T00:00:00"/>
        <d v="2025-03-31T00:00:00"/>
        <d v="2025-08-28T00:00:00"/>
        <d v="2025-06-22T00:00:00"/>
        <d v="2025-01-04T00:00:00"/>
        <d v="2025-08-11T00:00:00"/>
        <d v="2025-01-17T00:00:00"/>
        <d v="2026-05-04T00:00:00"/>
        <d v="2024-12-15T00:00:00"/>
        <d v="2024-08-29T00:00:00"/>
        <d v="2025-07-13T00:00:00"/>
        <d v="2025-03-03T00:00:00"/>
        <d v="2025-10-29T00:00:00"/>
        <d v="2025-12-25T00:00:00"/>
        <d v="2024-12-24T00:00:00"/>
        <d v="2026-02-26T00:00:00"/>
        <d v="2025-02-12T00:00:00"/>
        <d v="2025-09-18T00:00:00"/>
        <d v="2024-09-13T00:00:00"/>
        <d v="2026-03-18T00:00:00"/>
        <d v="2026-05-21T00:00:00"/>
        <d v="2025-12-03T00:00:00"/>
        <d v="2025-06-05T00:00:00"/>
        <d v="2025-12-13T00:00:00"/>
        <d v="2024-07-23T00:00:00"/>
        <d v="2025-09-23T00:00:00"/>
        <d v="2026-04-05T00:00:00"/>
        <d v="2025-06-12T00:00:00"/>
        <d v="2025-03-15T00:00:00"/>
        <d v="2024-12-30T00:00:00"/>
        <d v="2025-01-03T00:00:00"/>
        <d v="2026-04-08T00:00:00"/>
        <d v="2024-12-14T00:00:00"/>
        <d v="2025-08-14T00:00:00"/>
        <d v="2025-04-12T00:00:00"/>
        <d v="2026-01-05T00:00:00"/>
        <d v="2025-04-02T00:00:00"/>
        <d v="2024-12-21T00:00:00"/>
        <d v="2024-08-26T00:00:00"/>
        <d v="2024-08-25T00:00:00"/>
        <d v="2025-10-15T00:00:00"/>
        <d v="2025-05-30T00:00:00"/>
        <d v="2025-10-04T00:00:00"/>
        <d v="2024-09-01T00:00:00"/>
        <d v="2025-10-23T00:00:00"/>
        <d v="2025-04-26T00:00:00"/>
        <d v="2025-09-08T00:00:00"/>
        <d v="2024-12-02T00:00:00"/>
        <d v="2024-12-27T00:00:00"/>
        <d v="2025-09-17T00:00:00"/>
        <d v="2025-08-31T00:00:00"/>
        <d v="2025-11-30T00:00:00"/>
        <d v="2024-10-08T00:00:00"/>
        <d v="2025-09-03T00:00:00"/>
        <d v="2026-06-29T00:00:00"/>
        <d v="2026-04-13T00:00:00"/>
        <d v="2026-06-04T00:00:00"/>
        <d v="2026-02-16T00:00:00"/>
        <d v="2024-11-16T00:00:00"/>
        <d v="2025-04-07T00:00:00"/>
        <d v="2025-01-06T00:00:00"/>
        <d v="2025-07-30T00:00:00"/>
        <d v="2026-06-28T00:00:00"/>
        <d v="2026-04-22T00:00:00"/>
        <d v="2025-12-24T00:00:00"/>
        <d v="2026-04-11T00:00:00"/>
        <d v="2025-06-08T00:00:00"/>
        <d v="2025-07-03T00:00:00"/>
        <d v="2026-02-25T00:00:00"/>
        <d v="2025-02-25T00:00:00"/>
        <d v="2025-01-16T00:00:00"/>
        <d v="2025-12-23T00:00:00"/>
        <d v="2026-03-29T00:00:00"/>
        <d v="2026-05-01T00:00:00"/>
        <d v="2026-01-26T00:00:00"/>
        <d v="2025-02-10T00:00:00"/>
        <d v="2024-07-16T00:00:00"/>
        <d v="2026-03-21T00:00:00"/>
        <d v="2024-08-08T00:00:00"/>
        <d v="2025-06-07T00:00:00"/>
        <d v="2026-04-30T00:00:00"/>
        <d v="2024-07-30T00:00:00"/>
        <d v="2026-02-22T00:00:00"/>
        <d v="2026-05-11T00:00:00"/>
        <d v="2025-05-17T00:00:00"/>
        <d v="2024-07-19T00:00:00"/>
        <d v="2025-07-05T00:00:00"/>
        <d v="2025-12-06T00:00:00"/>
        <d v="2025-05-06T00:00:00"/>
        <d v="2026-02-10T00:00:00"/>
        <d v="2024-09-27T00:00:00"/>
        <d v="2024-11-25T00:00:00"/>
        <d v="2025-03-28T00:00:00"/>
        <d v="2025-01-25T00:00:00"/>
        <d v="2024-09-15T00:00:00"/>
        <d v="2026-01-20T00:00:00"/>
        <d v="2025-10-08T00:00:00"/>
        <d v="2026-02-11T00:00:00"/>
        <d v="2024-09-25T00:00:00"/>
        <d v="2025-11-06T00:00:00"/>
        <d v="2025-05-05T00:00:00"/>
        <d v="2026-02-15T00:00:00"/>
        <d v="2026-06-06T00:00:00"/>
        <d v="2026-01-18T00:00:00"/>
        <d v="2025-02-22T00:00:00"/>
        <d v="2025-05-15T00:00:00"/>
        <d v="2024-10-21T00:00:00"/>
        <d v="2025-07-27T00:00:00"/>
        <d v="2024-12-07T00:00:00"/>
        <d v="2026-03-30T00:00:00"/>
        <d v="2025-12-30T00:00:00"/>
        <d v="2024-09-23T00:00:00"/>
        <d v="2026-03-06T00:00:00"/>
        <d v="2025-12-16T00:00:00"/>
        <d v="2024-10-18T00:00:00"/>
        <d v="2026-06-13T00:00:00"/>
        <d v="2024-08-14T00:00:00"/>
        <d v="2024-11-24T00:00:00"/>
        <d v="2024-10-11T00:00:00"/>
        <d v="2025-08-06T00:00:00"/>
        <d v="2026-02-05T00:00:00"/>
        <d v="2025-11-07T00:00:00"/>
        <d v="2026-02-13T00:00:00"/>
        <d v="2025-01-05T00:00:00"/>
        <d v="2025-10-21T00:00:00"/>
        <d v="2025-06-17T00:00:00"/>
        <d v="2025-07-25T00:00:00"/>
        <d v="2025-05-10T00:00:00"/>
        <d v="2024-10-01T00:00:00"/>
        <d v="2026-03-08T00:00:00"/>
        <d v="2024-11-01T00:00:00"/>
        <d v="2025-02-23T00:00:00"/>
        <d v="2025-08-03T00:00:00"/>
        <d v="2025-10-31T00:00:00"/>
        <d v="2025-02-17T00:00:00"/>
        <d v="2025-10-14T00:00:00"/>
        <d v="2025-07-14T00:00:00"/>
        <d v="2025-02-28T00:00:00"/>
        <d v="2025-04-08T00:00:00"/>
        <d v="2025-04-10T00:00:00"/>
        <d v="2026-04-21T00:00:00"/>
        <d v="2026-02-28T00:00:00"/>
        <d v="2025-07-01T00:00:00"/>
        <d v="2025-04-14T00:00:00"/>
        <d v="2025-11-20T00:00:00"/>
        <d v="2026-05-14T00:00:00"/>
        <d v="2026-05-31T00:00:00"/>
        <d v="2024-10-26T00:00:00"/>
        <d v="2025-07-26T00:00:00"/>
        <d v="2026-01-28T00:00:00"/>
        <d v="2024-09-14T00:00:00"/>
        <d v="2025-03-13T00:00:00"/>
        <d v="2025-11-19T00:00:00"/>
        <d v="2026-03-26T00:00:00"/>
        <d v="2025-01-26T00:00:00"/>
        <d v="2025-09-07T00:00:00"/>
        <d v="2025-06-26T00:00:00"/>
        <d v="2024-09-03T00:00:00"/>
        <d v="2025-10-10T00:00:00"/>
        <d v="2025-07-07T00:00:00"/>
        <d v="2025-05-19T00:00:00"/>
        <d v="2025-12-22T00:00:00"/>
        <d v="2025-09-14T00:00:00"/>
        <d v="2025-04-21T00:00:00"/>
        <d v="2025-10-12T00:00:00"/>
        <d v="2025-12-27T00:00:00"/>
        <d v="2026-04-18T00:00:00"/>
        <d v="2025-05-25T00:00:00"/>
        <d v="2025-11-29T00:00:00"/>
        <d v="2025-01-08T00:00:00"/>
        <d v="2025-03-07T00:00:00"/>
        <d v="2026-01-14T00:00:00"/>
        <d v="2025-12-18T00:00:00"/>
        <d v="2024-08-24T00:00:00"/>
        <d v="2026-03-22T00:00:00"/>
        <d v="2025-10-17T00:00:00"/>
        <d v="2025-12-07T00:00:00"/>
        <d v="2025-02-01T00:00:00"/>
        <d v="2024-10-15T00:00:00"/>
        <d v="2024-10-24T00:00:00"/>
        <d v="2025-06-30T00:00:00"/>
        <d v="2025-08-05T00:00:00"/>
        <d v="2025-02-08T00:00:00"/>
        <d v="2025-03-20T00:00:00"/>
        <d v="2025-05-27T00:00:00"/>
        <d v="2025-04-05T00:00:00"/>
        <d v="2024-07-08T00:00:00"/>
        <d v="2025-05-24T00:00:00"/>
        <d v="2025-09-20T00:00:00"/>
        <d v="2025-01-14T00:00:00"/>
        <d v="2026-06-20T00:00:00"/>
        <d v="2026-04-28T00:00:00"/>
        <d v="2024-08-31T00:00:00"/>
        <d v="2025-10-18T00:00:00"/>
        <d v="2024-09-18T00:00:00"/>
        <d v="2024-09-07T00:00:00"/>
        <d v="2025-02-06T00:00:00"/>
        <d v="2025-08-27T00:00:00"/>
        <d v="2026-04-01T00:00:00"/>
        <d v="2025-09-19T00:00:00"/>
        <d v="2025-10-06T00:00:00"/>
        <d v="2025-08-15T00:00:00"/>
        <d v="2025-09-30T00:00:00"/>
        <d v="2024-09-09T00:00:00"/>
        <d v="2025-08-17T00:00:00"/>
        <d v="2026-01-02T00:00:00"/>
        <d v="2024-08-06T00:00:00"/>
        <d v="2025-08-13T00:00:00"/>
        <d v="2025-01-28T00:00:00"/>
        <d v="2025-11-04T00:00:00"/>
        <d v="2026-06-25T00:00:00"/>
        <d v="2026-04-19T00:00:00"/>
        <d v="2025-06-27T00:00:00"/>
        <d v="2025-01-30T00:00:00"/>
        <d v="2025-09-24T00:00:00"/>
        <d v="2024-07-20T00:00:00"/>
        <d v="2026-05-20T00:00:00"/>
        <d v="2025-03-09T00:00:00"/>
        <d v="2026-02-03T00:00:00"/>
        <d v="2024-07-25T00:00:00"/>
        <d v="2025-05-12T00:00:00"/>
        <d v="2025-03-26T00:00:00"/>
        <d v="2026-05-06T00:00:00"/>
        <d v="2024-07-15T00:00:00"/>
        <d v="2024-07-28T00:00:00"/>
        <d v="2024-08-11T00:00:00"/>
        <d v="2025-08-30T00:00:00"/>
        <d v="2025-12-17T00:00:00"/>
        <d v="2025-02-15T00:00:00"/>
        <d v="2025-11-26T00:00:00"/>
        <d v="2024-11-18T00:00:00"/>
        <d v="2025-06-18T00:00:00"/>
        <d v="2024-11-06T00:00:00"/>
        <d v="2024-10-02T00:00:00"/>
        <d v="2024-12-06T00:00:00"/>
        <d v="2025-12-20T00:00:00"/>
        <d v="2024-07-10T00:00:00"/>
        <d v="2024-09-06T00:00:00"/>
        <d v="2026-03-17T00:00:00"/>
        <d v="2025-05-23T00:00:00"/>
        <d v="2025-09-06T00:00:00"/>
        <d v="2026-01-24T00:00:00"/>
        <d v="2024-09-19T00:00:00"/>
        <d v="2025-04-30T00:00:00"/>
        <d v="2024-10-31T00:00:00"/>
        <d v="2025-03-21T00:00:00"/>
        <d v="2024-12-10T00:00:00"/>
        <d v="2025-05-26T00:00:00"/>
        <d v="2025-05-01T00:00:00"/>
        <d v="2025-06-16T00:00:00"/>
        <d v="2025-11-16T00:00:00"/>
        <d v="2025-08-16T00:00:00"/>
        <d v="2025-06-23T00:00:00"/>
        <d v="2025-01-01T00:00:00"/>
        <d v="2025-05-16T00:00:00"/>
        <d v="2026-05-13T00:00:00"/>
        <d v="2024-11-07T00:00:00"/>
        <d v="2024-08-09T00:00:00"/>
        <d v="2025-08-22T00:00:00"/>
        <d v="2026-03-10T00:00:00"/>
        <d v="2025-04-13T00:00:00"/>
        <d v="2025-07-18T00:00:00"/>
        <d v="2025-01-21T00:00:00"/>
        <d v="2024-11-27T00:00:00"/>
        <d v="2025-09-09T00:00:00"/>
        <d v="2026-02-06T00:00:00"/>
        <d v="2025-08-02T00:00:00"/>
        <d v="2025-09-12T00:00:00"/>
        <d v="2025-07-11T00:00:00"/>
        <d v="2025-03-29T00:00:00"/>
        <d v="2024-07-27T00:00:00"/>
        <d v="2025-04-06T00:00:00"/>
        <d v="2024-11-13T00:00:00"/>
        <d v="2025-08-25T00:00:00"/>
        <d v="2025-11-14T00:00:00"/>
        <d v="2026-02-17T00:00:00"/>
        <d v="2025-09-15T00:00:00"/>
        <d v="2025-03-25T00:00:00"/>
        <d v="2025-09-02T00:00:00"/>
        <d v="2026-02-08T00:00:00"/>
        <d v="2026-05-02T00:00:00"/>
        <d v="2026-06-05T00:00:00"/>
        <d v="2026-03-13T00:00:00"/>
        <d v="2026-05-12T00:00:00"/>
        <d v="2026-01-29T00:00:00"/>
        <d v="2025-03-10T00:00:00"/>
        <d v="2024-09-29T00:00:00"/>
        <d v="2024-12-25T00:00:00"/>
        <d v="2024-07-26T00:00:00"/>
        <d v="2025-04-25T00:00:00"/>
        <d v="2025-09-26T00:00:00"/>
        <d v="2025-12-19T00:00:00"/>
        <d v="2025-05-03T00:00:00"/>
        <d v="2024-10-25T00:00:00"/>
        <d v="2024-08-03T00:00:00"/>
        <d v="2026-03-02T00:00:00"/>
        <d v="2026-06-01T00:00:00"/>
        <d v="2024-12-19T00:00:00"/>
        <d v="2024-08-28T00:00:00"/>
        <d v="2026-01-09T00:00:00"/>
        <d v="2024-11-19T00:00:00"/>
        <d v="2026-02-27T00:00:00"/>
        <d v="2024-12-01T00:00:00"/>
        <d v="2025-12-05T00:00:00"/>
        <d v="2025-04-20T00:00:00"/>
        <d v="2025-11-10T00:00:00"/>
        <d v="2025-02-04T00:00:00"/>
        <d v="2025-03-01T00:00:00"/>
        <d v="2025-08-29T00:00:00"/>
        <d v="2024-10-27T00:00:00"/>
        <d v="2025-11-22T00:00:00"/>
        <d v="2024-10-07T00:00:00"/>
        <d v="2025-05-11T00:00:00"/>
        <d v="2026-01-10T00:00:00"/>
        <d v="2025-10-20T00:00:00"/>
        <d v="2026-02-14T00:00:00"/>
        <d v="2025-12-09T00:00:00"/>
        <d v="2025-12-12T00:00:00"/>
        <d v="2024-11-28T00:00:00"/>
        <d v="2025-10-05T00:00:00"/>
        <d v="2025-05-22T00:00:00"/>
        <d v="2026-02-21T00:00:00"/>
        <d v="2026-05-23T00:00:00"/>
        <d v="2024-07-13T00:00:00"/>
        <d v="2025-11-05T00:00:00"/>
        <d v="2026-02-23T00:00:00"/>
        <d v="2026-03-24T00:00:00"/>
        <d v="2025-10-09T00:00:00"/>
        <d v="2024-07-09T00:00:00"/>
        <d v="2025-09-21T00:00:00"/>
        <d v="2025-07-16T00:00:00"/>
        <d v="2025-01-27T00:00:00"/>
        <d v="2025-08-01T00:00:00"/>
        <d v="2025-03-05T00:00:00"/>
        <d v="2026-04-09T00:00:00"/>
        <d v="2024-12-28T00:00:00"/>
        <d v="2025-08-23T00:00:00"/>
        <d v="2025-05-08T00:00:00"/>
        <d v="2025-04-03T00:00:00"/>
        <d v="2025-04-09T00:00:00"/>
        <d v="2025-04-04T00:00:00"/>
        <d v="2025-03-19T00:00:00"/>
        <d v="2024-08-18T00:00:00"/>
        <d v="2024-12-23T00:00:00"/>
        <d v="2025-04-18T00:00:00"/>
        <d v="2025-05-20T00:00:00"/>
        <d v="2025-06-19T00:00:00"/>
        <d v="2026-03-19T00:00:00"/>
        <d v="2026-05-03T00:00:00"/>
        <d v="2025-09-28T00:00:00"/>
        <d v="2026-06-27T00:00:00"/>
        <d v="2025-07-21T00:00:00"/>
        <d v="2025-03-22T00:00:00"/>
        <d v="2025-12-02T00:00:00"/>
        <d v="2026-03-31T00:00:00"/>
        <d v="2025-03-17T00:00:00"/>
        <d v="2026-06-10T00:00:00"/>
        <d v="2025-10-13T00:00:00"/>
        <d v="2025-11-02T00:00:00"/>
        <d v="2025-06-25T00:00:00"/>
        <d v="2025-08-19T00:00:00"/>
        <d v="2025-07-10T00:00:00"/>
        <d v="2026-04-26T00:00:00"/>
        <d v="2025-09-22T00:00:00"/>
        <d v="2024-12-22T00:00:00"/>
        <d v="2025-10-02T00:00:00"/>
        <d v="2024-11-22T00:00:00"/>
        <d v="2026-03-07T00:00:00"/>
        <d v="2024-11-30T00:00:00"/>
        <d v="2024-12-16T00:00:00"/>
        <d v="2024-11-12T00:00:00"/>
        <d v="2025-01-10T00:00:00"/>
        <d v="2026-04-15T00:00:00"/>
        <d v="2025-05-18T00:00:00"/>
        <d v="2026-03-12T00:00:00"/>
        <d v="2025-08-20T00:00:00"/>
        <d v="2025-01-09T00:00:00"/>
        <d v="2026-01-06T00:00:00"/>
        <d v="2026-04-17T00:00:00"/>
        <d v="2025-04-15T00:00:00"/>
        <d v="2024-07-04T00:00:00"/>
        <d v="2024-11-20T00:00:00"/>
        <d v="2026-06-15T00:00:00"/>
        <d v="2024-08-10T00:00:00"/>
        <d v="2024-12-20T00:00:00"/>
        <d v="2025-11-18T00:00:00"/>
        <d v="2025-03-23T00:00:00"/>
        <d v="2024-11-11T00:00:00"/>
        <d v="2025-12-04T00:00:00"/>
        <d v="2024-07-06T00:00:00"/>
        <d v="2024-11-17T00:00:00"/>
        <d v="2025-08-26T00:00:00"/>
        <d v="2025-01-29T00:00:00"/>
        <d v="2024-07-01T00:00:00"/>
        <d v="2026-05-08T00:00:00"/>
        <d v="2025-09-04T00:00:00"/>
        <d v="2025-05-28T00:00:00"/>
        <d v="2026-05-18T00:00:00"/>
        <d v="2025-04-01T00:00:00"/>
        <d v="2026-05-07T00:00:00"/>
        <d v="2024-10-06T00:00:00"/>
        <d v="2026-05-25T00:00:00"/>
        <d v="2025-04-11T00:00:00"/>
        <d v="2025-10-24T00:00:00"/>
        <d v="2026-03-20T00:00:00"/>
        <d v="2025-06-15T00:00:00"/>
        <d v="2025-06-20T00:00:00"/>
        <d v="2025-10-07T00:00:00"/>
        <d v="2025-07-17T00:00:00"/>
        <d v="2025-03-18T00:00:00"/>
        <d v="2024-08-19T00:00:00"/>
        <d v="2025-11-09T00:00:00"/>
        <d v="2024-08-20T00:00:00"/>
        <d v="2026-03-04T00:00:00"/>
        <d v="2024-10-03T00:00:00"/>
        <d v="2024-08-17T00:00:00"/>
        <d v="2025-07-09T00:00:00"/>
        <d v="2025-05-31T00:00:00"/>
        <d v="2026-04-10T00:00:00"/>
        <d v="2025-07-20T00:00:00"/>
        <d v="2024-09-20T00:00:00"/>
        <d v="2025-02-26T00:00:00"/>
        <d v="2024-09-24T00:00:00"/>
        <d v="2024-08-07T00:00:00"/>
        <d v="2025-05-02T00:00:00"/>
        <d v="2024-09-02T00:00:00"/>
        <d v="2025-10-28T00:00:00"/>
        <d v="2026-04-03T00:00:00"/>
        <d v="2026-01-21T00:00:00"/>
        <d v="2025-10-22T00:00:00"/>
        <d v="2025-01-23T00:00:00"/>
        <d v="2026-02-18T00:00:00"/>
        <d v="2024-09-22T00:00:00"/>
        <d v="2024-11-15T00:00:00"/>
        <d v="2025-02-21T00:00:00"/>
        <d v="2026-06-14T00:00:00"/>
        <d v="2026-02-01T00:00:00"/>
        <d v="2024-10-20T00:00:00"/>
        <d v="2026-03-09T00:00:00"/>
        <d v="2025-07-08T00:00:00"/>
        <d v="2025-02-02T00:00:00"/>
        <d v="2026-01-16T00:00:00"/>
        <d v="2024-08-13T00:00:00"/>
        <d v="2024-07-29T00:00:00"/>
        <d v="2025-03-02T00:00:00"/>
        <d v="2024-12-17T00:00:00"/>
        <d v="2026-05-26T00:00:00"/>
        <d v="2025-11-24T00:00:00"/>
        <d v="2025-02-05T00:00:00"/>
        <d v="2026-01-01T00:00:00"/>
        <d v="2026-06-02T00:00:00"/>
        <d v="2026-02-24T00:00:00"/>
        <d v="2025-02-18T00:00:00"/>
        <d v="2026-06-07T00:00:00"/>
        <d v="2025-07-23T00:00:00"/>
        <d v="2026-05-10T00:00:00"/>
        <d v="2025-01-07T00:00:00"/>
        <d v="2025-10-30T00:00:00"/>
        <d v="2025-09-16T00:00:00"/>
        <d v="2025-05-09T00:00:00"/>
        <d v="2025-05-13T00:00:00"/>
        <d v="2025-03-04T00:00:00"/>
        <d v="2024-10-22T00:00:00"/>
        <d v="2025-07-19T00:00:00"/>
        <d v="2024-11-10T00:00:00"/>
        <d v="2025-08-09T00:00:00"/>
        <d v="2024-11-29T00:00:00"/>
        <d v="2024-08-12T00:00:00"/>
        <d v="2026-05-28T00:00:00"/>
        <d v="2025-04-28T00:00:00"/>
        <d v="2025-08-21T00:00:00"/>
        <d v="2024-12-08T00:00:00"/>
        <d v="2026-06-11T00:00:00"/>
        <d v="2024-09-17T00:00:00"/>
        <d v="2025-01-31T00:00:00"/>
        <d v="2025-11-01T00:00:00"/>
        <d v="2025-11-13T00:00:00"/>
        <d v="2024-12-26T00:00:00"/>
        <d v="2026-04-12T00:00:00"/>
        <d v="2024-12-03T00:00:00"/>
        <d v="2024-09-30T00:00:00"/>
        <d v="2025-05-07T00:00:00"/>
        <d v="2026-02-20T00:00:00"/>
        <d v="2026-01-22T00:00:00"/>
        <d v="2025-07-31T00:00:00"/>
        <d v="2024-12-18T00:00:00"/>
        <d v="2026-06-19T00:00:00"/>
        <d v="2024-09-11T00:00:00"/>
        <d v="2024-12-13T00:00:00"/>
        <d v="2026-01-17T00:00:00"/>
        <d v="2024-08-21T00:00:00"/>
        <d v="2025-04-19T00:00:00"/>
        <d v="2025-03-06T00:00:00"/>
        <d v="2024-12-04T00:00:00"/>
        <d v="2024-11-03T00:00:00"/>
        <d v="2024-10-23T00:00:00"/>
        <d v="2025-01-22T00:00:00"/>
        <d v="2026-05-30T00:00:00"/>
        <d v="2024-07-14T00:00:00"/>
        <d v="2025-05-14T00:00:00"/>
        <d v="2025-06-29T00:00:00"/>
        <d v="2025-09-11T00:00:00"/>
        <d v="2025-02-24T00:00:00"/>
        <d v="2026-03-01T00:00:00"/>
        <d v="2026-01-08T00:00:00"/>
        <d v="2026-03-27T00:00:00"/>
        <d v="2025-04-17T00:00:00"/>
        <d v="2025-04-27T00:00:00"/>
        <d v="2025-03-14T00:00:00"/>
        <d v="2026-06-03T00:00:00"/>
        <d v="2024-10-19T00:00:00"/>
        <d v="2026-03-28T00:00:00"/>
        <d v="2025-07-15T00:00:00"/>
        <d v="2024-10-28T00:00:00"/>
        <d v="2024-07-05T00:00:00"/>
        <d v="2024-11-23T00:00:00"/>
        <d v="2026-02-19T00:00:00"/>
        <d v="2026-06-09T00:00:00"/>
        <d v="2026-03-14T00:00:00"/>
        <d v="2025-06-28T00:00:00"/>
        <d v="2024-10-04T00:00:00"/>
        <d v="2025-02-03T00:00:00"/>
        <d v="2024-08-01T00:00:00"/>
        <d v="2024-10-09T00:00:00"/>
        <d v="2024-12-09T00:00:00"/>
        <d v="2024-07-03T00:00:00"/>
        <d v="2025-05-29T00:00:00"/>
        <d v="2024-08-23T00:00:00"/>
        <d v="2026-03-15T00:00:00"/>
        <d v="2025-11-11T00:00:00"/>
        <d v="2025-02-13T00:00:00"/>
        <d v="2024-10-10T00:00:00"/>
        <d v="2026-01-03T00:00:00"/>
      </sharedItems>
    </cacheField>
    <cacheField name="Department" numFmtId="0">
      <sharedItems count="4">
        <s v="Radiology"/>
        <s v="Cardiology"/>
        <s v="Pathology"/>
        <s v="Oncology"/>
      </sharedItems>
    </cacheField>
    <cacheField name="Complexity_Score" numFmtId="0">
      <sharedItems containsSemiMixedTypes="0" containsString="0" containsNumber="1" containsInteger="1" minValue="1" maxValue="5" count="5">
        <n v="3"/>
        <n v="2"/>
        <n v="5"/>
        <n v="4"/>
        <n v="1"/>
      </sharedItems>
    </cacheField>
    <cacheField name="AI_Assisted" numFmtId="0">
      <sharedItems count="2">
        <b v="1"/>
        <b v="0"/>
      </sharedItems>
    </cacheField>
    <cacheField name="Turnaround_Time_Hours" numFmtId="2">
      <sharedItems containsSemiMixedTypes="0" containsString="0" containsNumber="1" minValue="-3.358592179817073" maxValue="50.348298808541436"/>
    </cacheField>
    <cacheField name="Amendment_Required" numFmtId="0">
      <sharedItems/>
    </cacheField>
    <cacheField name="Clinician_ID" numFmtId="0">
      <sharedItems/>
    </cacheField>
    <cacheField name="AI_Concordance" numFmtId="0">
      <sharedItems count="3">
        <s v="N/A"/>
        <s v="Agreed"/>
        <s v="Disagreed"/>
      </sharedItems>
    </cacheField>
  </cacheFields>
  <extLst>
    <ext xmlns:x14="http://schemas.microsoft.com/office/spreadsheetml/2009/9/main" uri="{725AE2AE-9491-48be-B2B4-4EB974FC3084}">
      <x14:pivotCacheDefinition pivotCacheId="934237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x v="0"/>
    <n v="36.832072884109181"/>
    <b v="0"/>
    <s v="MD_20"/>
    <x v="0"/>
  </r>
  <r>
    <x v="1"/>
    <x v="1"/>
    <x v="0"/>
    <x v="1"/>
    <x v="1"/>
    <n v="6.7940989790945947"/>
    <b v="0"/>
    <s v="MD_11"/>
    <x v="1"/>
  </r>
  <r>
    <x v="2"/>
    <x v="2"/>
    <x v="1"/>
    <x v="2"/>
    <x v="0"/>
    <n v="9.1671568719915992"/>
    <b v="0"/>
    <s v="MD_14"/>
    <x v="1"/>
  </r>
  <r>
    <x v="3"/>
    <x v="3"/>
    <x v="0"/>
    <x v="2"/>
    <x v="0"/>
    <n v="8.1620358085431466"/>
    <b v="1"/>
    <s v="MD_12"/>
    <x v="1"/>
  </r>
  <r>
    <x v="4"/>
    <x v="4"/>
    <x v="1"/>
    <x v="0"/>
    <x v="0"/>
    <n v="32.833420463476038"/>
    <b v="0"/>
    <s v="MD_11"/>
    <x v="0"/>
  </r>
  <r>
    <x v="5"/>
    <x v="5"/>
    <x v="0"/>
    <x v="2"/>
    <x v="0"/>
    <n v="2.0292870011568169"/>
    <b v="0"/>
    <s v="MD_12"/>
    <x v="1"/>
  </r>
  <r>
    <x v="6"/>
    <x v="6"/>
    <x v="1"/>
    <x v="1"/>
    <x v="0"/>
    <n v="10.343083548761737"/>
    <b v="0"/>
    <s v="MD_07"/>
    <x v="1"/>
  </r>
  <r>
    <x v="7"/>
    <x v="7"/>
    <x v="2"/>
    <x v="1"/>
    <x v="1"/>
    <n v="5.7029902114985154"/>
    <b v="0"/>
    <s v="MD_14"/>
    <x v="1"/>
  </r>
  <r>
    <x v="8"/>
    <x v="8"/>
    <x v="2"/>
    <x v="0"/>
    <x v="0"/>
    <n v="7.1102507398826447"/>
    <b v="0"/>
    <s v="MD_19"/>
    <x v="1"/>
  </r>
  <r>
    <x v="9"/>
    <x v="9"/>
    <x v="3"/>
    <x v="2"/>
    <x v="0"/>
    <n v="7.0380604006259695"/>
    <b v="1"/>
    <s v="MD_18"/>
    <x v="1"/>
  </r>
  <r>
    <x v="10"/>
    <x v="10"/>
    <x v="0"/>
    <x v="1"/>
    <x v="0"/>
    <n v="17.221694946992013"/>
    <b v="0"/>
    <s v="MD_17"/>
    <x v="0"/>
  </r>
  <r>
    <x v="11"/>
    <x v="11"/>
    <x v="1"/>
    <x v="1"/>
    <x v="0"/>
    <n v="18.303235621792524"/>
    <b v="0"/>
    <s v="MD_20"/>
    <x v="0"/>
  </r>
  <r>
    <x v="12"/>
    <x v="12"/>
    <x v="1"/>
    <x v="3"/>
    <x v="1"/>
    <n v="6.8531120543818957"/>
    <b v="0"/>
    <s v="MD_02"/>
    <x v="1"/>
  </r>
  <r>
    <x v="13"/>
    <x v="13"/>
    <x v="2"/>
    <x v="0"/>
    <x v="0"/>
    <n v="36.800930038389325"/>
    <b v="0"/>
    <s v="MD_16"/>
    <x v="0"/>
  </r>
  <r>
    <x v="14"/>
    <x v="14"/>
    <x v="2"/>
    <x v="1"/>
    <x v="1"/>
    <n v="21.679128745598188"/>
    <b v="0"/>
    <s v="MD_11"/>
    <x v="0"/>
  </r>
  <r>
    <x v="15"/>
    <x v="15"/>
    <x v="3"/>
    <x v="3"/>
    <x v="0"/>
    <n v="7.2451413694362241"/>
    <b v="0"/>
    <s v="MD_03"/>
    <x v="1"/>
  </r>
  <r>
    <x v="16"/>
    <x v="16"/>
    <x v="2"/>
    <x v="3"/>
    <x v="0"/>
    <n v="7.858171062008072"/>
    <b v="0"/>
    <s v="MD_15"/>
    <x v="1"/>
  </r>
  <r>
    <x v="17"/>
    <x v="17"/>
    <x v="3"/>
    <x v="2"/>
    <x v="0"/>
    <n v="3.4961833170099665"/>
    <b v="0"/>
    <s v="MD_14"/>
    <x v="1"/>
  </r>
  <r>
    <x v="18"/>
    <x v="18"/>
    <x v="2"/>
    <x v="2"/>
    <x v="1"/>
    <n v="36.81722650288669"/>
    <b v="0"/>
    <s v="MD_02"/>
    <x v="0"/>
  </r>
  <r>
    <x v="19"/>
    <x v="19"/>
    <x v="1"/>
    <x v="3"/>
    <x v="0"/>
    <n v="3.5161279791067073"/>
    <b v="0"/>
    <s v="MD_04"/>
    <x v="1"/>
  </r>
  <r>
    <x v="20"/>
    <x v="20"/>
    <x v="1"/>
    <x v="3"/>
    <x v="1"/>
    <n v="20.63782233031062"/>
    <b v="0"/>
    <s v="MD_10"/>
    <x v="0"/>
  </r>
  <r>
    <x v="21"/>
    <x v="21"/>
    <x v="3"/>
    <x v="0"/>
    <x v="0"/>
    <n v="3.7256123783153834"/>
    <b v="0"/>
    <s v="MD_19"/>
    <x v="1"/>
  </r>
  <r>
    <x v="22"/>
    <x v="22"/>
    <x v="1"/>
    <x v="1"/>
    <x v="0"/>
    <n v="5.9145091096937428"/>
    <b v="0"/>
    <s v="MD_08"/>
    <x v="1"/>
  </r>
  <r>
    <x v="23"/>
    <x v="23"/>
    <x v="1"/>
    <x v="2"/>
    <x v="0"/>
    <n v="29.243298539369665"/>
    <b v="0"/>
    <s v="MD_20"/>
    <x v="0"/>
  </r>
  <r>
    <x v="24"/>
    <x v="24"/>
    <x v="1"/>
    <x v="3"/>
    <x v="0"/>
    <n v="10.719180351118116"/>
    <b v="0"/>
    <s v="MD_16"/>
    <x v="1"/>
  </r>
  <r>
    <x v="25"/>
    <x v="25"/>
    <x v="0"/>
    <x v="0"/>
    <x v="1"/>
    <n v="20.747105494031715"/>
    <b v="0"/>
    <s v="MD_13"/>
    <x v="0"/>
  </r>
  <r>
    <x v="26"/>
    <x v="26"/>
    <x v="2"/>
    <x v="0"/>
    <x v="0"/>
    <n v="9.6346910794961165"/>
    <b v="0"/>
    <s v="MD_13"/>
    <x v="1"/>
  </r>
  <r>
    <x v="27"/>
    <x v="27"/>
    <x v="1"/>
    <x v="3"/>
    <x v="1"/>
    <n v="18.723244216422557"/>
    <b v="0"/>
    <s v="MD_01"/>
    <x v="0"/>
  </r>
  <r>
    <x v="28"/>
    <x v="28"/>
    <x v="2"/>
    <x v="4"/>
    <x v="1"/>
    <n v="2.7240820253962696"/>
    <b v="0"/>
    <s v="MD_06"/>
    <x v="1"/>
  </r>
  <r>
    <x v="29"/>
    <x v="29"/>
    <x v="1"/>
    <x v="3"/>
    <x v="1"/>
    <n v="7.8663083396281195"/>
    <b v="0"/>
    <s v="MD_20"/>
    <x v="2"/>
  </r>
  <r>
    <x v="30"/>
    <x v="30"/>
    <x v="2"/>
    <x v="1"/>
    <x v="1"/>
    <n v="5.6664132759052901"/>
    <b v="0"/>
    <s v="MD_20"/>
    <x v="1"/>
  </r>
  <r>
    <x v="31"/>
    <x v="31"/>
    <x v="1"/>
    <x v="4"/>
    <x v="1"/>
    <n v="30.94528434813963"/>
    <b v="0"/>
    <s v="MD_20"/>
    <x v="0"/>
  </r>
  <r>
    <x v="32"/>
    <x v="8"/>
    <x v="1"/>
    <x v="0"/>
    <x v="1"/>
    <n v="5.8271967015396164"/>
    <b v="0"/>
    <s v="MD_09"/>
    <x v="1"/>
  </r>
  <r>
    <x v="33"/>
    <x v="32"/>
    <x v="2"/>
    <x v="1"/>
    <x v="1"/>
    <n v="33.780673681307974"/>
    <b v="0"/>
    <s v="MD_14"/>
    <x v="0"/>
  </r>
  <r>
    <x v="34"/>
    <x v="33"/>
    <x v="3"/>
    <x v="1"/>
    <x v="1"/>
    <n v="33.727598240462839"/>
    <b v="0"/>
    <s v="MD_18"/>
    <x v="0"/>
  </r>
  <r>
    <x v="35"/>
    <x v="34"/>
    <x v="1"/>
    <x v="2"/>
    <x v="0"/>
    <n v="5.1745659826945261"/>
    <b v="0"/>
    <s v="MD_01"/>
    <x v="1"/>
  </r>
  <r>
    <x v="36"/>
    <x v="35"/>
    <x v="0"/>
    <x v="0"/>
    <x v="0"/>
    <n v="6.7325971912155191"/>
    <b v="0"/>
    <s v="MD_13"/>
    <x v="1"/>
  </r>
  <r>
    <x v="37"/>
    <x v="36"/>
    <x v="1"/>
    <x v="3"/>
    <x v="1"/>
    <n v="7.9446837298303228"/>
    <b v="0"/>
    <s v="MD_15"/>
    <x v="1"/>
  </r>
  <r>
    <x v="38"/>
    <x v="37"/>
    <x v="1"/>
    <x v="2"/>
    <x v="0"/>
    <n v="16.558341261733105"/>
    <b v="0"/>
    <s v="MD_11"/>
    <x v="0"/>
  </r>
  <r>
    <x v="39"/>
    <x v="38"/>
    <x v="2"/>
    <x v="4"/>
    <x v="1"/>
    <n v="5.213022197854122"/>
    <b v="0"/>
    <s v="MD_12"/>
    <x v="1"/>
  </r>
  <r>
    <x v="40"/>
    <x v="39"/>
    <x v="0"/>
    <x v="2"/>
    <x v="0"/>
    <n v="4.3823287074643495"/>
    <b v="0"/>
    <s v="MD_19"/>
    <x v="1"/>
  </r>
  <r>
    <x v="41"/>
    <x v="40"/>
    <x v="0"/>
    <x v="0"/>
    <x v="0"/>
    <n v="7.1199691145709005"/>
    <b v="0"/>
    <s v="MD_09"/>
    <x v="1"/>
  </r>
  <r>
    <x v="42"/>
    <x v="41"/>
    <x v="3"/>
    <x v="0"/>
    <x v="0"/>
    <n v="6.4343208381955979"/>
    <b v="0"/>
    <s v="MD_13"/>
    <x v="1"/>
  </r>
  <r>
    <x v="43"/>
    <x v="42"/>
    <x v="1"/>
    <x v="2"/>
    <x v="0"/>
    <n v="6.7084845573764369"/>
    <b v="0"/>
    <s v="MD_05"/>
    <x v="1"/>
  </r>
  <r>
    <x v="44"/>
    <x v="43"/>
    <x v="2"/>
    <x v="0"/>
    <x v="1"/>
    <n v="33.85335845933362"/>
    <b v="0"/>
    <s v="MD_12"/>
    <x v="0"/>
  </r>
  <r>
    <x v="45"/>
    <x v="44"/>
    <x v="3"/>
    <x v="3"/>
    <x v="1"/>
    <n v="40.242005310982023"/>
    <b v="0"/>
    <s v="MD_11"/>
    <x v="0"/>
  </r>
  <r>
    <x v="46"/>
    <x v="45"/>
    <x v="2"/>
    <x v="1"/>
    <x v="1"/>
    <n v="24.700263408138799"/>
    <b v="1"/>
    <s v="MD_04"/>
    <x v="0"/>
  </r>
  <r>
    <x v="47"/>
    <x v="46"/>
    <x v="3"/>
    <x v="0"/>
    <x v="0"/>
    <n v="23.690192225149747"/>
    <b v="0"/>
    <s v="MD_08"/>
    <x v="0"/>
  </r>
  <r>
    <x v="48"/>
    <x v="47"/>
    <x v="3"/>
    <x v="0"/>
    <x v="0"/>
    <n v="9.4456806535331506"/>
    <b v="0"/>
    <s v="MD_08"/>
    <x v="1"/>
  </r>
  <r>
    <x v="49"/>
    <x v="48"/>
    <x v="1"/>
    <x v="1"/>
    <x v="1"/>
    <n v="25.443155769311595"/>
    <b v="0"/>
    <s v="MD_18"/>
    <x v="0"/>
  </r>
  <r>
    <x v="50"/>
    <x v="49"/>
    <x v="2"/>
    <x v="3"/>
    <x v="0"/>
    <n v="7.8508211255018754"/>
    <b v="0"/>
    <s v="MD_14"/>
    <x v="1"/>
  </r>
  <r>
    <x v="51"/>
    <x v="50"/>
    <x v="1"/>
    <x v="2"/>
    <x v="0"/>
    <n v="6.8477489569842076"/>
    <b v="0"/>
    <s v="MD_20"/>
    <x v="1"/>
  </r>
  <r>
    <x v="52"/>
    <x v="51"/>
    <x v="3"/>
    <x v="2"/>
    <x v="1"/>
    <n v="2.3646650918226091"/>
    <b v="0"/>
    <s v="MD_19"/>
    <x v="1"/>
  </r>
  <r>
    <x v="53"/>
    <x v="32"/>
    <x v="3"/>
    <x v="2"/>
    <x v="1"/>
    <n v="7.4045118151420439"/>
    <b v="0"/>
    <s v="MD_01"/>
    <x v="1"/>
  </r>
  <r>
    <x v="54"/>
    <x v="52"/>
    <x v="2"/>
    <x v="0"/>
    <x v="0"/>
    <n v="38.80219538747312"/>
    <b v="0"/>
    <s v="MD_19"/>
    <x v="0"/>
  </r>
  <r>
    <x v="55"/>
    <x v="53"/>
    <x v="1"/>
    <x v="2"/>
    <x v="0"/>
    <n v="7.8544795910242176"/>
    <b v="0"/>
    <s v="MD_12"/>
    <x v="1"/>
  </r>
  <r>
    <x v="56"/>
    <x v="54"/>
    <x v="0"/>
    <x v="0"/>
    <x v="0"/>
    <n v="6.7727576853818858"/>
    <b v="0"/>
    <s v="MD_10"/>
    <x v="1"/>
  </r>
  <r>
    <x v="57"/>
    <x v="55"/>
    <x v="1"/>
    <x v="1"/>
    <x v="0"/>
    <n v="7.6255672545337205"/>
    <b v="0"/>
    <s v="MD_07"/>
    <x v="1"/>
  </r>
  <r>
    <x v="58"/>
    <x v="56"/>
    <x v="3"/>
    <x v="2"/>
    <x v="1"/>
    <n v="33.548131387197103"/>
    <b v="0"/>
    <s v="MD_20"/>
    <x v="0"/>
  </r>
  <r>
    <x v="59"/>
    <x v="57"/>
    <x v="3"/>
    <x v="4"/>
    <x v="1"/>
    <n v="27.200174404305592"/>
    <b v="0"/>
    <s v="MD_14"/>
    <x v="0"/>
  </r>
  <r>
    <x v="60"/>
    <x v="58"/>
    <x v="2"/>
    <x v="4"/>
    <x v="0"/>
    <n v="5.7222116965659007"/>
    <b v="0"/>
    <s v="MD_15"/>
    <x v="1"/>
  </r>
  <r>
    <x v="61"/>
    <x v="59"/>
    <x v="3"/>
    <x v="0"/>
    <x v="1"/>
    <n v="2.0619860247598791"/>
    <b v="0"/>
    <s v="MD_18"/>
    <x v="1"/>
  </r>
  <r>
    <x v="62"/>
    <x v="60"/>
    <x v="1"/>
    <x v="1"/>
    <x v="0"/>
    <n v="4.6858004438641911"/>
    <b v="0"/>
    <s v="MD_06"/>
    <x v="1"/>
  </r>
  <r>
    <x v="63"/>
    <x v="61"/>
    <x v="1"/>
    <x v="0"/>
    <x v="0"/>
    <n v="26.851814683460418"/>
    <b v="0"/>
    <s v="MD_12"/>
    <x v="0"/>
  </r>
  <r>
    <x v="64"/>
    <x v="62"/>
    <x v="3"/>
    <x v="0"/>
    <x v="0"/>
    <n v="6.7675074814991039"/>
    <b v="0"/>
    <s v="MD_05"/>
    <x v="1"/>
  </r>
  <r>
    <x v="65"/>
    <x v="63"/>
    <x v="2"/>
    <x v="2"/>
    <x v="0"/>
    <n v="6.5166283333202051"/>
    <b v="0"/>
    <s v="MD_07"/>
    <x v="1"/>
  </r>
  <r>
    <x v="66"/>
    <x v="64"/>
    <x v="3"/>
    <x v="4"/>
    <x v="0"/>
    <n v="4.8643910380122506"/>
    <b v="0"/>
    <s v="MD_12"/>
    <x v="1"/>
  </r>
  <r>
    <x v="67"/>
    <x v="65"/>
    <x v="1"/>
    <x v="0"/>
    <x v="1"/>
    <n v="19.716147145254645"/>
    <b v="0"/>
    <s v="MD_02"/>
    <x v="0"/>
  </r>
  <r>
    <x v="68"/>
    <x v="66"/>
    <x v="3"/>
    <x v="2"/>
    <x v="1"/>
    <n v="21.491283844018412"/>
    <b v="0"/>
    <s v="MD_16"/>
    <x v="0"/>
  </r>
  <r>
    <x v="69"/>
    <x v="67"/>
    <x v="2"/>
    <x v="1"/>
    <x v="0"/>
    <n v="3.6463427920745621"/>
    <b v="0"/>
    <s v="MD_03"/>
    <x v="1"/>
  </r>
  <r>
    <x v="70"/>
    <x v="68"/>
    <x v="3"/>
    <x v="0"/>
    <x v="0"/>
    <n v="8.5136805136478202"/>
    <b v="0"/>
    <s v="MD_09"/>
    <x v="1"/>
  </r>
  <r>
    <x v="71"/>
    <x v="69"/>
    <x v="1"/>
    <x v="2"/>
    <x v="1"/>
    <n v="27.656320011690127"/>
    <b v="0"/>
    <s v="MD_17"/>
    <x v="0"/>
  </r>
  <r>
    <x v="72"/>
    <x v="70"/>
    <x v="0"/>
    <x v="2"/>
    <x v="1"/>
    <n v="16.273984832246981"/>
    <b v="0"/>
    <s v="MD_20"/>
    <x v="0"/>
  </r>
  <r>
    <x v="73"/>
    <x v="1"/>
    <x v="2"/>
    <x v="4"/>
    <x v="0"/>
    <n v="9.9107214738842924"/>
    <b v="0"/>
    <s v="MD_13"/>
    <x v="1"/>
  </r>
  <r>
    <x v="74"/>
    <x v="71"/>
    <x v="2"/>
    <x v="1"/>
    <x v="0"/>
    <n v="5.8912607417951097"/>
    <b v="0"/>
    <s v="MD_15"/>
    <x v="1"/>
  </r>
  <r>
    <x v="75"/>
    <x v="72"/>
    <x v="3"/>
    <x v="3"/>
    <x v="1"/>
    <n v="37.265039401586883"/>
    <b v="0"/>
    <s v="MD_01"/>
    <x v="0"/>
  </r>
  <r>
    <x v="76"/>
    <x v="73"/>
    <x v="0"/>
    <x v="0"/>
    <x v="0"/>
    <n v="32.078207941201455"/>
    <b v="0"/>
    <s v="MD_14"/>
    <x v="0"/>
  </r>
  <r>
    <x v="77"/>
    <x v="74"/>
    <x v="3"/>
    <x v="2"/>
    <x v="0"/>
    <n v="13.113618057086542"/>
    <b v="0"/>
    <s v="MD_16"/>
    <x v="0"/>
  </r>
  <r>
    <x v="78"/>
    <x v="35"/>
    <x v="1"/>
    <x v="1"/>
    <x v="0"/>
    <n v="7.0303663431265244"/>
    <b v="0"/>
    <s v="MD_18"/>
    <x v="1"/>
  </r>
  <r>
    <x v="79"/>
    <x v="75"/>
    <x v="0"/>
    <x v="4"/>
    <x v="1"/>
    <n v="5.1993406220725582"/>
    <b v="0"/>
    <s v="MD_02"/>
    <x v="2"/>
  </r>
  <r>
    <x v="80"/>
    <x v="72"/>
    <x v="0"/>
    <x v="2"/>
    <x v="1"/>
    <n v="23.590744596612684"/>
    <b v="0"/>
    <s v="MD_14"/>
    <x v="0"/>
  </r>
  <r>
    <x v="81"/>
    <x v="76"/>
    <x v="2"/>
    <x v="4"/>
    <x v="0"/>
    <n v="5.6573625875921554"/>
    <b v="0"/>
    <s v="MD_15"/>
    <x v="1"/>
  </r>
  <r>
    <x v="82"/>
    <x v="77"/>
    <x v="3"/>
    <x v="2"/>
    <x v="0"/>
    <n v="8.9927883087751734"/>
    <b v="0"/>
    <s v="MD_09"/>
    <x v="1"/>
  </r>
  <r>
    <x v="83"/>
    <x v="78"/>
    <x v="0"/>
    <x v="3"/>
    <x v="0"/>
    <n v="30.522506314013327"/>
    <b v="0"/>
    <s v="MD_05"/>
    <x v="0"/>
  </r>
  <r>
    <x v="84"/>
    <x v="79"/>
    <x v="0"/>
    <x v="3"/>
    <x v="1"/>
    <n v="23.773868877987855"/>
    <b v="0"/>
    <s v="MD_08"/>
    <x v="0"/>
  </r>
  <r>
    <x v="85"/>
    <x v="80"/>
    <x v="1"/>
    <x v="1"/>
    <x v="1"/>
    <n v="43.311454848523191"/>
    <b v="0"/>
    <s v="MD_01"/>
    <x v="0"/>
  </r>
  <r>
    <x v="86"/>
    <x v="81"/>
    <x v="1"/>
    <x v="0"/>
    <x v="0"/>
    <n v="6.0746256657138211"/>
    <b v="0"/>
    <s v="MD_03"/>
    <x v="1"/>
  </r>
  <r>
    <x v="87"/>
    <x v="82"/>
    <x v="0"/>
    <x v="3"/>
    <x v="1"/>
    <n v="29.246970746348858"/>
    <b v="0"/>
    <s v="MD_10"/>
    <x v="0"/>
  </r>
  <r>
    <x v="88"/>
    <x v="83"/>
    <x v="3"/>
    <x v="4"/>
    <x v="0"/>
    <n v="35.269197920014669"/>
    <b v="0"/>
    <s v="MD_02"/>
    <x v="0"/>
  </r>
  <r>
    <x v="89"/>
    <x v="84"/>
    <x v="0"/>
    <x v="1"/>
    <x v="1"/>
    <n v="21.478758377104864"/>
    <b v="0"/>
    <s v="MD_11"/>
    <x v="0"/>
  </r>
  <r>
    <x v="90"/>
    <x v="85"/>
    <x v="2"/>
    <x v="4"/>
    <x v="0"/>
    <n v="5.9110181949014633"/>
    <b v="0"/>
    <s v="MD_06"/>
    <x v="1"/>
  </r>
  <r>
    <x v="91"/>
    <x v="86"/>
    <x v="1"/>
    <x v="1"/>
    <x v="0"/>
    <n v="7.4273314669288659"/>
    <b v="0"/>
    <s v="MD_17"/>
    <x v="1"/>
  </r>
  <r>
    <x v="92"/>
    <x v="87"/>
    <x v="2"/>
    <x v="2"/>
    <x v="1"/>
    <n v="6.4214026964140025"/>
    <b v="0"/>
    <s v="MD_04"/>
    <x v="1"/>
  </r>
  <r>
    <x v="93"/>
    <x v="88"/>
    <x v="1"/>
    <x v="2"/>
    <x v="0"/>
    <n v="6.6807028248240279"/>
    <b v="0"/>
    <s v="MD_11"/>
    <x v="1"/>
  </r>
  <r>
    <x v="94"/>
    <x v="89"/>
    <x v="2"/>
    <x v="1"/>
    <x v="0"/>
    <n v="4.9377184778965173"/>
    <b v="0"/>
    <s v="MD_11"/>
    <x v="2"/>
  </r>
  <r>
    <x v="95"/>
    <x v="90"/>
    <x v="2"/>
    <x v="4"/>
    <x v="0"/>
    <n v="45.270612772999577"/>
    <b v="0"/>
    <s v="MD_15"/>
    <x v="0"/>
  </r>
  <r>
    <x v="96"/>
    <x v="91"/>
    <x v="1"/>
    <x v="0"/>
    <x v="0"/>
    <n v="5.8277908800359244"/>
    <b v="0"/>
    <s v="MD_03"/>
    <x v="1"/>
  </r>
  <r>
    <x v="97"/>
    <x v="92"/>
    <x v="0"/>
    <x v="0"/>
    <x v="0"/>
    <n v="4.1001736509576414"/>
    <b v="0"/>
    <s v="MD_11"/>
    <x v="1"/>
  </r>
  <r>
    <x v="98"/>
    <x v="93"/>
    <x v="1"/>
    <x v="4"/>
    <x v="1"/>
    <n v="31.089102227782064"/>
    <b v="0"/>
    <s v="MD_11"/>
    <x v="0"/>
  </r>
  <r>
    <x v="99"/>
    <x v="94"/>
    <x v="1"/>
    <x v="3"/>
    <x v="0"/>
    <n v="4.4200937976493346"/>
    <b v="0"/>
    <s v="MD_14"/>
    <x v="1"/>
  </r>
  <r>
    <x v="100"/>
    <x v="95"/>
    <x v="2"/>
    <x v="1"/>
    <x v="0"/>
    <n v="8.0233576094085368"/>
    <b v="0"/>
    <s v="MD_13"/>
    <x v="1"/>
  </r>
  <r>
    <x v="101"/>
    <x v="96"/>
    <x v="1"/>
    <x v="0"/>
    <x v="0"/>
    <n v="6.2746181471529745"/>
    <b v="0"/>
    <s v="MD_02"/>
    <x v="1"/>
  </r>
  <r>
    <x v="102"/>
    <x v="45"/>
    <x v="3"/>
    <x v="4"/>
    <x v="1"/>
    <n v="20.091520092865338"/>
    <b v="0"/>
    <s v="MD_09"/>
    <x v="0"/>
  </r>
  <r>
    <x v="103"/>
    <x v="97"/>
    <x v="2"/>
    <x v="0"/>
    <x v="1"/>
    <n v="9.7216147988775052"/>
    <b v="0"/>
    <s v="MD_04"/>
    <x v="1"/>
  </r>
  <r>
    <x v="104"/>
    <x v="98"/>
    <x v="2"/>
    <x v="1"/>
    <x v="0"/>
    <n v="6.8270134859709231"/>
    <b v="0"/>
    <s v="MD_15"/>
    <x v="1"/>
  </r>
  <r>
    <x v="105"/>
    <x v="99"/>
    <x v="3"/>
    <x v="4"/>
    <x v="0"/>
    <n v="4.6174361841750127"/>
    <b v="0"/>
    <s v="MD_07"/>
    <x v="2"/>
  </r>
  <r>
    <x v="106"/>
    <x v="100"/>
    <x v="3"/>
    <x v="1"/>
    <x v="1"/>
    <n v="24.679766119233186"/>
    <b v="0"/>
    <s v="MD_03"/>
    <x v="0"/>
  </r>
  <r>
    <x v="107"/>
    <x v="101"/>
    <x v="1"/>
    <x v="4"/>
    <x v="1"/>
    <n v="28.704861033697611"/>
    <b v="0"/>
    <s v="MD_09"/>
    <x v="0"/>
  </r>
  <r>
    <x v="108"/>
    <x v="102"/>
    <x v="3"/>
    <x v="0"/>
    <x v="1"/>
    <n v="21.046185220529981"/>
    <b v="0"/>
    <s v="MD_16"/>
    <x v="0"/>
  </r>
  <r>
    <x v="109"/>
    <x v="103"/>
    <x v="3"/>
    <x v="4"/>
    <x v="0"/>
    <n v="8.2691330100605072"/>
    <b v="0"/>
    <s v="MD_10"/>
    <x v="1"/>
  </r>
  <r>
    <x v="110"/>
    <x v="104"/>
    <x v="0"/>
    <x v="0"/>
    <x v="0"/>
    <n v="29.695031274152576"/>
    <b v="0"/>
    <s v="MD_14"/>
    <x v="0"/>
  </r>
  <r>
    <x v="111"/>
    <x v="105"/>
    <x v="3"/>
    <x v="4"/>
    <x v="0"/>
    <n v="10.587622634770344"/>
    <b v="0"/>
    <s v="MD_17"/>
    <x v="1"/>
  </r>
  <r>
    <x v="112"/>
    <x v="106"/>
    <x v="2"/>
    <x v="4"/>
    <x v="0"/>
    <n v="5.4445126261728127"/>
    <b v="0"/>
    <s v="MD_01"/>
    <x v="1"/>
  </r>
  <r>
    <x v="113"/>
    <x v="107"/>
    <x v="2"/>
    <x v="2"/>
    <x v="0"/>
    <n v="3.2962356512174966"/>
    <b v="0"/>
    <s v="MD_10"/>
    <x v="1"/>
  </r>
  <r>
    <x v="114"/>
    <x v="108"/>
    <x v="1"/>
    <x v="2"/>
    <x v="0"/>
    <n v="6.6661910650956742"/>
    <b v="0"/>
    <s v="MD_17"/>
    <x v="1"/>
  </r>
  <r>
    <x v="115"/>
    <x v="109"/>
    <x v="0"/>
    <x v="2"/>
    <x v="1"/>
    <n v="5.9458775749721653"/>
    <b v="0"/>
    <s v="MD_12"/>
    <x v="1"/>
  </r>
  <r>
    <x v="116"/>
    <x v="31"/>
    <x v="0"/>
    <x v="2"/>
    <x v="1"/>
    <n v="25.951761438382832"/>
    <b v="0"/>
    <s v="MD_09"/>
    <x v="0"/>
  </r>
  <r>
    <x v="117"/>
    <x v="110"/>
    <x v="1"/>
    <x v="1"/>
    <x v="0"/>
    <n v="8.728074893130545"/>
    <b v="0"/>
    <s v="MD_02"/>
    <x v="1"/>
  </r>
  <r>
    <x v="118"/>
    <x v="111"/>
    <x v="0"/>
    <x v="4"/>
    <x v="0"/>
    <n v="8.4276838955384115"/>
    <b v="0"/>
    <s v="MD_03"/>
    <x v="1"/>
  </r>
  <r>
    <x v="119"/>
    <x v="112"/>
    <x v="2"/>
    <x v="1"/>
    <x v="0"/>
    <n v="7.0895767161312735"/>
    <b v="0"/>
    <s v="MD_11"/>
    <x v="1"/>
  </r>
  <r>
    <x v="120"/>
    <x v="113"/>
    <x v="3"/>
    <x v="4"/>
    <x v="0"/>
    <n v="6.3030181607775111"/>
    <b v="0"/>
    <s v="MD_11"/>
    <x v="1"/>
  </r>
  <r>
    <x v="121"/>
    <x v="114"/>
    <x v="1"/>
    <x v="3"/>
    <x v="0"/>
    <n v="6.2033706280922223"/>
    <b v="0"/>
    <s v="MD_12"/>
    <x v="1"/>
  </r>
  <r>
    <x v="122"/>
    <x v="115"/>
    <x v="3"/>
    <x v="0"/>
    <x v="1"/>
    <n v="9.2566464804513267"/>
    <b v="0"/>
    <s v="MD_02"/>
    <x v="1"/>
  </r>
  <r>
    <x v="123"/>
    <x v="116"/>
    <x v="0"/>
    <x v="2"/>
    <x v="0"/>
    <n v="7.3248849120310648"/>
    <b v="0"/>
    <s v="MD_10"/>
    <x v="1"/>
  </r>
  <r>
    <x v="124"/>
    <x v="117"/>
    <x v="2"/>
    <x v="0"/>
    <x v="1"/>
    <n v="47.874328838473367"/>
    <b v="0"/>
    <s v="MD_19"/>
    <x v="0"/>
  </r>
  <r>
    <x v="125"/>
    <x v="118"/>
    <x v="3"/>
    <x v="3"/>
    <x v="1"/>
    <n v="9.8633269438047702"/>
    <b v="0"/>
    <s v="MD_03"/>
    <x v="0"/>
  </r>
  <r>
    <x v="126"/>
    <x v="119"/>
    <x v="3"/>
    <x v="1"/>
    <x v="1"/>
    <n v="19.499920780448754"/>
    <b v="0"/>
    <s v="MD_06"/>
    <x v="0"/>
  </r>
  <r>
    <x v="127"/>
    <x v="90"/>
    <x v="3"/>
    <x v="1"/>
    <x v="1"/>
    <n v="20.987365312208002"/>
    <b v="0"/>
    <s v="MD_18"/>
    <x v="0"/>
  </r>
  <r>
    <x v="128"/>
    <x v="120"/>
    <x v="2"/>
    <x v="3"/>
    <x v="0"/>
    <n v="4.7818928069283482"/>
    <b v="0"/>
    <s v="MD_19"/>
    <x v="1"/>
  </r>
  <r>
    <x v="129"/>
    <x v="121"/>
    <x v="3"/>
    <x v="1"/>
    <x v="1"/>
    <n v="18.632939823068099"/>
    <b v="0"/>
    <s v="MD_09"/>
    <x v="0"/>
  </r>
  <r>
    <x v="130"/>
    <x v="78"/>
    <x v="3"/>
    <x v="2"/>
    <x v="0"/>
    <n v="7.1368664762163485"/>
    <b v="1"/>
    <s v="MD_02"/>
    <x v="1"/>
  </r>
  <r>
    <x v="131"/>
    <x v="122"/>
    <x v="3"/>
    <x v="1"/>
    <x v="0"/>
    <n v="6.4455404041253646"/>
    <b v="0"/>
    <s v="MD_10"/>
    <x v="1"/>
  </r>
  <r>
    <x v="132"/>
    <x v="123"/>
    <x v="1"/>
    <x v="1"/>
    <x v="1"/>
    <n v="17.360676560739201"/>
    <b v="0"/>
    <s v="MD_16"/>
    <x v="0"/>
  </r>
  <r>
    <x v="133"/>
    <x v="124"/>
    <x v="2"/>
    <x v="1"/>
    <x v="0"/>
    <n v="17.318715706491385"/>
    <b v="0"/>
    <s v="MD_03"/>
    <x v="0"/>
  </r>
  <r>
    <x v="134"/>
    <x v="125"/>
    <x v="2"/>
    <x v="2"/>
    <x v="1"/>
    <n v="28.103827061325795"/>
    <b v="0"/>
    <s v="MD_13"/>
    <x v="0"/>
  </r>
  <r>
    <x v="135"/>
    <x v="126"/>
    <x v="0"/>
    <x v="0"/>
    <x v="0"/>
    <n v="17.862117541258318"/>
    <b v="0"/>
    <s v="MD_19"/>
    <x v="0"/>
  </r>
  <r>
    <x v="136"/>
    <x v="127"/>
    <x v="0"/>
    <x v="2"/>
    <x v="1"/>
    <n v="13.913124445221584"/>
    <b v="0"/>
    <s v="MD_10"/>
    <x v="0"/>
  </r>
  <r>
    <x v="137"/>
    <x v="128"/>
    <x v="1"/>
    <x v="4"/>
    <x v="1"/>
    <n v="24.364765867372764"/>
    <b v="0"/>
    <s v="MD_20"/>
    <x v="0"/>
  </r>
  <r>
    <x v="138"/>
    <x v="129"/>
    <x v="0"/>
    <x v="0"/>
    <x v="0"/>
    <n v="5.9843091790037022"/>
    <b v="0"/>
    <s v="MD_18"/>
    <x v="1"/>
  </r>
  <r>
    <x v="139"/>
    <x v="130"/>
    <x v="0"/>
    <x v="3"/>
    <x v="1"/>
    <n v="31.154623376356007"/>
    <b v="0"/>
    <s v="MD_20"/>
    <x v="0"/>
  </r>
  <r>
    <x v="140"/>
    <x v="131"/>
    <x v="3"/>
    <x v="3"/>
    <x v="0"/>
    <n v="5.856386287946405"/>
    <b v="1"/>
    <s v="MD_10"/>
    <x v="1"/>
  </r>
  <r>
    <x v="141"/>
    <x v="132"/>
    <x v="2"/>
    <x v="4"/>
    <x v="0"/>
    <n v="17.042895010083544"/>
    <b v="0"/>
    <s v="MD_19"/>
    <x v="0"/>
  </r>
  <r>
    <x v="142"/>
    <x v="133"/>
    <x v="0"/>
    <x v="2"/>
    <x v="1"/>
    <n v="25.04648179214648"/>
    <b v="0"/>
    <s v="MD_06"/>
    <x v="0"/>
  </r>
  <r>
    <x v="143"/>
    <x v="134"/>
    <x v="2"/>
    <x v="2"/>
    <x v="1"/>
    <n v="22.566026065625557"/>
    <b v="0"/>
    <s v="MD_12"/>
    <x v="0"/>
  </r>
  <r>
    <x v="144"/>
    <x v="34"/>
    <x v="3"/>
    <x v="2"/>
    <x v="1"/>
    <n v="7.9118855399433947"/>
    <b v="0"/>
    <s v="MD_02"/>
    <x v="1"/>
  </r>
  <r>
    <x v="145"/>
    <x v="135"/>
    <x v="2"/>
    <x v="4"/>
    <x v="0"/>
    <n v="1.9262787865412845"/>
    <b v="0"/>
    <s v="MD_11"/>
    <x v="1"/>
  </r>
  <r>
    <x v="146"/>
    <x v="136"/>
    <x v="3"/>
    <x v="1"/>
    <x v="0"/>
    <n v="6.7004257031761645"/>
    <b v="0"/>
    <s v="MD_07"/>
    <x v="1"/>
  </r>
  <r>
    <x v="147"/>
    <x v="137"/>
    <x v="2"/>
    <x v="3"/>
    <x v="0"/>
    <n v="6.0159260239364114"/>
    <b v="0"/>
    <s v="MD_05"/>
    <x v="1"/>
  </r>
  <r>
    <x v="148"/>
    <x v="138"/>
    <x v="0"/>
    <x v="4"/>
    <x v="0"/>
    <n v="9.1023417020161563"/>
    <b v="0"/>
    <s v="MD_04"/>
    <x v="1"/>
  </r>
  <r>
    <x v="149"/>
    <x v="139"/>
    <x v="3"/>
    <x v="3"/>
    <x v="0"/>
    <n v="5.5091318567163601"/>
    <b v="0"/>
    <s v="MD_02"/>
    <x v="1"/>
  </r>
  <r>
    <x v="150"/>
    <x v="140"/>
    <x v="3"/>
    <x v="0"/>
    <x v="1"/>
    <n v="3.7918425077437306"/>
    <b v="0"/>
    <s v="MD_18"/>
    <x v="1"/>
  </r>
  <r>
    <x v="151"/>
    <x v="71"/>
    <x v="3"/>
    <x v="4"/>
    <x v="0"/>
    <n v="5.2424147345618204"/>
    <b v="0"/>
    <s v="MD_07"/>
    <x v="1"/>
  </r>
  <r>
    <x v="152"/>
    <x v="141"/>
    <x v="1"/>
    <x v="2"/>
    <x v="0"/>
    <n v="4.1482674131198882"/>
    <b v="0"/>
    <s v="MD_19"/>
    <x v="1"/>
  </r>
  <r>
    <x v="153"/>
    <x v="142"/>
    <x v="0"/>
    <x v="0"/>
    <x v="0"/>
    <n v="2.5000994570021149"/>
    <b v="0"/>
    <s v="MD_14"/>
    <x v="1"/>
  </r>
  <r>
    <x v="154"/>
    <x v="29"/>
    <x v="2"/>
    <x v="1"/>
    <x v="0"/>
    <n v="9.5891647207641562"/>
    <b v="0"/>
    <s v="MD_20"/>
    <x v="1"/>
  </r>
  <r>
    <x v="155"/>
    <x v="143"/>
    <x v="1"/>
    <x v="3"/>
    <x v="1"/>
    <n v="27.935428328516785"/>
    <b v="0"/>
    <s v="MD_05"/>
    <x v="0"/>
  </r>
  <r>
    <x v="156"/>
    <x v="144"/>
    <x v="3"/>
    <x v="4"/>
    <x v="0"/>
    <n v="5.9219013088730561"/>
    <b v="0"/>
    <s v="MD_14"/>
    <x v="1"/>
  </r>
  <r>
    <x v="157"/>
    <x v="145"/>
    <x v="1"/>
    <x v="4"/>
    <x v="1"/>
    <n v="21.682352868230769"/>
    <b v="0"/>
    <s v="MD_15"/>
    <x v="0"/>
  </r>
  <r>
    <x v="158"/>
    <x v="146"/>
    <x v="1"/>
    <x v="2"/>
    <x v="0"/>
    <n v="7.2829202580616963"/>
    <b v="0"/>
    <s v="MD_03"/>
    <x v="1"/>
  </r>
  <r>
    <x v="159"/>
    <x v="147"/>
    <x v="0"/>
    <x v="3"/>
    <x v="0"/>
    <n v="9.4328993365108449"/>
    <b v="0"/>
    <s v="MD_19"/>
    <x v="1"/>
  </r>
  <r>
    <x v="160"/>
    <x v="148"/>
    <x v="1"/>
    <x v="2"/>
    <x v="0"/>
    <n v="5.7842068146648522"/>
    <b v="0"/>
    <s v="MD_17"/>
    <x v="1"/>
  </r>
  <r>
    <x v="161"/>
    <x v="149"/>
    <x v="1"/>
    <x v="3"/>
    <x v="1"/>
    <n v="22.071902530096832"/>
    <b v="0"/>
    <s v="MD_14"/>
    <x v="0"/>
  </r>
  <r>
    <x v="162"/>
    <x v="150"/>
    <x v="2"/>
    <x v="2"/>
    <x v="0"/>
    <n v="4.6161025355268608"/>
    <b v="0"/>
    <s v="MD_05"/>
    <x v="1"/>
  </r>
  <r>
    <x v="163"/>
    <x v="151"/>
    <x v="1"/>
    <x v="2"/>
    <x v="0"/>
    <n v="2.7068021709672707"/>
    <b v="0"/>
    <s v="MD_02"/>
    <x v="1"/>
  </r>
  <r>
    <x v="164"/>
    <x v="152"/>
    <x v="3"/>
    <x v="0"/>
    <x v="1"/>
    <n v="23.145313636545829"/>
    <b v="0"/>
    <s v="MD_02"/>
    <x v="0"/>
  </r>
  <r>
    <x v="165"/>
    <x v="153"/>
    <x v="1"/>
    <x v="4"/>
    <x v="0"/>
    <n v="37.637654597346156"/>
    <b v="0"/>
    <s v="MD_09"/>
    <x v="0"/>
  </r>
  <r>
    <x v="166"/>
    <x v="154"/>
    <x v="1"/>
    <x v="3"/>
    <x v="1"/>
    <n v="6.0205264847579567"/>
    <b v="0"/>
    <s v="MD_05"/>
    <x v="1"/>
  </r>
  <r>
    <x v="167"/>
    <x v="155"/>
    <x v="0"/>
    <x v="1"/>
    <x v="0"/>
    <n v="7.269808942556085"/>
    <b v="0"/>
    <s v="MD_15"/>
    <x v="1"/>
  </r>
  <r>
    <x v="168"/>
    <x v="156"/>
    <x v="3"/>
    <x v="4"/>
    <x v="1"/>
    <n v="30.978704223960509"/>
    <b v="0"/>
    <s v="MD_11"/>
    <x v="0"/>
  </r>
  <r>
    <x v="169"/>
    <x v="157"/>
    <x v="2"/>
    <x v="0"/>
    <x v="0"/>
    <n v="4.6654657558652781"/>
    <b v="0"/>
    <s v="MD_14"/>
    <x v="1"/>
  </r>
  <r>
    <x v="170"/>
    <x v="127"/>
    <x v="3"/>
    <x v="2"/>
    <x v="1"/>
    <n v="14.359840720637818"/>
    <b v="0"/>
    <s v="MD_14"/>
    <x v="0"/>
  </r>
  <r>
    <x v="171"/>
    <x v="158"/>
    <x v="2"/>
    <x v="3"/>
    <x v="0"/>
    <n v="5.3509858428432686"/>
    <b v="0"/>
    <s v="MD_18"/>
    <x v="1"/>
  </r>
  <r>
    <x v="172"/>
    <x v="159"/>
    <x v="3"/>
    <x v="0"/>
    <x v="1"/>
    <n v="4.6715191389700808"/>
    <b v="0"/>
    <s v="MD_04"/>
    <x v="1"/>
  </r>
  <r>
    <x v="173"/>
    <x v="160"/>
    <x v="3"/>
    <x v="0"/>
    <x v="1"/>
    <n v="4.4175608104431099"/>
    <b v="0"/>
    <s v="MD_01"/>
    <x v="0"/>
  </r>
  <r>
    <x v="174"/>
    <x v="161"/>
    <x v="2"/>
    <x v="2"/>
    <x v="0"/>
    <n v="5.3981421032085875"/>
    <b v="0"/>
    <s v="MD_07"/>
    <x v="1"/>
  </r>
  <r>
    <x v="175"/>
    <x v="162"/>
    <x v="2"/>
    <x v="0"/>
    <x v="1"/>
    <n v="34.280423203562876"/>
    <b v="0"/>
    <s v="MD_09"/>
    <x v="0"/>
  </r>
  <r>
    <x v="176"/>
    <x v="163"/>
    <x v="3"/>
    <x v="2"/>
    <x v="1"/>
    <n v="7.8991166519058655"/>
    <b v="0"/>
    <s v="MD_09"/>
    <x v="1"/>
  </r>
  <r>
    <x v="177"/>
    <x v="164"/>
    <x v="3"/>
    <x v="3"/>
    <x v="0"/>
    <n v="4.8458155438996382"/>
    <b v="0"/>
    <s v="MD_07"/>
    <x v="1"/>
  </r>
  <r>
    <x v="178"/>
    <x v="165"/>
    <x v="3"/>
    <x v="0"/>
    <x v="0"/>
    <n v="16.220040045688936"/>
    <b v="0"/>
    <s v="MD_02"/>
    <x v="0"/>
  </r>
  <r>
    <x v="179"/>
    <x v="166"/>
    <x v="2"/>
    <x v="4"/>
    <x v="0"/>
    <n v="4.6248497554528125"/>
    <b v="0"/>
    <s v="MD_07"/>
    <x v="1"/>
  </r>
  <r>
    <x v="180"/>
    <x v="167"/>
    <x v="1"/>
    <x v="3"/>
    <x v="1"/>
    <n v="6.6522468454037185"/>
    <b v="0"/>
    <s v="MD_17"/>
    <x v="1"/>
  </r>
  <r>
    <x v="181"/>
    <x v="168"/>
    <x v="1"/>
    <x v="4"/>
    <x v="1"/>
    <n v="17.951323967922647"/>
    <b v="0"/>
    <s v="MD_18"/>
    <x v="0"/>
  </r>
  <r>
    <x v="182"/>
    <x v="121"/>
    <x v="0"/>
    <x v="1"/>
    <x v="1"/>
    <n v="24.048037632544499"/>
    <b v="0"/>
    <s v="MD_15"/>
    <x v="0"/>
  </r>
  <r>
    <x v="183"/>
    <x v="169"/>
    <x v="0"/>
    <x v="3"/>
    <x v="0"/>
    <n v="3.3390527559102043"/>
    <b v="0"/>
    <s v="MD_16"/>
    <x v="1"/>
  </r>
  <r>
    <x v="184"/>
    <x v="170"/>
    <x v="1"/>
    <x v="1"/>
    <x v="0"/>
    <n v="6.9919438710089832"/>
    <b v="0"/>
    <s v="MD_04"/>
    <x v="1"/>
  </r>
  <r>
    <x v="185"/>
    <x v="171"/>
    <x v="0"/>
    <x v="4"/>
    <x v="0"/>
    <n v="7.4880111886570102"/>
    <b v="0"/>
    <s v="MD_12"/>
    <x v="1"/>
  </r>
  <r>
    <x v="186"/>
    <x v="172"/>
    <x v="1"/>
    <x v="4"/>
    <x v="0"/>
    <n v="6.2398583112712505"/>
    <b v="0"/>
    <s v="MD_04"/>
    <x v="1"/>
  </r>
  <r>
    <x v="187"/>
    <x v="173"/>
    <x v="1"/>
    <x v="2"/>
    <x v="0"/>
    <n v="29.495977181509566"/>
    <b v="0"/>
    <s v="MD_13"/>
    <x v="0"/>
  </r>
  <r>
    <x v="188"/>
    <x v="174"/>
    <x v="2"/>
    <x v="0"/>
    <x v="1"/>
    <n v="21.429223280538569"/>
    <b v="0"/>
    <s v="MD_05"/>
    <x v="0"/>
  </r>
  <r>
    <x v="189"/>
    <x v="175"/>
    <x v="3"/>
    <x v="1"/>
    <x v="1"/>
    <n v="12.080203053047986"/>
    <b v="0"/>
    <s v="MD_11"/>
    <x v="0"/>
  </r>
  <r>
    <x v="190"/>
    <x v="176"/>
    <x v="0"/>
    <x v="1"/>
    <x v="1"/>
    <n v="4.7183496298313639"/>
    <b v="0"/>
    <s v="MD_12"/>
    <x v="1"/>
  </r>
  <r>
    <x v="191"/>
    <x v="42"/>
    <x v="3"/>
    <x v="1"/>
    <x v="0"/>
    <n v="25.623185359358349"/>
    <b v="0"/>
    <s v="MD_16"/>
    <x v="0"/>
  </r>
  <r>
    <x v="192"/>
    <x v="5"/>
    <x v="1"/>
    <x v="0"/>
    <x v="0"/>
    <n v="8.5298729130100153"/>
    <b v="0"/>
    <s v="MD_10"/>
    <x v="1"/>
  </r>
  <r>
    <x v="193"/>
    <x v="177"/>
    <x v="0"/>
    <x v="2"/>
    <x v="1"/>
    <n v="23.370879554487928"/>
    <b v="0"/>
    <s v="MD_05"/>
    <x v="0"/>
  </r>
  <r>
    <x v="194"/>
    <x v="178"/>
    <x v="2"/>
    <x v="3"/>
    <x v="0"/>
    <n v="7.9790696195665642"/>
    <b v="0"/>
    <s v="MD_08"/>
    <x v="1"/>
  </r>
  <r>
    <x v="195"/>
    <x v="179"/>
    <x v="0"/>
    <x v="1"/>
    <x v="1"/>
    <n v="38.495499161382646"/>
    <b v="0"/>
    <s v="MD_07"/>
    <x v="0"/>
  </r>
  <r>
    <x v="196"/>
    <x v="180"/>
    <x v="3"/>
    <x v="1"/>
    <x v="1"/>
    <n v="33.985162111152874"/>
    <b v="0"/>
    <s v="MD_18"/>
    <x v="0"/>
  </r>
  <r>
    <x v="197"/>
    <x v="181"/>
    <x v="2"/>
    <x v="0"/>
    <x v="1"/>
    <n v="26.752131272146194"/>
    <b v="0"/>
    <s v="MD_05"/>
    <x v="0"/>
  </r>
  <r>
    <x v="198"/>
    <x v="182"/>
    <x v="3"/>
    <x v="4"/>
    <x v="0"/>
    <n v="5.4192336260857523"/>
    <b v="0"/>
    <s v="MD_10"/>
    <x v="1"/>
  </r>
  <r>
    <x v="199"/>
    <x v="183"/>
    <x v="2"/>
    <x v="1"/>
    <x v="1"/>
    <n v="20.053355134179725"/>
    <b v="0"/>
    <s v="MD_15"/>
    <x v="0"/>
  </r>
  <r>
    <x v="200"/>
    <x v="184"/>
    <x v="2"/>
    <x v="4"/>
    <x v="0"/>
    <n v="5.097502415942115"/>
    <b v="0"/>
    <s v="MD_17"/>
    <x v="1"/>
  </r>
  <r>
    <x v="201"/>
    <x v="185"/>
    <x v="2"/>
    <x v="1"/>
    <x v="0"/>
    <n v="24.868240379147966"/>
    <b v="0"/>
    <s v="MD_19"/>
    <x v="0"/>
  </r>
  <r>
    <x v="202"/>
    <x v="43"/>
    <x v="2"/>
    <x v="2"/>
    <x v="1"/>
    <n v="13.593431222618447"/>
    <b v="1"/>
    <s v="MD_12"/>
    <x v="0"/>
  </r>
  <r>
    <x v="203"/>
    <x v="18"/>
    <x v="3"/>
    <x v="0"/>
    <x v="1"/>
    <n v="19.828082564671831"/>
    <b v="0"/>
    <s v="MD_15"/>
    <x v="0"/>
  </r>
  <r>
    <x v="204"/>
    <x v="186"/>
    <x v="3"/>
    <x v="1"/>
    <x v="0"/>
    <n v="6.0958804491978569"/>
    <b v="0"/>
    <s v="MD_08"/>
    <x v="1"/>
  </r>
  <r>
    <x v="205"/>
    <x v="164"/>
    <x v="1"/>
    <x v="0"/>
    <x v="1"/>
    <n v="29.052291304833865"/>
    <b v="0"/>
    <s v="MD_12"/>
    <x v="0"/>
  </r>
  <r>
    <x v="206"/>
    <x v="77"/>
    <x v="3"/>
    <x v="1"/>
    <x v="0"/>
    <n v="7.3326926856318329"/>
    <b v="0"/>
    <s v="MD_02"/>
    <x v="1"/>
  </r>
  <r>
    <x v="207"/>
    <x v="119"/>
    <x v="1"/>
    <x v="0"/>
    <x v="1"/>
    <n v="8.9026826964589034"/>
    <b v="0"/>
    <s v="MD_14"/>
    <x v="0"/>
  </r>
  <r>
    <x v="208"/>
    <x v="187"/>
    <x v="1"/>
    <x v="2"/>
    <x v="0"/>
    <n v="5.244943681158535"/>
    <b v="0"/>
    <s v="MD_10"/>
    <x v="1"/>
  </r>
  <r>
    <x v="209"/>
    <x v="188"/>
    <x v="1"/>
    <x v="1"/>
    <x v="1"/>
    <n v="5.397403119325844"/>
    <b v="0"/>
    <s v="MD_07"/>
    <x v="1"/>
  </r>
  <r>
    <x v="210"/>
    <x v="189"/>
    <x v="1"/>
    <x v="0"/>
    <x v="0"/>
    <n v="7.0595627186065686"/>
    <b v="0"/>
    <s v="MD_17"/>
    <x v="1"/>
  </r>
  <r>
    <x v="211"/>
    <x v="190"/>
    <x v="1"/>
    <x v="4"/>
    <x v="0"/>
    <n v="5.3725114583658531"/>
    <b v="0"/>
    <s v="MD_20"/>
    <x v="2"/>
  </r>
  <r>
    <x v="212"/>
    <x v="191"/>
    <x v="0"/>
    <x v="2"/>
    <x v="0"/>
    <n v="8.5565968337044787"/>
    <b v="0"/>
    <s v="MD_19"/>
    <x v="1"/>
  </r>
  <r>
    <x v="213"/>
    <x v="192"/>
    <x v="2"/>
    <x v="4"/>
    <x v="1"/>
    <n v="11.561884107211712"/>
    <b v="0"/>
    <s v="MD_19"/>
    <x v="0"/>
  </r>
  <r>
    <x v="214"/>
    <x v="193"/>
    <x v="1"/>
    <x v="3"/>
    <x v="1"/>
    <n v="50.348298808541436"/>
    <b v="0"/>
    <s v="MD_20"/>
    <x v="0"/>
  </r>
  <r>
    <x v="215"/>
    <x v="87"/>
    <x v="2"/>
    <x v="4"/>
    <x v="1"/>
    <n v="12.081730364881116"/>
    <b v="0"/>
    <s v="MD_01"/>
    <x v="0"/>
  </r>
  <r>
    <x v="216"/>
    <x v="194"/>
    <x v="2"/>
    <x v="4"/>
    <x v="0"/>
    <n v="20.428162943964956"/>
    <b v="1"/>
    <s v="MD_07"/>
    <x v="0"/>
  </r>
  <r>
    <x v="217"/>
    <x v="195"/>
    <x v="3"/>
    <x v="0"/>
    <x v="0"/>
    <n v="3.757594101316303"/>
    <b v="0"/>
    <s v="MD_11"/>
    <x v="1"/>
  </r>
  <r>
    <x v="218"/>
    <x v="196"/>
    <x v="3"/>
    <x v="3"/>
    <x v="0"/>
    <n v="3.7125930779845531"/>
    <b v="0"/>
    <s v="MD_19"/>
    <x v="1"/>
  </r>
  <r>
    <x v="219"/>
    <x v="197"/>
    <x v="2"/>
    <x v="1"/>
    <x v="1"/>
    <n v="10.728276297690176"/>
    <b v="0"/>
    <s v="MD_08"/>
    <x v="1"/>
  </r>
  <r>
    <x v="220"/>
    <x v="198"/>
    <x v="3"/>
    <x v="4"/>
    <x v="1"/>
    <n v="39.124965133401737"/>
    <b v="0"/>
    <s v="MD_04"/>
    <x v="0"/>
  </r>
  <r>
    <x v="221"/>
    <x v="199"/>
    <x v="0"/>
    <x v="2"/>
    <x v="0"/>
    <n v="1.2096433067115662"/>
    <b v="0"/>
    <s v="MD_14"/>
    <x v="1"/>
  </r>
  <r>
    <x v="222"/>
    <x v="31"/>
    <x v="2"/>
    <x v="4"/>
    <x v="1"/>
    <n v="28.509971046723916"/>
    <b v="0"/>
    <s v="MD_05"/>
    <x v="0"/>
  </r>
  <r>
    <x v="223"/>
    <x v="200"/>
    <x v="1"/>
    <x v="4"/>
    <x v="0"/>
    <n v="7.571997754304812"/>
    <b v="0"/>
    <s v="MD_08"/>
    <x v="1"/>
  </r>
  <r>
    <x v="224"/>
    <x v="201"/>
    <x v="2"/>
    <x v="4"/>
    <x v="0"/>
    <n v="9.6162208332945269"/>
    <b v="0"/>
    <s v="MD_19"/>
    <x v="1"/>
  </r>
  <r>
    <x v="225"/>
    <x v="202"/>
    <x v="1"/>
    <x v="3"/>
    <x v="1"/>
    <n v="25.085948663083617"/>
    <b v="1"/>
    <s v="MD_04"/>
    <x v="0"/>
  </r>
  <r>
    <x v="226"/>
    <x v="203"/>
    <x v="2"/>
    <x v="3"/>
    <x v="0"/>
    <n v="4.932861981180527"/>
    <b v="0"/>
    <s v="MD_01"/>
    <x v="1"/>
  </r>
  <r>
    <x v="227"/>
    <x v="204"/>
    <x v="0"/>
    <x v="4"/>
    <x v="0"/>
    <n v="32.119204336832325"/>
    <b v="0"/>
    <s v="MD_13"/>
    <x v="0"/>
  </r>
  <r>
    <x v="228"/>
    <x v="73"/>
    <x v="1"/>
    <x v="4"/>
    <x v="0"/>
    <n v="5.5976481573127232"/>
    <b v="0"/>
    <s v="MD_09"/>
    <x v="1"/>
  </r>
  <r>
    <x v="229"/>
    <x v="205"/>
    <x v="3"/>
    <x v="0"/>
    <x v="0"/>
    <n v="7.3167325355778665"/>
    <b v="0"/>
    <s v="MD_20"/>
    <x v="1"/>
  </r>
  <r>
    <x v="230"/>
    <x v="206"/>
    <x v="3"/>
    <x v="1"/>
    <x v="0"/>
    <n v="28.925887061202872"/>
    <b v="0"/>
    <s v="MD_05"/>
    <x v="0"/>
  </r>
  <r>
    <x v="231"/>
    <x v="207"/>
    <x v="0"/>
    <x v="3"/>
    <x v="0"/>
    <n v="29.810613753388921"/>
    <b v="0"/>
    <s v="MD_12"/>
    <x v="0"/>
  </r>
  <r>
    <x v="232"/>
    <x v="208"/>
    <x v="1"/>
    <x v="3"/>
    <x v="1"/>
    <n v="25.317977716760577"/>
    <b v="0"/>
    <s v="MD_09"/>
    <x v="0"/>
  </r>
  <r>
    <x v="233"/>
    <x v="162"/>
    <x v="3"/>
    <x v="1"/>
    <x v="0"/>
    <n v="0.12609180845537526"/>
    <b v="0"/>
    <s v="MD_20"/>
    <x v="1"/>
  </r>
  <r>
    <x v="234"/>
    <x v="209"/>
    <x v="0"/>
    <x v="3"/>
    <x v="0"/>
    <n v="8.3950863718498834"/>
    <b v="0"/>
    <s v="MD_11"/>
    <x v="1"/>
  </r>
  <r>
    <x v="235"/>
    <x v="210"/>
    <x v="1"/>
    <x v="1"/>
    <x v="0"/>
    <n v="3.0579534501825463"/>
    <b v="0"/>
    <s v="MD_15"/>
    <x v="1"/>
  </r>
  <r>
    <x v="236"/>
    <x v="211"/>
    <x v="1"/>
    <x v="4"/>
    <x v="0"/>
    <n v="8.2441410632493568"/>
    <b v="0"/>
    <s v="MD_19"/>
    <x v="1"/>
  </r>
  <r>
    <x v="237"/>
    <x v="131"/>
    <x v="0"/>
    <x v="4"/>
    <x v="0"/>
    <n v="6.0015105745619817"/>
    <b v="0"/>
    <s v="MD_01"/>
    <x v="1"/>
  </r>
  <r>
    <x v="238"/>
    <x v="212"/>
    <x v="1"/>
    <x v="2"/>
    <x v="1"/>
    <n v="6.9993491108428678"/>
    <b v="0"/>
    <s v="MD_13"/>
    <x v="1"/>
  </r>
  <r>
    <x v="239"/>
    <x v="213"/>
    <x v="3"/>
    <x v="0"/>
    <x v="1"/>
    <n v="21.742623002393323"/>
    <b v="0"/>
    <s v="MD_11"/>
    <x v="0"/>
  </r>
  <r>
    <x v="240"/>
    <x v="214"/>
    <x v="2"/>
    <x v="1"/>
    <x v="0"/>
    <n v="22.214212225771298"/>
    <b v="0"/>
    <s v="MD_02"/>
    <x v="0"/>
  </r>
  <r>
    <x v="241"/>
    <x v="20"/>
    <x v="3"/>
    <x v="0"/>
    <x v="1"/>
    <n v="23.510756026880458"/>
    <b v="0"/>
    <s v="MD_18"/>
    <x v="0"/>
  </r>
  <r>
    <x v="242"/>
    <x v="215"/>
    <x v="2"/>
    <x v="0"/>
    <x v="0"/>
    <n v="2.8264797066914911"/>
    <b v="0"/>
    <s v="MD_10"/>
    <x v="2"/>
  </r>
  <r>
    <x v="243"/>
    <x v="77"/>
    <x v="3"/>
    <x v="3"/>
    <x v="0"/>
    <n v="3.7875906150499907"/>
    <b v="0"/>
    <s v="MD_18"/>
    <x v="1"/>
  </r>
  <r>
    <x v="244"/>
    <x v="196"/>
    <x v="0"/>
    <x v="4"/>
    <x v="0"/>
    <n v="6.3312957768748621"/>
    <b v="0"/>
    <s v="MD_05"/>
    <x v="1"/>
  </r>
  <r>
    <x v="245"/>
    <x v="216"/>
    <x v="1"/>
    <x v="3"/>
    <x v="1"/>
    <n v="39.168127252137253"/>
    <b v="0"/>
    <s v="MD_05"/>
    <x v="0"/>
  </r>
  <r>
    <x v="246"/>
    <x v="39"/>
    <x v="0"/>
    <x v="1"/>
    <x v="0"/>
    <n v="7.351059219105692"/>
    <b v="0"/>
    <s v="MD_07"/>
    <x v="1"/>
  </r>
  <r>
    <x v="247"/>
    <x v="217"/>
    <x v="3"/>
    <x v="3"/>
    <x v="0"/>
    <n v="6.1637991756378323"/>
    <b v="0"/>
    <s v="MD_12"/>
    <x v="1"/>
  </r>
  <r>
    <x v="248"/>
    <x v="102"/>
    <x v="1"/>
    <x v="4"/>
    <x v="1"/>
    <n v="30.847326311650725"/>
    <b v="0"/>
    <s v="MD_20"/>
    <x v="0"/>
  </r>
  <r>
    <x v="249"/>
    <x v="218"/>
    <x v="3"/>
    <x v="0"/>
    <x v="0"/>
    <n v="7.3581659271493454"/>
    <b v="0"/>
    <s v="MD_20"/>
    <x v="1"/>
  </r>
  <r>
    <x v="250"/>
    <x v="219"/>
    <x v="2"/>
    <x v="4"/>
    <x v="0"/>
    <n v="9.1387548262628595"/>
    <b v="0"/>
    <s v="MD_01"/>
    <x v="1"/>
  </r>
  <r>
    <x v="251"/>
    <x v="135"/>
    <x v="3"/>
    <x v="3"/>
    <x v="0"/>
    <n v="6.3358453045471457"/>
    <b v="0"/>
    <s v="MD_11"/>
    <x v="1"/>
  </r>
  <r>
    <x v="252"/>
    <x v="220"/>
    <x v="2"/>
    <x v="0"/>
    <x v="0"/>
    <n v="6.0074536017750741"/>
    <b v="0"/>
    <s v="MD_10"/>
    <x v="1"/>
  </r>
  <r>
    <x v="253"/>
    <x v="80"/>
    <x v="0"/>
    <x v="0"/>
    <x v="1"/>
    <n v="25.585469244238979"/>
    <b v="0"/>
    <s v="MD_06"/>
    <x v="0"/>
  </r>
  <r>
    <x v="254"/>
    <x v="221"/>
    <x v="3"/>
    <x v="2"/>
    <x v="1"/>
    <n v="20.82999816470948"/>
    <b v="0"/>
    <s v="MD_09"/>
    <x v="0"/>
  </r>
  <r>
    <x v="255"/>
    <x v="222"/>
    <x v="3"/>
    <x v="2"/>
    <x v="1"/>
    <n v="23.334435690461358"/>
    <b v="0"/>
    <s v="MD_06"/>
    <x v="0"/>
  </r>
  <r>
    <x v="256"/>
    <x v="66"/>
    <x v="2"/>
    <x v="2"/>
    <x v="0"/>
    <n v="7.7835846178572892"/>
    <b v="0"/>
    <s v="MD_16"/>
    <x v="1"/>
  </r>
  <r>
    <x v="257"/>
    <x v="223"/>
    <x v="1"/>
    <x v="0"/>
    <x v="1"/>
    <n v="16.643496291868452"/>
    <b v="0"/>
    <s v="MD_08"/>
    <x v="0"/>
  </r>
  <r>
    <x v="258"/>
    <x v="224"/>
    <x v="1"/>
    <x v="0"/>
    <x v="0"/>
    <n v="4.383116039008546"/>
    <b v="0"/>
    <s v="MD_07"/>
    <x v="1"/>
  </r>
  <r>
    <x v="259"/>
    <x v="225"/>
    <x v="1"/>
    <x v="0"/>
    <x v="1"/>
    <n v="5.2985061044147015"/>
    <b v="0"/>
    <s v="MD_02"/>
    <x v="1"/>
  </r>
  <r>
    <x v="260"/>
    <x v="220"/>
    <x v="3"/>
    <x v="1"/>
    <x v="1"/>
    <n v="6.1847854110005862"/>
    <b v="0"/>
    <s v="MD_03"/>
    <x v="1"/>
  </r>
  <r>
    <x v="261"/>
    <x v="226"/>
    <x v="0"/>
    <x v="4"/>
    <x v="0"/>
    <n v="1.7217251295055824"/>
    <b v="0"/>
    <s v="MD_18"/>
    <x v="0"/>
  </r>
  <r>
    <x v="262"/>
    <x v="227"/>
    <x v="0"/>
    <x v="2"/>
    <x v="1"/>
    <n v="22.915664005294012"/>
    <b v="0"/>
    <s v="MD_18"/>
    <x v="0"/>
  </r>
  <r>
    <x v="263"/>
    <x v="228"/>
    <x v="0"/>
    <x v="0"/>
    <x v="0"/>
    <n v="27.039627852889225"/>
    <b v="0"/>
    <s v="MD_16"/>
    <x v="0"/>
  </r>
  <r>
    <x v="264"/>
    <x v="229"/>
    <x v="3"/>
    <x v="3"/>
    <x v="1"/>
    <n v="6.893486547540145"/>
    <b v="0"/>
    <s v="MD_15"/>
    <x v="1"/>
  </r>
  <r>
    <x v="265"/>
    <x v="230"/>
    <x v="0"/>
    <x v="2"/>
    <x v="0"/>
    <n v="23.582410904964725"/>
    <b v="0"/>
    <s v="MD_18"/>
    <x v="0"/>
  </r>
  <r>
    <x v="266"/>
    <x v="148"/>
    <x v="3"/>
    <x v="2"/>
    <x v="1"/>
    <n v="6.3981772847981553"/>
    <b v="0"/>
    <s v="MD_15"/>
    <x v="1"/>
  </r>
  <r>
    <x v="267"/>
    <x v="231"/>
    <x v="3"/>
    <x v="0"/>
    <x v="1"/>
    <n v="34.014255496913869"/>
    <b v="0"/>
    <s v="MD_15"/>
    <x v="0"/>
  </r>
  <r>
    <x v="268"/>
    <x v="232"/>
    <x v="3"/>
    <x v="2"/>
    <x v="1"/>
    <n v="25.930128648496108"/>
    <b v="0"/>
    <s v="MD_01"/>
    <x v="0"/>
  </r>
  <r>
    <x v="269"/>
    <x v="233"/>
    <x v="3"/>
    <x v="2"/>
    <x v="1"/>
    <n v="5.9553669761212005"/>
    <b v="0"/>
    <s v="MD_04"/>
    <x v="1"/>
  </r>
  <r>
    <x v="270"/>
    <x v="234"/>
    <x v="0"/>
    <x v="4"/>
    <x v="0"/>
    <n v="5.9055564160281468"/>
    <b v="0"/>
    <s v="MD_16"/>
    <x v="1"/>
  </r>
  <r>
    <x v="271"/>
    <x v="235"/>
    <x v="0"/>
    <x v="1"/>
    <x v="1"/>
    <n v="4.4914767564030988"/>
    <b v="0"/>
    <s v="MD_02"/>
    <x v="1"/>
  </r>
  <r>
    <x v="272"/>
    <x v="236"/>
    <x v="1"/>
    <x v="2"/>
    <x v="1"/>
    <n v="27.869998705509701"/>
    <b v="0"/>
    <s v="MD_03"/>
    <x v="0"/>
  </r>
  <r>
    <x v="273"/>
    <x v="237"/>
    <x v="1"/>
    <x v="4"/>
    <x v="0"/>
    <n v="27.089664090904158"/>
    <b v="0"/>
    <s v="MD_15"/>
    <x v="0"/>
  </r>
  <r>
    <x v="274"/>
    <x v="96"/>
    <x v="0"/>
    <x v="1"/>
    <x v="0"/>
    <n v="8.2545904966576007"/>
    <b v="0"/>
    <s v="MD_05"/>
    <x v="1"/>
  </r>
  <r>
    <x v="275"/>
    <x v="238"/>
    <x v="0"/>
    <x v="3"/>
    <x v="0"/>
    <n v="21.437043847786747"/>
    <b v="0"/>
    <s v="MD_09"/>
    <x v="0"/>
  </r>
  <r>
    <x v="276"/>
    <x v="239"/>
    <x v="3"/>
    <x v="3"/>
    <x v="0"/>
    <n v="7.762912831303443"/>
    <b v="0"/>
    <s v="MD_10"/>
    <x v="1"/>
  </r>
  <r>
    <x v="277"/>
    <x v="240"/>
    <x v="0"/>
    <x v="0"/>
    <x v="0"/>
    <n v="4.8982687251454271"/>
    <b v="0"/>
    <s v="MD_14"/>
    <x v="1"/>
  </r>
  <r>
    <x v="278"/>
    <x v="241"/>
    <x v="3"/>
    <x v="3"/>
    <x v="0"/>
    <n v="6.6400818473721577"/>
    <b v="0"/>
    <s v="MD_18"/>
    <x v="1"/>
  </r>
  <r>
    <x v="279"/>
    <x v="227"/>
    <x v="3"/>
    <x v="3"/>
    <x v="1"/>
    <n v="22.676307906186491"/>
    <b v="0"/>
    <s v="MD_16"/>
    <x v="0"/>
  </r>
  <r>
    <x v="280"/>
    <x v="242"/>
    <x v="2"/>
    <x v="4"/>
    <x v="1"/>
    <n v="17.645241569049965"/>
    <b v="0"/>
    <s v="MD_04"/>
    <x v="0"/>
  </r>
  <r>
    <x v="281"/>
    <x v="4"/>
    <x v="3"/>
    <x v="1"/>
    <x v="0"/>
    <n v="24.249003718364861"/>
    <b v="0"/>
    <s v="MD_07"/>
    <x v="0"/>
  </r>
  <r>
    <x v="282"/>
    <x v="178"/>
    <x v="0"/>
    <x v="1"/>
    <x v="0"/>
    <n v="10.739655298621305"/>
    <b v="0"/>
    <s v="MD_18"/>
    <x v="1"/>
  </r>
  <r>
    <x v="283"/>
    <x v="192"/>
    <x v="1"/>
    <x v="1"/>
    <x v="1"/>
    <n v="19.446677871971289"/>
    <b v="0"/>
    <s v="MD_15"/>
    <x v="0"/>
  </r>
  <r>
    <x v="284"/>
    <x v="243"/>
    <x v="0"/>
    <x v="1"/>
    <x v="0"/>
    <n v="6.2699412690017144"/>
    <b v="0"/>
    <s v="MD_11"/>
    <x v="1"/>
  </r>
  <r>
    <x v="285"/>
    <x v="244"/>
    <x v="3"/>
    <x v="0"/>
    <x v="0"/>
    <n v="6.0661818151294264"/>
    <b v="0"/>
    <s v="MD_02"/>
    <x v="1"/>
  </r>
  <r>
    <x v="286"/>
    <x v="245"/>
    <x v="2"/>
    <x v="1"/>
    <x v="0"/>
    <n v="6.9986531939978027"/>
    <b v="0"/>
    <s v="MD_01"/>
    <x v="2"/>
  </r>
  <r>
    <x v="287"/>
    <x v="246"/>
    <x v="2"/>
    <x v="3"/>
    <x v="1"/>
    <n v="8.3554584245306405"/>
    <b v="0"/>
    <s v="MD_12"/>
    <x v="1"/>
  </r>
  <r>
    <x v="288"/>
    <x v="236"/>
    <x v="1"/>
    <x v="2"/>
    <x v="1"/>
    <n v="24.779626693826135"/>
    <b v="0"/>
    <s v="MD_10"/>
    <x v="0"/>
  </r>
  <r>
    <x v="289"/>
    <x v="247"/>
    <x v="2"/>
    <x v="0"/>
    <x v="0"/>
    <n v="3.9532910104252315"/>
    <b v="0"/>
    <s v="MD_18"/>
    <x v="2"/>
  </r>
  <r>
    <x v="290"/>
    <x v="248"/>
    <x v="2"/>
    <x v="1"/>
    <x v="0"/>
    <n v="7.7501516269413067"/>
    <b v="0"/>
    <s v="MD_08"/>
    <x v="1"/>
  </r>
  <r>
    <x v="291"/>
    <x v="249"/>
    <x v="0"/>
    <x v="0"/>
    <x v="0"/>
    <n v="8.0739874754709682"/>
    <b v="0"/>
    <s v="MD_02"/>
    <x v="1"/>
  </r>
  <r>
    <x v="292"/>
    <x v="250"/>
    <x v="1"/>
    <x v="0"/>
    <x v="1"/>
    <n v="6.0339928472534892"/>
    <b v="0"/>
    <s v="MD_18"/>
    <x v="1"/>
  </r>
  <r>
    <x v="293"/>
    <x v="251"/>
    <x v="1"/>
    <x v="4"/>
    <x v="0"/>
    <n v="4.6754916646925393"/>
    <b v="0"/>
    <s v="MD_01"/>
    <x v="1"/>
  </r>
  <r>
    <x v="294"/>
    <x v="252"/>
    <x v="1"/>
    <x v="2"/>
    <x v="0"/>
    <n v="8.6266346460588714"/>
    <b v="0"/>
    <s v="MD_20"/>
    <x v="2"/>
  </r>
  <r>
    <x v="295"/>
    <x v="253"/>
    <x v="2"/>
    <x v="3"/>
    <x v="0"/>
    <n v="6.9100119176646464"/>
    <b v="0"/>
    <s v="MD_15"/>
    <x v="1"/>
  </r>
  <r>
    <x v="296"/>
    <x v="254"/>
    <x v="0"/>
    <x v="0"/>
    <x v="0"/>
    <n v="8.3341748562069711"/>
    <b v="0"/>
    <s v="MD_13"/>
    <x v="1"/>
  </r>
  <r>
    <x v="297"/>
    <x v="161"/>
    <x v="1"/>
    <x v="4"/>
    <x v="0"/>
    <n v="7.7516769456179011"/>
    <b v="0"/>
    <s v="MD_13"/>
    <x v="2"/>
  </r>
  <r>
    <x v="298"/>
    <x v="255"/>
    <x v="3"/>
    <x v="1"/>
    <x v="0"/>
    <n v="25.100570751015663"/>
    <b v="0"/>
    <s v="MD_19"/>
    <x v="0"/>
  </r>
  <r>
    <x v="299"/>
    <x v="256"/>
    <x v="3"/>
    <x v="1"/>
    <x v="1"/>
    <n v="8.0295250249200301"/>
    <b v="0"/>
    <s v="MD_04"/>
    <x v="1"/>
  </r>
  <r>
    <x v="300"/>
    <x v="153"/>
    <x v="2"/>
    <x v="3"/>
    <x v="0"/>
    <n v="21.761913459890653"/>
    <b v="0"/>
    <s v="MD_10"/>
    <x v="0"/>
  </r>
  <r>
    <x v="301"/>
    <x v="257"/>
    <x v="1"/>
    <x v="2"/>
    <x v="0"/>
    <n v="29.987596103869318"/>
    <b v="0"/>
    <s v="MD_05"/>
    <x v="0"/>
  </r>
  <r>
    <x v="302"/>
    <x v="98"/>
    <x v="3"/>
    <x v="4"/>
    <x v="0"/>
    <n v="4.2364897281755507"/>
    <b v="0"/>
    <s v="MD_10"/>
    <x v="1"/>
  </r>
  <r>
    <x v="303"/>
    <x v="93"/>
    <x v="1"/>
    <x v="1"/>
    <x v="1"/>
    <n v="21.607834918934579"/>
    <b v="0"/>
    <s v="MD_02"/>
    <x v="0"/>
  </r>
  <r>
    <x v="304"/>
    <x v="150"/>
    <x v="0"/>
    <x v="3"/>
    <x v="1"/>
    <n v="6.6714253430627011"/>
    <b v="0"/>
    <s v="MD_11"/>
    <x v="1"/>
  </r>
  <r>
    <x v="305"/>
    <x v="258"/>
    <x v="3"/>
    <x v="4"/>
    <x v="0"/>
    <n v="7.0282176380825119"/>
    <b v="0"/>
    <s v="MD_06"/>
    <x v="1"/>
  </r>
  <r>
    <x v="306"/>
    <x v="143"/>
    <x v="1"/>
    <x v="4"/>
    <x v="1"/>
    <n v="29.846552617196743"/>
    <b v="0"/>
    <s v="MD_14"/>
    <x v="0"/>
  </r>
  <r>
    <x v="307"/>
    <x v="259"/>
    <x v="2"/>
    <x v="2"/>
    <x v="0"/>
    <n v="31.557327628210167"/>
    <b v="0"/>
    <s v="MD_11"/>
    <x v="0"/>
  </r>
  <r>
    <x v="308"/>
    <x v="161"/>
    <x v="2"/>
    <x v="2"/>
    <x v="0"/>
    <n v="25.142554283858161"/>
    <b v="0"/>
    <s v="MD_05"/>
    <x v="0"/>
  </r>
  <r>
    <x v="309"/>
    <x v="176"/>
    <x v="0"/>
    <x v="3"/>
    <x v="1"/>
    <n v="5.2755131968690732"/>
    <b v="0"/>
    <s v="MD_14"/>
    <x v="1"/>
  </r>
  <r>
    <x v="310"/>
    <x v="76"/>
    <x v="0"/>
    <x v="1"/>
    <x v="0"/>
    <n v="9.9361159693556704"/>
    <b v="0"/>
    <s v="MD_14"/>
    <x v="1"/>
  </r>
  <r>
    <x v="311"/>
    <x v="260"/>
    <x v="2"/>
    <x v="2"/>
    <x v="1"/>
    <n v="30.535377697822049"/>
    <b v="0"/>
    <s v="MD_02"/>
    <x v="0"/>
  </r>
  <r>
    <x v="312"/>
    <x v="18"/>
    <x v="0"/>
    <x v="3"/>
    <x v="1"/>
    <n v="26.714993924308548"/>
    <b v="0"/>
    <s v="MD_11"/>
    <x v="0"/>
  </r>
  <r>
    <x v="313"/>
    <x v="97"/>
    <x v="3"/>
    <x v="4"/>
    <x v="0"/>
    <n v="4.8433817421308873"/>
    <b v="0"/>
    <s v="MD_07"/>
    <x v="1"/>
  </r>
  <r>
    <x v="314"/>
    <x v="208"/>
    <x v="0"/>
    <x v="1"/>
    <x v="1"/>
    <n v="7.2665035932597952"/>
    <b v="0"/>
    <s v="MD_15"/>
    <x v="0"/>
  </r>
  <r>
    <x v="315"/>
    <x v="261"/>
    <x v="3"/>
    <x v="1"/>
    <x v="0"/>
    <n v="6.0937137480249461"/>
    <b v="0"/>
    <s v="MD_18"/>
    <x v="1"/>
  </r>
  <r>
    <x v="316"/>
    <x v="204"/>
    <x v="1"/>
    <x v="2"/>
    <x v="1"/>
    <n v="34.145914695775581"/>
    <b v="0"/>
    <s v="MD_20"/>
    <x v="0"/>
  </r>
  <r>
    <x v="317"/>
    <x v="228"/>
    <x v="3"/>
    <x v="1"/>
    <x v="0"/>
    <n v="4.6267144400758493"/>
    <b v="0"/>
    <s v="MD_16"/>
    <x v="1"/>
  </r>
  <r>
    <x v="318"/>
    <x v="262"/>
    <x v="3"/>
    <x v="2"/>
    <x v="1"/>
    <n v="26.932320810029264"/>
    <b v="0"/>
    <s v="MD_10"/>
    <x v="0"/>
  </r>
  <r>
    <x v="319"/>
    <x v="263"/>
    <x v="2"/>
    <x v="2"/>
    <x v="0"/>
    <n v="32.094679033276044"/>
    <b v="0"/>
    <s v="MD_17"/>
    <x v="0"/>
  </r>
  <r>
    <x v="320"/>
    <x v="264"/>
    <x v="1"/>
    <x v="2"/>
    <x v="0"/>
    <n v="23.915197995838337"/>
    <b v="0"/>
    <s v="MD_02"/>
    <x v="0"/>
  </r>
  <r>
    <x v="321"/>
    <x v="152"/>
    <x v="3"/>
    <x v="4"/>
    <x v="1"/>
    <n v="29.59572240589997"/>
    <b v="0"/>
    <s v="MD_12"/>
    <x v="0"/>
  </r>
  <r>
    <x v="322"/>
    <x v="265"/>
    <x v="1"/>
    <x v="2"/>
    <x v="1"/>
    <n v="17.109249668687699"/>
    <b v="0"/>
    <s v="MD_09"/>
    <x v="0"/>
  </r>
  <r>
    <x v="323"/>
    <x v="266"/>
    <x v="1"/>
    <x v="3"/>
    <x v="0"/>
    <n v="2.9021030200520457"/>
    <b v="0"/>
    <s v="MD_06"/>
    <x v="1"/>
  </r>
  <r>
    <x v="324"/>
    <x v="267"/>
    <x v="0"/>
    <x v="0"/>
    <x v="0"/>
    <n v="5.859062895998373"/>
    <b v="0"/>
    <s v="MD_13"/>
    <x v="1"/>
  </r>
  <r>
    <x v="325"/>
    <x v="268"/>
    <x v="3"/>
    <x v="3"/>
    <x v="0"/>
    <n v="6.3699708385700697"/>
    <b v="0"/>
    <s v="MD_06"/>
    <x v="1"/>
  </r>
  <r>
    <x v="326"/>
    <x v="269"/>
    <x v="1"/>
    <x v="0"/>
    <x v="1"/>
    <n v="16.910901529804441"/>
    <b v="0"/>
    <s v="MD_07"/>
    <x v="0"/>
  </r>
  <r>
    <x v="327"/>
    <x v="270"/>
    <x v="1"/>
    <x v="1"/>
    <x v="0"/>
    <n v="3.25811676168723"/>
    <b v="0"/>
    <s v="MD_18"/>
    <x v="1"/>
  </r>
  <r>
    <x v="328"/>
    <x v="195"/>
    <x v="2"/>
    <x v="2"/>
    <x v="1"/>
    <n v="7.2358787013571924"/>
    <b v="0"/>
    <s v="MD_18"/>
    <x v="1"/>
  </r>
  <r>
    <x v="329"/>
    <x v="271"/>
    <x v="2"/>
    <x v="3"/>
    <x v="0"/>
    <n v="5.891654137979927"/>
    <b v="0"/>
    <s v="MD_19"/>
    <x v="1"/>
  </r>
  <r>
    <x v="330"/>
    <x v="272"/>
    <x v="0"/>
    <x v="3"/>
    <x v="0"/>
    <n v="3.1222046826957639"/>
    <b v="0"/>
    <s v="MD_06"/>
    <x v="1"/>
  </r>
  <r>
    <x v="331"/>
    <x v="170"/>
    <x v="2"/>
    <x v="1"/>
    <x v="0"/>
    <n v="6.4598868690980682"/>
    <b v="0"/>
    <s v="MD_03"/>
    <x v="1"/>
  </r>
  <r>
    <x v="332"/>
    <x v="273"/>
    <x v="3"/>
    <x v="2"/>
    <x v="0"/>
    <n v="4.2504780090338867"/>
    <b v="0"/>
    <s v="MD_01"/>
    <x v="2"/>
  </r>
  <r>
    <x v="333"/>
    <x v="170"/>
    <x v="2"/>
    <x v="3"/>
    <x v="1"/>
    <n v="3.4888613588568309"/>
    <b v="0"/>
    <s v="MD_04"/>
    <x v="1"/>
  </r>
  <r>
    <x v="334"/>
    <x v="274"/>
    <x v="2"/>
    <x v="4"/>
    <x v="1"/>
    <n v="36.876394784906132"/>
    <b v="0"/>
    <s v="MD_04"/>
    <x v="0"/>
  </r>
  <r>
    <x v="335"/>
    <x v="275"/>
    <x v="2"/>
    <x v="3"/>
    <x v="1"/>
    <n v="27.744774111783538"/>
    <b v="0"/>
    <s v="MD_03"/>
    <x v="0"/>
  </r>
  <r>
    <x v="336"/>
    <x v="276"/>
    <x v="3"/>
    <x v="1"/>
    <x v="0"/>
    <n v="6.7536327896872521"/>
    <b v="0"/>
    <s v="MD_01"/>
    <x v="1"/>
  </r>
  <r>
    <x v="337"/>
    <x v="277"/>
    <x v="2"/>
    <x v="0"/>
    <x v="0"/>
    <n v="8.0831869229005928"/>
    <b v="0"/>
    <s v="MD_06"/>
    <x v="2"/>
  </r>
  <r>
    <x v="338"/>
    <x v="278"/>
    <x v="1"/>
    <x v="2"/>
    <x v="1"/>
    <n v="9.5214269588820848"/>
    <b v="0"/>
    <s v="MD_08"/>
    <x v="0"/>
  </r>
  <r>
    <x v="339"/>
    <x v="279"/>
    <x v="0"/>
    <x v="1"/>
    <x v="0"/>
    <n v="28.047653391098979"/>
    <b v="0"/>
    <s v="MD_03"/>
    <x v="0"/>
  </r>
  <r>
    <x v="340"/>
    <x v="280"/>
    <x v="3"/>
    <x v="1"/>
    <x v="0"/>
    <n v="9.5503157982101143"/>
    <b v="0"/>
    <s v="MD_05"/>
    <x v="1"/>
  </r>
  <r>
    <x v="341"/>
    <x v="212"/>
    <x v="3"/>
    <x v="0"/>
    <x v="1"/>
    <n v="8.2257447043507703"/>
    <b v="0"/>
    <s v="MD_05"/>
    <x v="2"/>
  </r>
  <r>
    <x v="342"/>
    <x v="155"/>
    <x v="3"/>
    <x v="4"/>
    <x v="0"/>
    <n v="2.7439678063496107"/>
    <b v="0"/>
    <s v="MD_02"/>
    <x v="1"/>
  </r>
  <r>
    <x v="343"/>
    <x v="281"/>
    <x v="0"/>
    <x v="2"/>
    <x v="1"/>
    <n v="11.867985217648261"/>
    <b v="0"/>
    <s v="MD_18"/>
    <x v="1"/>
  </r>
  <r>
    <x v="344"/>
    <x v="67"/>
    <x v="3"/>
    <x v="1"/>
    <x v="0"/>
    <n v="7.0119233443570277"/>
    <b v="0"/>
    <s v="MD_04"/>
    <x v="1"/>
  </r>
  <r>
    <x v="345"/>
    <x v="103"/>
    <x v="1"/>
    <x v="2"/>
    <x v="1"/>
    <n v="7.5076617672257022"/>
    <b v="0"/>
    <s v="MD_11"/>
    <x v="1"/>
  </r>
  <r>
    <x v="346"/>
    <x v="282"/>
    <x v="0"/>
    <x v="4"/>
    <x v="1"/>
    <n v="31.507659501515775"/>
    <b v="0"/>
    <s v="MD_19"/>
    <x v="0"/>
  </r>
  <r>
    <x v="347"/>
    <x v="283"/>
    <x v="2"/>
    <x v="3"/>
    <x v="1"/>
    <n v="35.831960294393028"/>
    <b v="0"/>
    <s v="MD_13"/>
    <x v="0"/>
  </r>
  <r>
    <x v="348"/>
    <x v="284"/>
    <x v="1"/>
    <x v="0"/>
    <x v="0"/>
    <n v="12.213995177454283"/>
    <b v="0"/>
    <s v="MD_06"/>
    <x v="0"/>
  </r>
  <r>
    <x v="349"/>
    <x v="282"/>
    <x v="1"/>
    <x v="0"/>
    <x v="1"/>
    <n v="43.348624519961881"/>
    <b v="0"/>
    <s v="MD_08"/>
    <x v="0"/>
  </r>
  <r>
    <x v="350"/>
    <x v="285"/>
    <x v="1"/>
    <x v="1"/>
    <x v="1"/>
    <n v="6.3529360285467336"/>
    <b v="1"/>
    <s v="MD_09"/>
    <x v="1"/>
  </r>
  <r>
    <x v="351"/>
    <x v="5"/>
    <x v="2"/>
    <x v="2"/>
    <x v="0"/>
    <n v="6.5268394058757409"/>
    <b v="0"/>
    <s v="MD_06"/>
    <x v="1"/>
  </r>
  <r>
    <x v="352"/>
    <x v="286"/>
    <x v="1"/>
    <x v="4"/>
    <x v="0"/>
    <n v="30.070427208055694"/>
    <b v="0"/>
    <s v="MD_12"/>
    <x v="0"/>
  </r>
  <r>
    <x v="353"/>
    <x v="287"/>
    <x v="2"/>
    <x v="3"/>
    <x v="0"/>
    <n v="3.8079711807587437"/>
    <b v="0"/>
    <s v="MD_08"/>
    <x v="1"/>
  </r>
  <r>
    <x v="354"/>
    <x v="238"/>
    <x v="0"/>
    <x v="0"/>
    <x v="0"/>
    <n v="23.852635771597313"/>
    <b v="0"/>
    <s v="MD_13"/>
    <x v="0"/>
  </r>
  <r>
    <x v="355"/>
    <x v="69"/>
    <x v="2"/>
    <x v="4"/>
    <x v="1"/>
    <n v="12.168884170011408"/>
    <b v="0"/>
    <s v="MD_02"/>
    <x v="0"/>
  </r>
  <r>
    <x v="356"/>
    <x v="288"/>
    <x v="3"/>
    <x v="2"/>
    <x v="0"/>
    <n v="20.92598377823764"/>
    <b v="0"/>
    <s v="MD_12"/>
    <x v="0"/>
  </r>
  <r>
    <x v="357"/>
    <x v="289"/>
    <x v="1"/>
    <x v="3"/>
    <x v="1"/>
    <n v="20.865599078383557"/>
    <b v="0"/>
    <s v="MD_20"/>
    <x v="0"/>
  </r>
  <r>
    <x v="358"/>
    <x v="290"/>
    <x v="2"/>
    <x v="3"/>
    <x v="1"/>
    <n v="23.954363423412662"/>
    <b v="0"/>
    <s v="MD_12"/>
    <x v="0"/>
  </r>
  <r>
    <x v="359"/>
    <x v="252"/>
    <x v="3"/>
    <x v="1"/>
    <x v="0"/>
    <n v="16.579621444557315"/>
    <b v="0"/>
    <s v="MD_16"/>
    <x v="0"/>
  </r>
  <r>
    <x v="360"/>
    <x v="291"/>
    <x v="2"/>
    <x v="3"/>
    <x v="0"/>
    <n v="8.1811006771673469"/>
    <b v="0"/>
    <s v="MD_12"/>
    <x v="1"/>
  </r>
  <r>
    <x v="361"/>
    <x v="31"/>
    <x v="3"/>
    <x v="0"/>
    <x v="1"/>
    <n v="18.79814930463759"/>
    <b v="0"/>
    <s v="MD_13"/>
    <x v="0"/>
  </r>
  <r>
    <x v="362"/>
    <x v="292"/>
    <x v="1"/>
    <x v="3"/>
    <x v="1"/>
    <n v="11.998328003864739"/>
    <b v="0"/>
    <s v="MD_02"/>
    <x v="0"/>
  </r>
  <r>
    <x v="363"/>
    <x v="293"/>
    <x v="1"/>
    <x v="2"/>
    <x v="0"/>
    <n v="22.496221810969637"/>
    <b v="0"/>
    <s v="MD_15"/>
    <x v="0"/>
  </r>
  <r>
    <x v="364"/>
    <x v="294"/>
    <x v="1"/>
    <x v="2"/>
    <x v="0"/>
    <n v="6.2899822192758341"/>
    <b v="0"/>
    <s v="MD_11"/>
    <x v="1"/>
  </r>
  <r>
    <x v="365"/>
    <x v="221"/>
    <x v="0"/>
    <x v="0"/>
    <x v="1"/>
    <n v="25.613162072181851"/>
    <b v="0"/>
    <s v="MD_06"/>
    <x v="0"/>
  </r>
  <r>
    <x v="366"/>
    <x v="295"/>
    <x v="3"/>
    <x v="1"/>
    <x v="1"/>
    <n v="24.757942372023034"/>
    <b v="0"/>
    <s v="MD_07"/>
    <x v="0"/>
  </r>
  <r>
    <x v="367"/>
    <x v="296"/>
    <x v="0"/>
    <x v="3"/>
    <x v="0"/>
    <n v="7.5949227265064909"/>
    <b v="0"/>
    <s v="MD_20"/>
    <x v="1"/>
  </r>
  <r>
    <x v="368"/>
    <x v="8"/>
    <x v="0"/>
    <x v="0"/>
    <x v="0"/>
    <n v="3.6783782359948165"/>
    <b v="0"/>
    <s v="MD_09"/>
    <x v="1"/>
  </r>
  <r>
    <x v="369"/>
    <x v="297"/>
    <x v="1"/>
    <x v="0"/>
    <x v="1"/>
    <n v="5.153841886838606"/>
    <b v="0"/>
    <s v="MD_11"/>
    <x v="1"/>
  </r>
  <r>
    <x v="370"/>
    <x v="298"/>
    <x v="2"/>
    <x v="3"/>
    <x v="1"/>
    <n v="28.182364239529004"/>
    <b v="0"/>
    <s v="MD_17"/>
    <x v="0"/>
  </r>
  <r>
    <x v="371"/>
    <x v="299"/>
    <x v="3"/>
    <x v="0"/>
    <x v="0"/>
    <n v="5.6658407137836919"/>
    <b v="0"/>
    <s v="MD_15"/>
    <x v="1"/>
  </r>
  <r>
    <x v="372"/>
    <x v="261"/>
    <x v="3"/>
    <x v="4"/>
    <x v="0"/>
    <n v="7.7929469988018916"/>
    <b v="0"/>
    <s v="MD_12"/>
    <x v="2"/>
  </r>
  <r>
    <x v="373"/>
    <x v="300"/>
    <x v="0"/>
    <x v="2"/>
    <x v="1"/>
    <n v="21.922595648371608"/>
    <b v="1"/>
    <s v="MD_19"/>
    <x v="0"/>
  </r>
  <r>
    <x v="374"/>
    <x v="301"/>
    <x v="1"/>
    <x v="1"/>
    <x v="1"/>
    <n v="16.531359337620671"/>
    <b v="0"/>
    <s v="MD_05"/>
    <x v="0"/>
  </r>
  <r>
    <x v="375"/>
    <x v="302"/>
    <x v="2"/>
    <x v="0"/>
    <x v="1"/>
    <n v="37.770494167215986"/>
    <b v="0"/>
    <s v="MD_05"/>
    <x v="0"/>
  </r>
  <r>
    <x v="376"/>
    <x v="65"/>
    <x v="0"/>
    <x v="2"/>
    <x v="1"/>
    <n v="16.043639891392665"/>
    <b v="0"/>
    <s v="MD_07"/>
    <x v="0"/>
  </r>
  <r>
    <x v="377"/>
    <x v="303"/>
    <x v="1"/>
    <x v="0"/>
    <x v="0"/>
    <n v="7.2716418904856823"/>
    <b v="0"/>
    <s v="MD_06"/>
    <x v="1"/>
  </r>
  <r>
    <x v="378"/>
    <x v="304"/>
    <x v="0"/>
    <x v="2"/>
    <x v="0"/>
    <n v="6.7411520798754578"/>
    <b v="0"/>
    <s v="MD_02"/>
    <x v="2"/>
  </r>
  <r>
    <x v="379"/>
    <x v="305"/>
    <x v="0"/>
    <x v="0"/>
    <x v="0"/>
    <n v="5.7475140470045103"/>
    <b v="0"/>
    <s v="MD_11"/>
    <x v="1"/>
  </r>
  <r>
    <x v="380"/>
    <x v="306"/>
    <x v="1"/>
    <x v="0"/>
    <x v="0"/>
    <n v="5.4635705328652735"/>
    <b v="0"/>
    <s v="MD_19"/>
    <x v="1"/>
  </r>
  <r>
    <x v="381"/>
    <x v="307"/>
    <x v="3"/>
    <x v="0"/>
    <x v="0"/>
    <n v="15.218390524526605"/>
    <b v="0"/>
    <s v="MD_12"/>
    <x v="0"/>
  </r>
  <r>
    <x v="382"/>
    <x v="308"/>
    <x v="2"/>
    <x v="1"/>
    <x v="0"/>
    <n v="8.062387436544773"/>
    <b v="0"/>
    <s v="MD_02"/>
    <x v="1"/>
  </r>
  <r>
    <x v="383"/>
    <x v="237"/>
    <x v="3"/>
    <x v="2"/>
    <x v="0"/>
    <n v="11.781209457660278"/>
    <b v="0"/>
    <s v="MD_18"/>
    <x v="1"/>
  </r>
  <r>
    <x v="384"/>
    <x v="309"/>
    <x v="1"/>
    <x v="1"/>
    <x v="0"/>
    <n v="4.9756895782321839"/>
    <b v="0"/>
    <s v="MD_05"/>
    <x v="1"/>
  </r>
  <r>
    <x v="385"/>
    <x v="310"/>
    <x v="2"/>
    <x v="4"/>
    <x v="0"/>
    <n v="6.427467111107096"/>
    <b v="0"/>
    <s v="MD_18"/>
    <x v="1"/>
  </r>
  <r>
    <x v="386"/>
    <x v="128"/>
    <x v="0"/>
    <x v="4"/>
    <x v="1"/>
    <n v="35.532394755824875"/>
    <b v="0"/>
    <s v="MD_20"/>
    <x v="0"/>
  </r>
  <r>
    <x v="387"/>
    <x v="101"/>
    <x v="3"/>
    <x v="4"/>
    <x v="1"/>
    <n v="29.222956260232166"/>
    <b v="0"/>
    <s v="MD_01"/>
    <x v="0"/>
  </r>
  <r>
    <x v="388"/>
    <x v="247"/>
    <x v="2"/>
    <x v="2"/>
    <x v="0"/>
    <n v="9.1446575005409088"/>
    <b v="0"/>
    <s v="MD_12"/>
    <x v="1"/>
  </r>
  <r>
    <x v="389"/>
    <x v="311"/>
    <x v="0"/>
    <x v="4"/>
    <x v="0"/>
    <n v="2.5273653308394448"/>
    <b v="0"/>
    <s v="MD_08"/>
    <x v="2"/>
  </r>
  <r>
    <x v="390"/>
    <x v="280"/>
    <x v="3"/>
    <x v="4"/>
    <x v="0"/>
    <n v="4.6579712671529636"/>
    <b v="0"/>
    <s v="MD_20"/>
    <x v="1"/>
  </r>
  <r>
    <x v="391"/>
    <x v="312"/>
    <x v="2"/>
    <x v="3"/>
    <x v="1"/>
    <n v="14.092867283355488"/>
    <b v="0"/>
    <s v="MD_04"/>
    <x v="0"/>
  </r>
  <r>
    <x v="392"/>
    <x v="287"/>
    <x v="3"/>
    <x v="3"/>
    <x v="0"/>
    <n v="6.2710315899601108"/>
    <b v="0"/>
    <s v="MD_01"/>
    <x v="1"/>
  </r>
  <r>
    <x v="393"/>
    <x v="109"/>
    <x v="1"/>
    <x v="3"/>
    <x v="0"/>
    <n v="7.6741778742557543"/>
    <b v="0"/>
    <s v="MD_16"/>
    <x v="1"/>
  </r>
  <r>
    <x v="394"/>
    <x v="313"/>
    <x v="0"/>
    <x v="1"/>
    <x v="0"/>
    <n v="4.5341396341444629"/>
    <b v="0"/>
    <s v="MD_08"/>
    <x v="1"/>
  </r>
  <r>
    <x v="395"/>
    <x v="34"/>
    <x v="0"/>
    <x v="4"/>
    <x v="0"/>
    <n v="6.992678998287893"/>
    <b v="0"/>
    <s v="MD_09"/>
    <x v="1"/>
  </r>
  <r>
    <x v="396"/>
    <x v="15"/>
    <x v="1"/>
    <x v="2"/>
    <x v="0"/>
    <n v="1.4197341513328325"/>
    <b v="0"/>
    <s v="MD_04"/>
    <x v="1"/>
  </r>
  <r>
    <x v="397"/>
    <x v="41"/>
    <x v="1"/>
    <x v="2"/>
    <x v="0"/>
    <n v="8.8720677296289434"/>
    <b v="0"/>
    <s v="MD_09"/>
    <x v="1"/>
  </r>
  <r>
    <x v="398"/>
    <x v="314"/>
    <x v="1"/>
    <x v="1"/>
    <x v="1"/>
    <n v="23.46083677557516"/>
    <b v="0"/>
    <s v="MD_02"/>
    <x v="0"/>
  </r>
  <r>
    <x v="399"/>
    <x v="104"/>
    <x v="0"/>
    <x v="1"/>
    <x v="0"/>
    <n v="4.8166618419667362"/>
    <b v="0"/>
    <s v="MD_02"/>
    <x v="1"/>
  </r>
  <r>
    <x v="400"/>
    <x v="201"/>
    <x v="3"/>
    <x v="0"/>
    <x v="0"/>
    <n v="3.0441886537566196"/>
    <b v="0"/>
    <s v="MD_09"/>
    <x v="1"/>
  </r>
  <r>
    <x v="401"/>
    <x v="315"/>
    <x v="3"/>
    <x v="0"/>
    <x v="0"/>
    <n v="6.8816682689831614"/>
    <b v="0"/>
    <s v="MD_11"/>
    <x v="1"/>
  </r>
  <r>
    <x v="402"/>
    <x v="316"/>
    <x v="1"/>
    <x v="4"/>
    <x v="0"/>
    <n v="5.5457192106511926"/>
    <b v="0"/>
    <s v="MD_08"/>
    <x v="1"/>
  </r>
  <r>
    <x v="403"/>
    <x v="317"/>
    <x v="2"/>
    <x v="3"/>
    <x v="0"/>
    <n v="4.7376552866948112"/>
    <b v="0"/>
    <s v="MD_04"/>
    <x v="1"/>
  </r>
  <r>
    <x v="404"/>
    <x v="67"/>
    <x v="1"/>
    <x v="4"/>
    <x v="0"/>
    <n v="4.7810951111310516"/>
    <b v="0"/>
    <s v="MD_07"/>
    <x v="1"/>
  </r>
  <r>
    <x v="405"/>
    <x v="318"/>
    <x v="0"/>
    <x v="3"/>
    <x v="0"/>
    <n v="4.3447951326540988"/>
    <b v="0"/>
    <s v="MD_20"/>
    <x v="1"/>
  </r>
  <r>
    <x v="406"/>
    <x v="22"/>
    <x v="2"/>
    <x v="3"/>
    <x v="0"/>
    <n v="18.416351942824793"/>
    <b v="0"/>
    <s v="MD_07"/>
    <x v="0"/>
  </r>
  <r>
    <x v="407"/>
    <x v="319"/>
    <x v="3"/>
    <x v="3"/>
    <x v="1"/>
    <n v="4.0172875209825296"/>
    <b v="0"/>
    <s v="MD_18"/>
    <x v="1"/>
  </r>
  <r>
    <x v="408"/>
    <x v="248"/>
    <x v="0"/>
    <x v="2"/>
    <x v="0"/>
    <n v="16.607084096846211"/>
    <b v="0"/>
    <s v="MD_09"/>
    <x v="0"/>
  </r>
  <r>
    <x v="409"/>
    <x v="99"/>
    <x v="0"/>
    <x v="3"/>
    <x v="0"/>
    <n v="5.8343279783751241"/>
    <b v="0"/>
    <s v="MD_15"/>
    <x v="1"/>
  </r>
  <r>
    <x v="410"/>
    <x v="320"/>
    <x v="0"/>
    <x v="3"/>
    <x v="0"/>
    <n v="7.0532349860134591"/>
    <b v="0"/>
    <s v="MD_05"/>
    <x v="1"/>
  </r>
  <r>
    <x v="411"/>
    <x v="321"/>
    <x v="3"/>
    <x v="0"/>
    <x v="0"/>
    <n v="9.7816770976710448"/>
    <b v="0"/>
    <s v="MD_12"/>
    <x v="2"/>
  </r>
  <r>
    <x v="412"/>
    <x v="242"/>
    <x v="1"/>
    <x v="2"/>
    <x v="1"/>
    <n v="20.840190972562265"/>
    <b v="0"/>
    <s v="MD_03"/>
    <x v="0"/>
  </r>
  <r>
    <x v="413"/>
    <x v="111"/>
    <x v="1"/>
    <x v="2"/>
    <x v="0"/>
    <n v="10.092989286344253"/>
    <b v="0"/>
    <s v="MD_18"/>
    <x v="1"/>
  </r>
  <r>
    <x v="414"/>
    <x v="322"/>
    <x v="1"/>
    <x v="2"/>
    <x v="0"/>
    <n v="6.8623813622286578"/>
    <b v="0"/>
    <s v="MD_17"/>
    <x v="1"/>
  </r>
  <r>
    <x v="415"/>
    <x v="5"/>
    <x v="3"/>
    <x v="1"/>
    <x v="0"/>
    <n v="4.9626450306467227"/>
    <b v="0"/>
    <s v="MD_11"/>
    <x v="2"/>
  </r>
  <r>
    <x v="416"/>
    <x v="33"/>
    <x v="2"/>
    <x v="3"/>
    <x v="1"/>
    <n v="26.078296807864707"/>
    <b v="0"/>
    <s v="MD_02"/>
    <x v="0"/>
  </r>
  <r>
    <x v="417"/>
    <x v="236"/>
    <x v="2"/>
    <x v="3"/>
    <x v="1"/>
    <n v="24.150414659190265"/>
    <b v="0"/>
    <s v="MD_16"/>
    <x v="0"/>
  </r>
  <r>
    <x v="418"/>
    <x v="29"/>
    <x v="1"/>
    <x v="2"/>
    <x v="0"/>
    <n v="9.6588872914200383"/>
    <b v="0"/>
    <s v="MD_11"/>
    <x v="1"/>
  </r>
  <r>
    <x v="419"/>
    <x v="323"/>
    <x v="1"/>
    <x v="0"/>
    <x v="0"/>
    <n v="6.9658752316066632"/>
    <b v="0"/>
    <s v="MD_19"/>
    <x v="1"/>
  </r>
  <r>
    <x v="420"/>
    <x v="324"/>
    <x v="3"/>
    <x v="4"/>
    <x v="1"/>
    <n v="3.5818371102655013"/>
    <b v="1"/>
    <s v="MD_16"/>
    <x v="1"/>
  </r>
  <r>
    <x v="421"/>
    <x v="325"/>
    <x v="0"/>
    <x v="4"/>
    <x v="0"/>
    <n v="25.757500591310958"/>
    <b v="0"/>
    <s v="MD_16"/>
    <x v="0"/>
  </r>
  <r>
    <x v="422"/>
    <x v="326"/>
    <x v="1"/>
    <x v="0"/>
    <x v="0"/>
    <n v="1.0613284632554612"/>
    <b v="0"/>
    <s v="MD_09"/>
    <x v="1"/>
  </r>
  <r>
    <x v="423"/>
    <x v="327"/>
    <x v="0"/>
    <x v="3"/>
    <x v="0"/>
    <n v="12.781695213853279"/>
    <b v="0"/>
    <s v="MD_02"/>
    <x v="0"/>
  </r>
  <r>
    <x v="424"/>
    <x v="328"/>
    <x v="3"/>
    <x v="2"/>
    <x v="0"/>
    <n v="5.33503356854935"/>
    <b v="0"/>
    <s v="MD_06"/>
    <x v="2"/>
  </r>
  <r>
    <x v="425"/>
    <x v="329"/>
    <x v="0"/>
    <x v="1"/>
    <x v="0"/>
    <n v="9.1041552135927066"/>
    <b v="1"/>
    <s v="MD_15"/>
    <x v="1"/>
  </r>
  <r>
    <x v="426"/>
    <x v="330"/>
    <x v="2"/>
    <x v="1"/>
    <x v="1"/>
    <n v="5.5873737190519854"/>
    <b v="0"/>
    <s v="MD_08"/>
    <x v="1"/>
  </r>
  <r>
    <x v="427"/>
    <x v="76"/>
    <x v="1"/>
    <x v="4"/>
    <x v="0"/>
    <n v="4.4052025579792016"/>
    <b v="0"/>
    <s v="MD_12"/>
    <x v="1"/>
  </r>
  <r>
    <x v="428"/>
    <x v="148"/>
    <x v="3"/>
    <x v="1"/>
    <x v="1"/>
    <n v="7.3041639642967704"/>
    <b v="0"/>
    <s v="MD_06"/>
    <x v="1"/>
  </r>
  <r>
    <x v="429"/>
    <x v="36"/>
    <x v="2"/>
    <x v="1"/>
    <x v="0"/>
    <n v="6.6327998917498334"/>
    <b v="0"/>
    <s v="MD_20"/>
    <x v="1"/>
  </r>
  <r>
    <x v="430"/>
    <x v="187"/>
    <x v="1"/>
    <x v="3"/>
    <x v="0"/>
    <n v="6.1694008681705101"/>
    <b v="0"/>
    <s v="MD_18"/>
    <x v="1"/>
  </r>
  <r>
    <x v="431"/>
    <x v="331"/>
    <x v="0"/>
    <x v="1"/>
    <x v="1"/>
    <n v="20.621497839968438"/>
    <b v="0"/>
    <s v="MD_14"/>
    <x v="0"/>
  </r>
  <r>
    <x v="432"/>
    <x v="332"/>
    <x v="2"/>
    <x v="3"/>
    <x v="1"/>
    <n v="6.6089831527588574"/>
    <b v="0"/>
    <s v="MD_19"/>
    <x v="1"/>
  </r>
  <r>
    <x v="433"/>
    <x v="333"/>
    <x v="2"/>
    <x v="3"/>
    <x v="0"/>
    <n v="6.0116597268879151"/>
    <b v="0"/>
    <s v="MD_04"/>
    <x v="1"/>
  </r>
  <r>
    <x v="434"/>
    <x v="334"/>
    <x v="3"/>
    <x v="0"/>
    <x v="1"/>
    <n v="31.807770457865367"/>
    <b v="0"/>
    <s v="MD_19"/>
    <x v="0"/>
  </r>
  <r>
    <x v="435"/>
    <x v="335"/>
    <x v="2"/>
    <x v="1"/>
    <x v="0"/>
    <n v="26.662399469296421"/>
    <b v="0"/>
    <s v="MD_09"/>
    <x v="0"/>
  </r>
  <r>
    <x v="436"/>
    <x v="119"/>
    <x v="2"/>
    <x v="1"/>
    <x v="1"/>
    <n v="25.142990955370696"/>
    <b v="0"/>
    <s v="MD_02"/>
    <x v="0"/>
  </r>
  <r>
    <x v="437"/>
    <x v="211"/>
    <x v="3"/>
    <x v="2"/>
    <x v="0"/>
    <n v="33.772487771903585"/>
    <b v="0"/>
    <s v="MD_05"/>
    <x v="0"/>
  </r>
  <r>
    <x v="438"/>
    <x v="336"/>
    <x v="1"/>
    <x v="3"/>
    <x v="0"/>
    <n v="4.5011606574018641"/>
    <b v="0"/>
    <s v="MD_06"/>
    <x v="1"/>
  </r>
  <r>
    <x v="439"/>
    <x v="337"/>
    <x v="2"/>
    <x v="0"/>
    <x v="0"/>
    <n v="5.2496993459378896"/>
    <b v="0"/>
    <s v="MD_13"/>
    <x v="1"/>
  </r>
  <r>
    <x v="440"/>
    <x v="338"/>
    <x v="0"/>
    <x v="1"/>
    <x v="0"/>
    <n v="6.7494032819655638"/>
    <b v="0"/>
    <s v="MD_04"/>
    <x v="1"/>
  </r>
  <r>
    <x v="441"/>
    <x v="26"/>
    <x v="2"/>
    <x v="0"/>
    <x v="1"/>
    <n v="22.49038130946898"/>
    <b v="0"/>
    <s v="MD_04"/>
    <x v="0"/>
  </r>
  <r>
    <x v="442"/>
    <x v="299"/>
    <x v="0"/>
    <x v="2"/>
    <x v="0"/>
    <n v="8.746680780931765"/>
    <b v="0"/>
    <s v="MD_17"/>
    <x v="1"/>
  </r>
  <r>
    <x v="443"/>
    <x v="152"/>
    <x v="3"/>
    <x v="1"/>
    <x v="1"/>
    <n v="32.079229137417137"/>
    <b v="0"/>
    <s v="MD_20"/>
    <x v="0"/>
  </r>
  <r>
    <x v="444"/>
    <x v="15"/>
    <x v="0"/>
    <x v="3"/>
    <x v="1"/>
    <n v="2.3311706010502862"/>
    <b v="0"/>
    <s v="MD_11"/>
    <x v="1"/>
  </r>
  <r>
    <x v="445"/>
    <x v="339"/>
    <x v="3"/>
    <x v="3"/>
    <x v="1"/>
    <n v="4.7441623096261143"/>
    <b v="0"/>
    <s v="MD_12"/>
    <x v="2"/>
  </r>
  <r>
    <x v="446"/>
    <x v="340"/>
    <x v="0"/>
    <x v="4"/>
    <x v="0"/>
    <n v="5.8333474373514003"/>
    <b v="0"/>
    <s v="MD_01"/>
    <x v="2"/>
  </r>
  <r>
    <x v="447"/>
    <x v="341"/>
    <x v="3"/>
    <x v="1"/>
    <x v="1"/>
    <n v="34.080618928205588"/>
    <b v="0"/>
    <s v="MD_13"/>
    <x v="0"/>
  </r>
  <r>
    <x v="448"/>
    <x v="50"/>
    <x v="2"/>
    <x v="0"/>
    <x v="0"/>
    <n v="7.6821505781737187"/>
    <b v="0"/>
    <s v="MD_10"/>
    <x v="1"/>
  </r>
  <r>
    <x v="449"/>
    <x v="195"/>
    <x v="1"/>
    <x v="0"/>
    <x v="0"/>
    <n v="5.6770589334143144"/>
    <b v="0"/>
    <s v="MD_09"/>
    <x v="1"/>
  </r>
  <r>
    <x v="450"/>
    <x v="223"/>
    <x v="2"/>
    <x v="4"/>
    <x v="1"/>
    <n v="32.998755796741364"/>
    <b v="1"/>
    <s v="MD_16"/>
    <x v="0"/>
  </r>
  <r>
    <x v="451"/>
    <x v="342"/>
    <x v="0"/>
    <x v="1"/>
    <x v="0"/>
    <n v="23.792039247174152"/>
    <b v="0"/>
    <s v="MD_08"/>
    <x v="0"/>
  </r>
  <r>
    <x v="452"/>
    <x v="303"/>
    <x v="0"/>
    <x v="0"/>
    <x v="0"/>
    <n v="3.1181785745739696"/>
    <b v="0"/>
    <s v="MD_20"/>
    <x v="1"/>
  </r>
  <r>
    <x v="453"/>
    <x v="343"/>
    <x v="0"/>
    <x v="4"/>
    <x v="1"/>
    <n v="6.4195780379475371"/>
    <b v="0"/>
    <s v="MD_20"/>
    <x v="1"/>
  </r>
  <r>
    <x v="454"/>
    <x v="344"/>
    <x v="3"/>
    <x v="3"/>
    <x v="0"/>
    <n v="5.199401819356134"/>
    <b v="0"/>
    <s v="MD_04"/>
    <x v="1"/>
  </r>
  <r>
    <x v="455"/>
    <x v="345"/>
    <x v="0"/>
    <x v="2"/>
    <x v="0"/>
    <n v="9.3352268471706701"/>
    <b v="0"/>
    <s v="MD_09"/>
    <x v="1"/>
  </r>
  <r>
    <x v="456"/>
    <x v="91"/>
    <x v="0"/>
    <x v="3"/>
    <x v="0"/>
    <n v="6.8670018670345536"/>
    <b v="0"/>
    <s v="MD_12"/>
    <x v="1"/>
  </r>
  <r>
    <x v="457"/>
    <x v="264"/>
    <x v="0"/>
    <x v="2"/>
    <x v="0"/>
    <n v="20.252918751656246"/>
    <b v="0"/>
    <s v="MD_17"/>
    <x v="0"/>
  </r>
  <r>
    <x v="458"/>
    <x v="49"/>
    <x v="2"/>
    <x v="0"/>
    <x v="0"/>
    <n v="13.691449072221731"/>
    <b v="0"/>
    <s v="MD_02"/>
    <x v="0"/>
  </r>
  <r>
    <x v="459"/>
    <x v="32"/>
    <x v="2"/>
    <x v="0"/>
    <x v="0"/>
    <n v="6.1306101577531757"/>
    <b v="0"/>
    <s v="MD_08"/>
    <x v="1"/>
  </r>
  <r>
    <x v="460"/>
    <x v="346"/>
    <x v="2"/>
    <x v="1"/>
    <x v="0"/>
    <n v="7.4980304249401026"/>
    <b v="0"/>
    <s v="MD_19"/>
    <x v="1"/>
  </r>
  <r>
    <x v="461"/>
    <x v="347"/>
    <x v="0"/>
    <x v="3"/>
    <x v="1"/>
    <n v="7.4387858706604666"/>
    <b v="0"/>
    <s v="MD_19"/>
    <x v="1"/>
  </r>
  <r>
    <x v="462"/>
    <x v="321"/>
    <x v="2"/>
    <x v="4"/>
    <x v="0"/>
    <n v="5.878121812787084"/>
    <b v="0"/>
    <s v="MD_05"/>
    <x v="1"/>
  </r>
  <r>
    <x v="463"/>
    <x v="18"/>
    <x v="3"/>
    <x v="3"/>
    <x v="1"/>
    <n v="8.9869459485569099"/>
    <b v="0"/>
    <s v="MD_02"/>
    <x v="0"/>
  </r>
  <r>
    <x v="464"/>
    <x v="293"/>
    <x v="2"/>
    <x v="4"/>
    <x v="0"/>
    <n v="6.4764671019009077"/>
    <b v="0"/>
    <s v="MD_07"/>
    <x v="1"/>
  </r>
  <r>
    <x v="465"/>
    <x v="70"/>
    <x v="1"/>
    <x v="4"/>
    <x v="1"/>
    <n v="16.885400102180402"/>
    <b v="0"/>
    <s v="MD_16"/>
    <x v="0"/>
  </r>
  <r>
    <x v="466"/>
    <x v="348"/>
    <x v="2"/>
    <x v="1"/>
    <x v="0"/>
    <n v="5.2910305149914496"/>
    <b v="0"/>
    <s v="MD_12"/>
    <x v="2"/>
  </r>
  <r>
    <x v="467"/>
    <x v="228"/>
    <x v="0"/>
    <x v="4"/>
    <x v="0"/>
    <n v="1.8907944205423401"/>
    <b v="0"/>
    <s v="MD_16"/>
    <x v="1"/>
  </r>
  <r>
    <x v="468"/>
    <x v="349"/>
    <x v="3"/>
    <x v="3"/>
    <x v="0"/>
    <n v="4.7216730839976044"/>
    <b v="0"/>
    <s v="MD_11"/>
    <x v="1"/>
  </r>
  <r>
    <x v="469"/>
    <x v="350"/>
    <x v="2"/>
    <x v="3"/>
    <x v="0"/>
    <n v="5.8830698388582876"/>
    <b v="0"/>
    <s v="MD_05"/>
    <x v="2"/>
  </r>
  <r>
    <x v="470"/>
    <x v="351"/>
    <x v="0"/>
    <x v="3"/>
    <x v="0"/>
    <n v="18.052684764328745"/>
    <b v="0"/>
    <s v="MD_14"/>
    <x v="0"/>
  </r>
  <r>
    <x v="471"/>
    <x v="87"/>
    <x v="2"/>
    <x v="2"/>
    <x v="0"/>
    <n v="8.9403393770093196"/>
    <b v="0"/>
    <s v="MD_14"/>
    <x v="1"/>
  </r>
  <r>
    <x v="472"/>
    <x v="107"/>
    <x v="1"/>
    <x v="0"/>
    <x v="1"/>
    <n v="17.736043884771853"/>
    <b v="0"/>
    <s v="MD_13"/>
    <x v="0"/>
  </r>
  <r>
    <x v="473"/>
    <x v="81"/>
    <x v="0"/>
    <x v="0"/>
    <x v="0"/>
    <n v="6.7171307825358078"/>
    <b v="0"/>
    <s v="MD_07"/>
    <x v="1"/>
  </r>
  <r>
    <x v="474"/>
    <x v="352"/>
    <x v="2"/>
    <x v="0"/>
    <x v="0"/>
    <n v="21.214401318876963"/>
    <b v="0"/>
    <s v="MD_07"/>
    <x v="0"/>
  </r>
  <r>
    <x v="475"/>
    <x v="254"/>
    <x v="2"/>
    <x v="2"/>
    <x v="0"/>
    <n v="3.9080912776178574"/>
    <b v="0"/>
    <s v="MD_10"/>
    <x v="1"/>
  </r>
  <r>
    <x v="476"/>
    <x v="154"/>
    <x v="1"/>
    <x v="0"/>
    <x v="0"/>
    <n v="8.40939433193385"/>
    <b v="0"/>
    <s v="MD_15"/>
    <x v="1"/>
  </r>
  <r>
    <x v="477"/>
    <x v="351"/>
    <x v="2"/>
    <x v="2"/>
    <x v="0"/>
    <n v="4.9267402508283009"/>
    <b v="0"/>
    <s v="MD_19"/>
    <x v="1"/>
  </r>
  <r>
    <x v="478"/>
    <x v="81"/>
    <x v="2"/>
    <x v="0"/>
    <x v="0"/>
    <n v="23.971566827251007"/>
    <b v="0"/>
    <s v="MD_02"/>
    <x v="0"/>
  </r>
  <r>
    <x v="479"/>
    <x v="308"/>
    <x v="2"/>
    <x v="3"/>
    <x v="0"/>
    <n v="1.8251863701728244"/>
    <b v="0"/>
    <s v="MD_01"/>
    <x v="1"/>
  </r>
  <r>
    <x v="480"/>
    <x v="353"/>
    <x v="1"/>
    <x v="1"/>
    <x v="0"/>
    <n v="3.8614253802030922"/>
    <b v="0"/>
    <s v="MD_11"/>
    <x v="2"/>
  </r>
  <r>
    <x v="481"/>
    <x v="354"/>
    <x v="3"/>
    <x v="3"/>
    <x v="0"/>
    <n v="29.093080935695784"/>
    <b v="0"/>
    <s v="MD_03"/>
    <x v="0"/>
  </r>
  <r>
    <x v="482"/>
    <x v="253"/>
    <x v="1"/>
    <x v="1"/>
    <x v="0"/>
    <n v="7.7541312191563776"/>
    <b v="0"/>
    <s v="MD_14"/>
    <x v="1"/>
  </r>
  <r>
    <x v="483"/>
    <x v="169"/>
    <x v="1"/>
    <x v="4"/>
    <x v="0"/>
    <n v="21.72687305209665"/>
    <b v="0"/>
    <s v="MD_12"/>
    <x v="0"/>
  </r>
  <r>
    <x v="484"/>
    <x v="259"/>
    <x v="0"/>
    <x v="3"/>
    <x v="0"/>
    <n v="5.0548964729502863"/>
    <b v="0"/>
    <s v="MD_09"/>
    <x v="1"/>
  </r>
  <r>
    <x v="485"/>
    <x v="355"/>
    <x v="3"/>
    <x v="0"/>
    <x v="0"/>
    <n v="6.4011429064224128"/>
    <b v="0"/>
    <s v="MD_12"/>
    <x v="1"/>
  </r>
  <r>
    <x v="486"/>
    <x v="356"/>
    <x v="1"/>
    <x v="0"/>
    <x v="0"/>
    <n v="8.3589771982329868"/>
    <b v="0"/>
    <s v="MD_06"/>
    <x v="1"/>
  </r>
  <r>
    <x v="487"/>
    <x v="217"/>
    <x v="3"/>
    <x v="3"/>
    <x v="0"/>
    <n v="6.6261434073469871"/>
    <b v="0"/>
    <s v="MD_03"/>
    <x v="1"/>
  </r>
  <r>
    <x v="488"/>
    <x v="357"/>
    <x v="3"/>
    <x v="3"/>
    <x v="1"/>
    <n v="18.256789038680502"/>
    <b v="0"/>
    <s v="MD_05"/>
    <x v="0"/>
  </r>
  <r>
    <x v="489"/>
    <x v="358"/>
    <x v="3"/>
    <x v="0"/>
    <x v="0"/>
    <n v="9.1279971368956137"/>
    <b v="0"/>
    <s v="MD_16"/>
    <x v="1"/>
  </r>
  <r>
    <x v="490"/>
    <x v="359"/>
    <x v="2"/>
    <x v="1"/>
    <x v="0"/>
    <n v="8.1882831222799499"/>
    <b v="0"/>
    <s v="MD_01"/>
    <x v="1"/>
  </r>
  <r>
    <x v="491"/>
    <x v="360"/>
    <x v="2"/>
    <x v="2"/>
    <x v="0"/>
    <n v="26.632533775945355"/>
    <b v="0"/>
    <s v="MD_19"/>
    <x v="0"/>
  </r>
  <r>
    <x v="492"/>
    <x v="361"/>
    <x v="2"/>
    <x v="4"/>
    <x v="1"/>
    <n v="9.200336627108987"/>
    <b v="0"/>
    <s v="MD_17"/>
    <x v="0"/>
  </r>
  <r>
    <x v="493"/>
    <x v="20"/>
    <x v="1"/>
    <x v="4"/>
    <x v="1"/>
    <n v="34.926844660923031"/>
    <b v="0"/>
    <s v="MD_20"/>
    <x v="0"/>
  </r>
  <r>
    <x v="494"/>
    <x v="197"/>
    <x v="2"/>
    <x v="2"/>
    <x v="0"/>
    <n v="2.9180271400999098"/>
    <b v="0"/>
    <s v="MD_17"/>
    <x v="1"/>
  </r>
  <r>
    <x v="495"/>
    <x v="362"/>
    <x v="1"/>
    <x v="4"/>
    <x v="1"/>
    <n v="20.741919545747947"/>
    <b v="0"/>
    <s v="MD_13"/>
    <x v="0"/>
  </r>
  <r>
    <x v="496"/>
    <x v="55"/>
    <x v="3"/>
    <x v="0"/>
    <x v="0"/>
    <n v="15.214221546915953"/>
    <b v="0"/>
    <s v="MD_17"/>
    <x v="0"/>
  </r>
  <r>
    <x v="497"/>
    <x v="43"/>
    <x v="1"/>
    <x v="0"/>
    <x v="1"/>
    <n v="33.590261212604787"/>
    <b v="0"/>
    <s v="MD_11"/>
    <x v="0"/>
  </r>
  <r>
    <x v="498"/>
    <x v="179"/>
    <x v="3"/>
    <x v="4"/>
    <x v="1"/>
    <n v="26.625976317202014"/>
    <b v="0"/>
    <s v="MD_20"/>
    <x v="0"/>
  </r>
  <r>
    <x v="499"/>
    <x v="294"/>
    <x v="1"/>
    <x v="3"/>
    <x v="1"/>
    <n v="7.2894527227086989"/>
    <b v="0"/>
    <s v="MD_10"/>
    <x v="1"/>
  </r>
  <r>
    <x v="500"/>
    <x v="41"/>
    <x v="0"/>
    <x v="2"/>
    <x v="0"/>
    <n v="16.031551105137481"/>
    <b v="0"/>
    <s v="MD_06"/>
    <x v="0"/>
  </r>
  <r>
    <x v="501"/>
    <x v="259"/>
    <x v="3"/>
    <x v="3"/>
    <x v="1"/>
    <n v="7.1481253584782793"/>
    <b v="0"/>
    <s v="MD_06"/>
    <x v="1"/>
  </r>
  <r>
    <x v="502"/>
    <x v="363"/>
    <x v="2"/>
    <x v="3"/>
    <x v="1"/>
    <n v="13.338689455294194"/>
    <b v="0"/>
    <s v="MD_01"/>
    <x v="0"/>
  </r>
  <r>
    <x v="503"/>
    <x v="332"/>
    <x v="1"/>
    <x v="1"/>
    <x v="0"/>
    <n v="7.0638096400303221"/>
    <b v="0"/>
    <s v="MD_14"/>
    <x v="1"/>
  </r>
  <r>
    <x v="504"/>
    <x v="245"/>
    <x v="0"/>
    <x v="0"/>
    <x v="0"/>
    <n v="4.7271286235532264"/>
    <b v="0"/>
    <s v="MD_13"/>
    <x v="1"/>
  </r>
  <r>
    <x v="505"/>
    <x v="364"/>
    <x v="2"/>
    <x v="0"/>
    <x v="0"/>
    <n v="5.866123026960957"/>
    <b v="0"/>
    <s v="MD_19"/>
    <x v="1"/>
  </r>
  <r>
    <x v="506"/>
    <x v="241"/>
    <x v="2"/>
    <x v="3"/>
    <x v="0"/>
    <n v="5.5699720863919842"/>
    <b v="0"/>
    <s v="MD_17"/>
    <x v="2"/>
  </r>
  <r>
    <x v="507"/>
    <x v="39"/>
    <x v="1"/>
    <x v="0"/>
    <x v="0"/>
    <n v="20.306426049649339"/>
    <b v="0"/>
    <s v="MD_02"/>
    <x v="0"/>
  </r>
  <r>
    <x v="508"/>
    <x v="127"/>
    <x v="2"/>
    <x v="1"/>
    <x v="1"/>
    <n v="15.121754165681754"/>
    <b v="0"/>
    <s v="MD_02"/>
    <x v="0"/>
  </r>
  <r>
    <x v="509"/>
    <x v="365"/>
    <x v="1"/>
    <x v="1"/>
    <x v="0"/>
    <n v="14.231261338509976"/>
    <b v="0"/>
    <s v="MD_14"/>
    <x v="0"/>
  </r>
  <r>
    <x v="510"/>
    <x v="289"/>
    <x v="3"/>
    <x v="4"/>
    <x v="0"/>
    <n v="7.6306551718804965"/>
    <b v="0"/>
    <s v="MD_18"/>
    <x v="1"/>
  </r>
  <r>
    <x v="511"/>
    <x v="62"/>
    <x v="3"/>
    <x v="0"/>
    <x v="0"/>
    <n v="24.094351295047435"/>
    <b v="0"/>
    <s v="MD_20"/>
    <x v="0"/>
  </r>
  <r>
    <x v="512"/>
    <x v="366"/>
    <x v="1"/>
    <x v="3"/>
    <x v="1"/>
    <n v="19.778625590335842"/>
    <b v="0"/>
    <s v="MD_11"/>
    <x v="0"/>
  </r>
  <r>
    <x v="513"/>
    <x v="196"/>
    <x v="1"/>
    <x v="0"/>
    <x v="1"/>
    <n v="2.995417633969367"/>
    <b v="0"/>
    <s v="MD_19"/>
    <x v="2"/>
  </r>
  <r>
    <x v="514"/>
    <x v="367"/>
    <x v="2"/>
    <x v="0"/>
    <x v="0"/>
    <n v="4.9594251689293456"/>
    <b v="0"/>
    <s v="MD_10"/>
    <x v="1"/>
  </r>
  <r>
    <x v="515"/>
    <x v="368"/>
    <x v="1"/>
    <x v="2"/>
    <x v="0"/>
    <n v="29.243497162140184"/>
    <b v="0"/>
    <s v="MD_08"/>
    <x v="0"/>
  </r>
  <r>
    <x v="516"/>
    <x v="369"/>
    <x v="0"/>
    <x v="0"/>
    <x v="0"/>
    <n v="6.2624480390972082"/>
    <b v="0"/>
    <s v="MD_12"/>
    <x v="1"/>
  </r>
  <r>
    <x v="517"/>
    <x v="370"/>
    <x v="3"/>
    <x v="0"/>
    <x v="1"/>
    <n v="26.833759320965516"/>
    <b v="0"/>
    <s v="MD_19"/>
    <x v="0"/>
  </r>
  <r>
    <x v="518"/>
    <x v="242"/>
    <x v="2"/>
    <x v="1"/>
    <x v="1"/>
    <n v="32.795132180460755"/>
    <b v="0"/>
    <s v="MD_14"/>
    <x v="0"/>
  </r>
  <r>
    <x v="519"/>
    <x v="371"/>
    <x v="0"/>
    <x v="3"/>
    <x v="1"/>
    <n v="6.7915769818604668"/>
    <b v="0"/>
    <s v="MD_13"/>
    <x v="1"/>
  </r>
  <r>
    <x v="520"/>
    <x v="372"/>
    <x v="0"/>
    <x v="4"/>
    <x v="0"/>
    <n v="3.3414348502893887"/>
    <b v="0"/>
    <s v="MD_08"/>
    <x v="1"/>
  </r>
  <r>
    <x v="521"/>
    <x v="65"/>
    <x v="0"/>
    <x v="3"/>
    <x v="1"/>
    <n v="22.158194130759959"/>
    <b v="0"/>
    <s v="MD_10"/>
    <x v="0"/>
  </r>
  <r>
    <x v="522"/>
    <x v="250"/>
    <x v="0"/>
    <x v="3"/>
    <x v="0"/>
    <n v="6.3376346640619721"/>
    <b v="0"/>
    <s v="MD_11"/>
    <x v="1"/>
  </r>
  <r>
    <x v="523"/>
    <x v="51"/>
    <x v="2"/>
    <x v="2"/>
    <x v="0"/>
    <n v="2.5116383858366951"/>
    <b v="0"/>
    <s v="MD_14"/>
    <x v="1"/>
  </r>
  <r>
    <x v="524"/>
    <x v="246"/>
    <x v="0"/>
    <x v="3"/>
    <x v="0"/>
    <n v="28.339212189789041"/>
    <b v="0"/>
    <s v="MD_17"/>
    <x v="0"/>
  </r>
  <r>
    <x v="525"/>
    <x v="373"/>
    <x v="0"/>
    <x v="4"/>
    <x v="0"/>
    <n v="9.6070101468128293"/>
    <b v="0"/>
    <s v="MD_05"/>
    <x v="1"/>
  </r>
  <r>
    <x v="526"/>
    <x v="271"/>
    <x v="1"/>
    <x v="0"/>
    <x v="1"/>
    <n v="28.281641787737207"/>
    <b v="0"/>
    <s v="MD_02"/>
    <x v="0"/>
  </r>
  <r>
    <x v="527"/>
    <x v="374"/>
    <x v="3"/>
    <x v="1"/>
    <x v="0"/>
    <n v="4.9250714142293148"/>
    <b v="0"/>
    <s v="MD_02"/>
    <x v="1"/>
  </r>
  <r>
    <x v="528"/>
    <x v="375"/>
    <x v="2"/>
    <x v="2"/>
    <x v="0"/>
    <n v="3.2470959719504071"/>
    <b v="0"/>
    <s v="MD_09"/>
    <x v="1"/>
  </r>
  <r>
    <x v="529"/>
    <x v="159"/>
    <x v="1"/>
    <x v="4"/>
    <x v="0"/>
    <n v="5.2762963644693626"/>
    <b v="0"/>
    <s v="MD_03"/>
    <x v="1"/>
  </r>
  <r>
    <x v="530"/>
    <x v="370"/>
    <x v="0"/>
    <x v="1"/>
    <x v="1"/>
    <n v="24.974890558512531"/>
    <b v="0"/>
    <s v="MD_08"/>
    <x v="0"/>
  </r>
  <r>
    <x v="531"/>
    <x v="368"/>
    <x v="3"/>
    <x v="4"/>
    <x v="0"/>
    <n v="7.832398645681951"/>
    <b v="0"/>
    <s v="MD_04"/>
    <x v="1"/>
  </r>
  <r>
    <x v="532"/>
    <x v="326"/>
    <x v="3"/>
    <x v="1"/>
    <x v="0"/>
    <n v="20.189955499594099"/>
    <b v="0"/>
    <s v="MD_11"/>
    <x v="0"/>
  </r>
  <r>
    <x v="533"/>
    <x v="150"/>
    <x v="0"/>
    <x v="1"/>
    <x v="1"/>
    <n v="2.0829329421925644"/>
    <b v="0"/>
    <s v="MD_02"/>
    <x v="1"/>
  </r>
  <r>
    <x v="534"/>
    <x v="368"/>
    <x v="3"/>
    <x v="0"/>
    <x v="0"/>
    <n v="32.219260881476643"/>
    <b v="0"/>
    <s v="MD_15"/>
    <x v="0"/>
  </r>
  <r>
    <x v="535"/>
    <x v="42"/>
    <x v="3"/>
    <x v="3"/>
    <x v="0"/>
    <n v="5.2121932388431826"/>
    <b v="0"/>
    <s v="MD_14"/>
    <x v="1"/>
  </r>
  <r>
    <x v="536"/>
    <x v="348"/>
    <x v="2"/>
    <x v="4"/>
    <x v="1"/>
    <n v="3.7974272601088019"/>
    <b v="0"/>
    <s v="MD_03"/>
    <x v="1"/>
  </r>
  <r>
    <x v="537"/>
    <x v="376"/>
    <x v="2"/>
    <x v="2"/>
    <x v="1"/>
    <n v="37.685978386170746"/>
    <b v="0"/>
    <s v="MD_13"/>
    <x v="0"/>
  </r>
  <r>
    <x v="538"/>
    <x v="70"/>
    <x v="2"/>
    <x v="3"/>
    <x v="1"/>
    <n v="21.172871797491027"/>
    <b v="0"/>
    <s v="MD_03"/>
    <x v="0"/>
  </r>
  <r>
    <x v="539"/>
    <x v="283"/>
    <x v="3"/>
    <x v="2"/>
    <x v="0"/>
    <n v="9.1810200664840433"/>
    <b v="0"/>
    <s v="MD_05"/>
    <x v="1"/>
  </r>
  <r>
    <x v="540"/>
    <x v="377"/>
    <x v="2"/>
    <x v="0"/>
    <x v="1"/>
    <n v="28.175483327647207"/>
    <b v="0"/>
    <s v="MD_20"/>
    <x v="0"/>
  </r>
  <r>
    <x v="541"/>
    <x v="254"/>
    <x v="2"/>
    <x v="1"/>
    <x v="0"/>
    <n v="6.5961554652264978"/>
    <b v="0"/>
    <s v="MD_06"/>
    <x v="2"/>
  </r>
  <r>
    <x v="542"/>
    <x v="341"/>
    <x v="1"/>
    <x v="4"/>
    <x v="1"/>
    <n v="21.226983348638889"/>
    <b v="0"/>
    <s v="MD_02"/>
    <x v="0"/>
  </r>
  <r>
    <x v="543"/>
    <x v="43"/>
    <x v="1"/>
    <x v="1"/>
    <x v="1"/>
    <n v="31.055982191412614"/>
    <b v="0"/>
    <s v="MD_01"/>
    <x v="0"/>
  </r>
  <r>
    <x v="544"/>
    <x v="378"/>
    <x v="0"/>
    <x v="0"/>
    <x v="1"/>
    <n v="21.86415607473581"/>
    <b v="0"/>
    <s v="MD_09"/>
    <x v="0"/>
  </r>
  <r>
    <x v="545"/>
    <x v="215"/>
    <x v="3"/>
    <x v="3"/>
    <x v="0"/>
    <n v="4.8463247050451654"/>
    <b v="0"/>
    <s v="MD_04"/>
    <x v="1"/>
  </r>
  <r>
    <x v="546"/>
    <x v="127"/>
    <x v="3"/>
    <x v="3"/>
    <x v="1"/>
    <n v="14.316545288195991"/>
    <b v="0"/>
    <s v="MD_20"/>
    <x v="0"/>
  </r>
  <r>
    <x v="547"/>
    <x v="379"/>
    <x v="3"/>
    <x v="0"/>
    <x v="1"/>
    <n v="22.798599669675244"/>
    <b v="0"/>
    <s v="MD_16"/>
    <x v="0"/>
  </r>
  <r>
    <x v="548"/>
    <x v="380"/>
    <x v="1"/>
    <x v="4"/>
    <x v="1"/>
    <n v="7.3619394699521123"/>
    <b v="0"/>
    <s v="MD_08"/>
    <x v="1"/>
  </r>
  <r>
    <x v="549"/>
    <x v="381"/>
    <x v="0"/>
    <x v="4"/>
    <x v="0"/>
    <n v="6.4502807787613934"/>
    <b v="0"/>
    <s v="MD_12"/>
    <x v="2"/>
  </r>
  <r>
    <x v="550"/>
    <x v="382"/>
    <x v="3"/>
    <x v="4"/>
    <x v="0"/>
    <n v="7.7518093990812655"/>
    <b v="0"/>
    <s v="MD_08"/>
    <x v="1"/>
  </r>
  <r>
    <x v="551"/>
    <x v="336"/>
    <x v="0"/>
    <x v="4"/>
    <x v="0"/>
    <n v="5.2663102853831356"/>
    <b v="0"/>
    <s v="MD_13"/>
    <x v="1"/>
  </r>
  <r>
    <x v="552"/>
    <x v="383"/>
    <x v="2"/>
    <x v="2"/>
    <x v="1"/>
    <n v="7.8445898449774276"/>
    <b v="0"/>
    <s v="MD_09"/>
    <x v="1"/>
  </r>
  <r>
    <x v="553"/>
    <x v="384"/>
    <x v="3"/>
    <x v="2"/>
    <x v="1"/>
    <n v="6.428244865025694"/>
    <b v="0"/>
    <s v="MD_14"/>
    <x v="1"/>
  </r>
  <r>
    <x v="554"/>
    <x v="385"/>
    <x v="2"/>
    <x v="4"/>
    <x v="0"/>
    <n v="1.7363201435409588"/>
    <b v="0"/>
    <s v="MD_20"/>
    <x v="1"/>
  </r>
  <r>
    <x v="555"/>
    <x v="386"/>
    <x v="3"/>
    <x v="4"/>
    <x v="0"/>
    <n v="6.9567859057852957"/>
    <b v="0"/>
    <s v="MD_08"/>
    <x v="1"/>
  </r>
  <r>
    <x v="556"/>
    <x v="295"/>
    <x v="3"/>
    <x v="4"/>
    <x v="1"/>
    <n v="38.292586139221562"/>
    <b v="0"/>
    <s v="MD_15"/>
    <x v="0"/>
  </r>
  <r>
    <x v="557"/>
    <x v="298"/>
    <x v="3"/>
    <x v="4"/>
    <x v="1"/>
    <n v="28.318606362740276"/>
    <b v="0"/>
    <s v="MD_12"/>
    <x v="0"/>
  </r>
  <r>
    <x v="558"/>
    <x v="387"/>
    <x v="3"/>
    <x v="1"/>
    <x v="1"/>
    <n v="20.572600374372598"/>
    <b v="0"/>
    <s v="MD_14"/>
    <x v="0"/>
  </r>
  <r>
    <x v="559"/>
    <x v="388"/>
    <x v="3"/>
    <x v="2"/>
    <x v="0"/>
    <n v="4.2825020743834656"/>
    <b v="0"/>
    <s v="MD_05"/>
    <x v="1"/>
  </r>
  <r>
    <x v="560"/>
    <x v="64"/>
    <x v="1"/>
    <x v="0"/>
    <x v="0"/>
    <n v="6.6642896985316735"/>
    <b v="0"/>
    <s v="MD_19"/>
    <x v="1"/>
  </r>
  <r>
    <x v="561"/>
    <x v="389"/>
    <x v="3"/>
    <x v="1"/>
    <x v="0"/>
    <n v="22.296520744853968"/>
    <b v="0"/>
    <s v="MD_20"/>
    <x v="0"/>
  </r>
  <r>
    <x v="562"/>
    <x v="132"/>
    <x v="0"/>
    <x v="4"/>
    <x v="0"/>
    <n v="13.758906707286304"/>
    <b v="0"/>
    <s v="MD_16"/>
    <x v="0"/>
  </r>
  <r>
    <x v="563"/>
    <x v="173"/>
    <x v="0"/>
    <x v="0"/>
    <x v="1"/>
    <n v="10.397595007733083"/>
    <b v="0"/>
    <s v="MD_16"/>
    <x v="1"/>
  </r>
  <r>
    <x v="564"/>
    <x v="390"/>
    <x v="2"/>
    <x v="3"/>
    <x v="1"/>
    <n v="29.444665440741996"/>
    <b v="0"/>
    <s v="MD_06"/>
    <x v="0"/>
  </r>
  <r>
    <x v="565"/>
    <x v="391"/>
    <x v="0"/>
    <x v="2"/>
    <x v="0"/>
    <n v="6.7473772214450811"/>
    <b v="0"/>
    <s v="MD_08"/>
    <x v="1"/>
  </r>
  <r>
    <x v="566"/>
    <x v="392"/>
    <x v="2"/>
    <x v="0"/>
    <x v="0"/>
    <n v="5.0631927725238395"/>
    <b v="0"/>
    <s v="MD_19"/>
    <x v="1"/>
  </r>
  <r>
    <x v="567"/>
    <x v="314"/>
    <x v="3"/>
    <x v="2"/>
    <x v="1"/>
    <n v="31.033804662239309"/>
    <b v="1"/>
    <s v="MD_19"/>
    <x v="0"/>
  </r>
  <r>
    <x v="568"/>
    <x v="393"/>
    <x v="2"/>
    <x v="2"/>
    <x v="0"/>
    <n v="28.223562324341962"/>
    <b v="0"/>
    <s v="MD_17"/>
    <x v="0"/>
  </r>
  <r>
    <x v="569"/>
    <x v="394"/>
    <x v="0"/>
    <x v="3"/>
    <x v="0"/>
    <n v="7.6163384184302814"/>
    <b v="0"/>
    <s v="MD_04"/>
    <x v="1"/>
  </r>
  <r>
    <x v="570"/>
    <x v="395"/>
    <x v="1"/>
    <x v="1"/>
    <x v="0"/>
    <n v="7.5155986576097682"/>
    <b v="0"/>
    <s v="MD_17"/>
    <x v="1"/>
  </r>
  <r>
    <x v="571"/>
    <x v="396"/>
    <x v="1"/>
    <x v="0"/>
    <x v="0"/>
    <n v="9.8791708025249587"/>
    <b v="0"/>
    <s v="MD_03"/>
    <x v="1"/>
  </r>
  <r>
    <x v="572"/>
    <x v="397"/>
    <x v="3"/>
    <x v="3"/>
    <x v="0"/>
    <n v="5.9646327946443076"/>
    <b v="0"/>
    <s v="MD_11"/>
    <x v="1"/>
  </r>
  <r>
    <x v="573"/>
    <x v="398"/>
    <x v="2"/>
    <x v="3"/>
    <x v="0"/>
    <n v="28.670075785959583"/>
    <b v="0"/>
    <s v="MD_14"/>
    <x v="0"/>
  </r>
  <r>
    <x v="574"/>
    <x v="261"/>
    <x v="2"/>
    <x v="4"/>
    <x v="0"/>
    <n v="7.6928312541879693"/>
    <b v="0"/>
    <s v="MD_08"/>
    <x v="1"/>
  </r>
  <r>
    <x v="575"/>
    <x v="173"/>
    <x v="0"/>
    <x v="3"/>
    <x v="0"/>
    <n v="7.9046119691850114"/>
    <b v="0"/>
    <s v="MD_13"/>
    <x v="1"/>
  </r>
  <r>
    <x v="576"/>
    <x v="173"/>
    <x v="1"/>
    <x v="2"/>
    <x v="0"/>
    <n v="18.782294803425973"/>
    <b v="0"/>
    <s v="MD_06"/>
    <x v="0"/>
  </r>
  <r>
    <x v="577"/>
    <x v="60"/>
    <x v="3"/>
    <x v="2"/>
    <x v="0"/>
    <n v="6.5230058004234426"/>
    <b v="0"/>
    <s v="MD_07"/>
    <x v="1"/>
  </r>
  <r>
    <x v="578"/>
    <x v="399"/>
    <x v="0"/>
    <x v="0"/>
    <x v="1"/>
    <n v="17.943175619234456"/>
    <b v="0"/>
    <s v="MD_20"/>
    <x v="0"/>
  </r>
  <r>
    <x v="579"/>
    <x v="336"/>
    <x v="0"/>
    <x v="3"/>
    <x v="0"/>
    <n v="10.453471407432849"/>
    <b v="0"/>
    <s v="MD_01"/>
    <x v="0"/>
  </r>
  <r>
    <x v="580"/>
    <x v="353"/>
    <x v="3"/>
    <x v="2"/>
    <x v="0"/>
    <n v="3.665734087445947"/>
    <b v="0"/>
    <s v="MD_12"/>
    <x v="2"/>
  </r>
  <r>
    <x v="581"/>
    <x v="215"/>
    <x v="0"/>
    <x v="0"/>
    <x v="0"/>
    <n v="4.3256313512514222"/>
    <b v="0"/>
    <s v="MD_19"/>
    <x v="2"/>
  </r>
  <r>
    <x v="582"/>
    <x v="45"/>
    <x v="3"/>
    <x v="2"/>
    <x v="1"/>
    <n v="36.738622640256253"/>
    <b v="0"/>
    <s v="MD_16"/>
    <x v="0"/>
  </r>
  <r>
    <x v="583"/>
    <x v="2"/>
    <x v="1"/>
    <x v="4"/>
    <x v="0"/>
    <n v="7.5795807741692336"/>
    <b v="0"/>
    <s v="MD_11"/>
    <x v="1"/>
  </r>
  <r>
    <x v="584"/>
    <x v="400"/>
    <x v="2"/>
    <x v="4"/>
    <x v="0"/>
    <n v="7.1909396535668453"/>
    <b v="0"/>
    <s v="MD_17"/>
    <x v="2"/>
  </r>
  <r>
    <x v="585"/>
    <x v="401"/>
    <x v="2"/>
    <x v="4"/>
    <x v="0"/>
    <n v="3.2197311136374949"/>
    <b v="0"/>
    <s v="MD_10"/>
    <x v="1"/>
  </r>
  <r>
    <x v="586"/>
    <x v="402"/>
    <x v="1"/>
    <x v="2"/>
    <x v="0"/>
    <n v="6.9185742864287105"/>
    <b v="0"/>
    <s v="MD_16"/>
    <x v="1"/>
  </r>
  <r>
    <x v="587"/>
    <x v="403"/>
    <x v="2"/>
    <x v="0"/>
    <x v="1"/>
    <n v="29.536482162233114"/>
    <b v="0"/>
    <s v="MD_06"/>
    <x v="0"/>
  </r>
  <r>
    <x v="588"/>
    <x v="32"/>
    <x v="1"/>
    <x v="4"/>
    <x v="1"/>
    <n v="6.6980027843428198"/>
    <b v="0"/>
    <s v="MD_12"/>
    <x v="1"/>
  </r>
  <r>
    <x v="589"/>
    <x v="51"/>
    <x v="1"/>
    <x v="2"/>
    <x v="0"/>
    <n v="2.7751839235647893"/>
    <b v="0"/>
    <s v="MD_08"/>
    <x v="1"/>
  </r>
  <r>
    <x v="590"/>
    <x v="0"/>
    <x v="1"/>
    <x v="2"/>
    <x v="0"/>
    <n v="4.4543271184139455"/>
    <b v="0"/>
    <s v="MD_03"/>
    <x v="1"/>
  </r>
  <r>
    <x v="591"/>
    <x v="281"/>
    <x v="0"/>
    <x v="0"/>
    <x v="0"/>
    <n v="4.5299153974075406"/>
    <b v="0"/>
    <s v="MD_07"/>
    <x v="1"/>
  </r>
  <r>
    <x v="592"/>
    <x v="128"/>
    <x v="2"/>
    <x v="4"/>
    <x v="1"/>
    <n v="17.706905087435782"/>
    <b v="0"/>
    <s v="MD_17"/>
    <x v="0"/>
  </r>
  <r>
    <x v="593"/>
    <x v="404"/>
    <x v="2"/>
    <x v="4"/>
    <x v="1"/>
    <n v="5.9018110346834067"/>
    <b v="0"/>
    <s v="MD_13"/>
    <x v="1"/>
  </r>
  <r>
    <x v="594"/>
    <x v="193"/>
    <x v="0"/>
    <x v="1"/>
    <x v="1"/>
    <n v="25.588213279290059"/>
    <b v="0"/>
    <s v="MD_06"/>
    <x v="0"/>
  </r>
  <r>
    <x v="595"/>
    <x v="405"/>
    <x v="1"/>
    <x v="4"/>
    <x v="0"/>
    <n v="5.5137754335010571"/>
    <b v="0"/>
    <s v="MD_19"/>
    <x v="1"/>
  </r>
  <r>
    <x v="596"/>
    <x v="406"/>
    <x v="2"/>
    <x v="0"/>
    <x v="0"/>
    <n v="32.3496807869451"/>
    <b v="0"/>
    <s v="MD_08"/>
    <x v="0"/>
  </r>
  <r>
    <x v="597"/>
    <x v="114"/>
    <x v="1"/>
    <x v="1"/>
    <x v="1"/>
    <n v="26.51860947833659"/>
    <b v="0"/>
    <s v="MD_04"/>
    <x v="0"/>
  </r>
  <r>
    <x v="598"/>
    <x v="2"/>
    <x v="2"/>
    <x v="0"/>
    <x v="0"/>
    <n v="11.058829514862852"/>
    <b v="0"/>
    <s v="MD_13"/>
    <x v="0"/>
  </r>
  <r>
    <x v="599"/>
    <x v="407"/>
    <x v="3"/>
    <x v="3"/>
    <x v="1"/>
    <n v="32.86251475380547"/>
    <b v="0"/>
    <s v="MD_08"/>
    <x v="0"/>
  </r>
  <r>
    <x v="600"/>
    <x v="408"/>
    <x v="1"/>
    <x v="1"/>
    <x v="1"/>
    <n v="26.398433470672799"/>
    <b v="0"/>
    <s v="MD_12"/>
    <x v="0"/>
  </r>
  <r>
    <x v="601"/>
    <x v="172"/>
    <x v="3"/>
    <x v="0"/>
    <x v="0"/>
    <n v="26.24536925865937"/>
    <b v="0"/>
    <s v="MD_19"/>
    <x v="0"/>
  </r>
  <r>
    <x v="602"/>
    <x v="364"/>
    <x v="2"/>
    <x v="1"/>
    <x v="0"/>
    <n v="3.4634145889237833"/>
    <b v="0"/>
    <s v="MD_10"/>
    <x v="1"/>
  </r>
  <r>
    <x v="603"/>
    <x v="409"/>
    <x v="1"/>
    <x v="1"/>
    <x v="1"/>
    <n v="15.743081753590754"/>
    <b v="0"/>
    <s v="MD_04"/>
    <x v="0"/>
  </r>
  <r>
    <x v="604"/>
    <x v="227"/>
    <x v="2"/>
    <x v="0"/>
    <x v="1"/>
    <n v="21.491872637016009"/>
    <b v="0"/>
    <s v="MD_09"/>
    <x v="0"/>
  </r>
  <r>
    <x v="605"/>
    <x v="301"/>
    <x v="0"/>
    <x v="1"/>
    <x v="1"/>
    <n v="26.371083080672367"/>
    <b v="0"/>
    <s v="MD_16"/>
    <x v="0"/>
  </r>
  <r>
    <x v="606"/>
    <x v="410"/>
    <x v="1"/>
    <x v="3"/>
    <x v="0"/>
    <n v="9.9518510797801962"/>
    <b v="0"/>
    <s v="MD_18"/>
    <x v="1"/>
  </r>
  <r>
    <x v="607"/>
    <x v="411"/>
    <x v="2"/>
    <x v="2"/>
    <x v="0"/>
    <n v="5.435028133540543"/>
    <b v="0"/>
    <s v="MD_03"/>
    <x v="1"/>
  </r>
  <r>
    <x v="608"/>
    <x v="62"/>
    <x v="3"/>
    <x v="3"/>
    <x v="0"/>
    <n v="3.4979276156648207"/>
    <b v="0"/>
    <s v="MD_20"/>
    <x v="1"/>
  </r>
  <r>
    <x v="609"/>
    <x v="412"/>
    <x v="2"/>
    <x v="4"/>
    <x v="0"/>
    <n v="2.27612255636366"/>
    <b v="0"/>
    <s v="MD_07"/>
    <x v="1"/>
  </r>
  <r>
    <x v="610"/>
    <x v="43"/>
    <x v="3"/>
    <x v="2"/>
    <x v="1"/>
    <n v="29.085377737181112"/>
    <b v="0"/>
    <s v="MD_04"/>
    <x v="0"/>
  </r>
  <r>
    <x v="611"/>
    <x v="73"/>
    <x v="3"/>
    <x v="2"/>
    <x v="0"/>
    <n v="42.591687588963239"/>
    <b v="0"/>
    <s v="MD_15"/>
    <x v="0"/>
  </r>
  <r>
    <x v="612"/>
    <x v="384"/>
    <x v="3"/>
    <x v="0"/>
    <x v="0"/>
    <n v="3.2116471324460645"/>
    <b v="0"/>
    <s v="MD_05"/>
    <x v="2"/>
  </r>
  <r>
    <x v="613"/>
    <x v="413"/>
    <x v="2"/>
    <x v="4"/>
    <x v="0"/>
    <n v="5.049049958385722"/>
    <b v="0"/>
    <s v="MD_01"/>
    <x v="1"/>
  </r>
  <r>
    <x v="614"/>
    <x v="368"/>
    <x v="3"/>
    <x v="3"/>
    <x v="0"/>
    <n v="3.3393261618431072"/>
    <b v="0"/>
    <s v="MD_11"/>
    <x v="1"/>
  </r>
  <r>
    <x v="615"/>
    <x v="414"/>
    <x v="2"/>
    <x v="2"/>
    <x v="1"/>
    <n v="22.818015354731763"/>
    <b v="0"/>
    <s v="MD_18"/>
    <x v="0"/>
  </r>
  <r>
    <x v="616"/>
    <x v="415"/>
    <x v="1"/>
    <x v="2"/>
    <x v="0"/>
    <n v="5.7975303852088826"/>
    <b v="0"/>
    <s v="MD_03"/>
    <x v="1"/>
  </r>
  <r>
    <x v="617"/>
    <x v="416"/>
    <x v="1"/>
    <x v="2"/>
    <x v="1"/>
    <n v="20.047218774555944"/>
    <b v="0"/>
    <s v="MD_18"/>
    <x v="0"/>
  </r>
  <r>
    <x v="618"/>
    <x v="417"/>
    <x v="3"/>
    <x v="2"/>
    <x v="1"/>
    <n v="21.389001940993328"/>
    <b v="0"/>
    <s v="MD_20"/>
    <x v="0"/>
  </r>
  <r>
    <x v="619"/>
    <x v="197"/>
    <x v="3"/>
    <x v="1"/>
    <x v="0"/>
    <n v="7.9819755082046262"/>
    <b v="0"/>
    <s v="MD_20"/>
    <x v="1"/>
  </r>
  <r>
    <x v="620"/>
    <x v="418"/>
    <x v="0"/>
    <x v="4"/>
    <x v="1"/>
    <n v="15.983003486811933"/>
    <b v="1"/>
    <s v="MD_19"/>
    <x v="0"/>
  </r>
  <r>
    <x v="621"/>
    <x v="168"/>
    <x v="0"/>
    <x v="0"/>
    <x v="1"/>
    <n v="19.155893678505237"/>
    <b v="0"/>
    <s v="MD_06"/>
    <x v="0"/>
  </r>
  <r>
    <x v="622"/>
    <x v="142"/>
    <x v="1"/>
    <x v="1"/>
    <x v="0"/>
    <n v="6.240462265385915"/>
    <b v="0"/>
    <s v="MD_20"/>
    <x v="1"/>
  </r>
  <r>
    <x v="623"/>
    <x v="419"/>
    <x v="2"/>
    <x v="3"/>
    <x v="1"/>
    <n v="4.9472216599418042"/>
    <b v="0"/>
    <s v="MD_14"/>
    <x v="1"/>
  </r>
  <r>
    <x v="624"/>
    <x v="407"/>
    <x v="3"/>
    <x v="0"/>
    <x v="1"/>
    <n v="32.996942346577555"/>
    <b v="0"/>
    <s v="MD_02"/>
    <x v="0"/>
  </r>
  <r>
    <x v="625"/>
    <x v="420"/>
    <x v="3"/>
    <x v="2"/>
    <x v="1"/>
    <n v="27.17714421774906"/>
    <b v="0"/>
    <s v="MD_09"/>
    <x v="0"/>
  </r>
  <r>
    <x v="626"/>
    <x v="309"/>
    <x v="3"/>
    <x v="1"/>
    <x v="0"/>
    <n v="3.3932748234696306"/>
    <b v="0"/>
    <s v="MD_13"/>
    <x v="1"/>
  </r>
  <r>
    <x v="627"/>
    <x v="421"/>
    <x v="2"/>
    <x v="1"/>
    <x v="1"/>
    <n v="33.486921403300563"/>
    <b v="0"/>
    <s v="MD_12"/>
    <x v="0"/>
  </r>
  <r>
    <x v="628"/>
    <x v="55"/>
    <x v="1"/>
    <x v="4"/>
    <x v="1"/>
    <n v="5.5138533103981153"/>
    <b v="0"/>
    <s v="MD_13"/>
    <x v="1"/>
  </r>
  <r>
    <x v="629"/>
    <x v="422"/>
    <x v="1"/>
    <x v="1"/>
    <x v="0"/>
    <n v="7.0098154829724013"/>
    <b v="0"/>
    <s v="MD_14"/>
    <x v="1"/>
  </r>
  <r>
    <x v="630"/>
    <x v="423"/>
    <x v="0"/>
    <x v="3"/>
    <x v="0"/>
    <n v="3.6026570059232212"/>
    <b v="0"/>
    <s v="MD_11"/>
    <x v="1"/>
  </r>
  <r>
    <x v="631"/>
    <x v="424"/>
    <x v="3"/>
    <x v="0"/>
    <x v="0"/>
    <n v="7.5385455976268734"/>
    <b v="0"/>
    <s v="MD_02"/>
    <x v="1"/>
  </r>
  <r>
    <x v="632"/>
    <x v="425"/>
    <x v="3"/>
    <x v="1"/>
    <x v="0"/>
    <n v="6.3421166340380957"/>
    <b v="0"/>
    <s v="MD_07"/>
    <x v="1"/>
  </r>
  <r>
    <x v="633"/>
    <x v="426"/>
    <x v="1"/>
    <x v="2"/>
    <x v="1"/>
    <n v="16.215403545114139"/>
    <b v="0"/>
    <s v="MD_10"/>
    <x v="0"/>
  </r>
  <r>
    <x v="634"/>
    <x v="135"/>
    <x v="3"/>
    <x v="2"/>
    <x v="0"/>
    <n v="3.4182460968108597"/>
    <b v="0"/>
    <s v="MD_07"/>
    <x v="1"/>
  </r>
  <r>
    <x v="635"/>
    <x v="81"/>
    <x v="1"/>
    <x v="2"/>
    <x v="1"/>
    <n v="5.8305451515194333"/>
    <b v="0"/>
    <s v="MD_10"/>
    <x v="1"/>
  </r>
  <r>
    <x v="636"/>
    <x v="11"/>
    <x v="0"/>
    <x v="2"/>
    <x v="0"/>
    <n v="7.9803375055970651"/>
    <b v="0"/>
    <s v="MD_06"/>
    <x v="1"/>
  </r>
  <r>
    <x v="637"/>
    <x v="409"/>
    <x v="0"/>
    <x v="0"/>
    <x v="1"/>
    <n v="17.000864128539689"/>
    <b v="0"/>
    <s v="MD_09"/>
    <x v="0"/>
  </r>
  <r>
    <x v="638"/>
    <x v="427"/>
    <x v="0"/>
    <x v="2"/>
    <x v="0"/>
    <n v="5.8875362032470235"/>
    <b v="0"/>
    <s v="MD_04"/>
    <x v="1"/>
  </r>
  <r>
    <x v="639"/>
    <x v="368"/>
    <x v="3"/>
    <x v="2"/>
    <x v="0"/>
    <n v="7.0741447811463978"/>
    <b v="0"/>
    <s v="MD_06"/>
    <x v="2"/>
  </r>
  <r>
    <x v="640"/>
    <x v="327"/>
    <x v="0"/>
    <x v="3"/>
    <x v="0"/>
    <n v="20.311930973273203"/>
    <b v="0"/>
    <s v="MD_01"/>
    <x v="0"/>
  </r>
  <r>
    <x v="641"/>
    <x v="428"/>
    <x v="1"/>
    <x v="4"/>
    <x v="1"/>
    <n v="25.725999137689922"/>
    <b v="0"/>
    <s v="MD_13"/>
    <x v="0"/>
  </r>
  <r>
    <x v="642"/>
    <x v="68"/>
    <x v="3"/>
    <x v="0"/>
    <x v="0"/>
    <n v="4.5078726847849673"/>
    <b v="0"/>
    <s v="MD_03"/>
    <x v="1"/>
  </r>
  <r>
    <x v="643"/>
    <x v="83"/>
    <x v="0"/>
    <x v="1"/>
    <x v="0"/>
    <n v="2.7482822866115066"/>
    <b v="0"/>
    <s v="MD_17"/>
    <x v="1"/>
  </r>
  <r>
    <x v="644"/>
    <x v="138"/>
    <x v="2"/>
    <x v="2"/>
    <x v="0"/>
    <n v="29.060880567665759"/>
    <b v="0"/>
    <s v="MD_02"/>
    <x v="0"/>
  </r>
  <r>
    <x v="645"/>
    <x v="191"/>
    <x v="3"/>
    <x v="0"/>
    <x v="0"/>
    <n v="9.1330354130550315"/>
    <b v="0"/>
    <s v="MD_19"/>
    <x v="1"/>
  </r>
  <r>
    <x v="646"/>
    <x v="429"/>
    <x v="0"/>
    <x v="4"/>
    <x v="1"/>
    <n v="6.959637911631722"/>
    <b v="0"/>
    <s v="MD_19"/>
    <x v="2"/>
  </r>
  <r>
    <x v="647"/>
    <x v="290"/>
    <x v="2"/>
    <x v="3"/>
    <x v="1"/>
    <n v="17.485733228135"/>
    <b v="0"/>
    <s v="MD_19"/>
    <x v="0"/>
  </r>
  <r>
    <x v="648"/>
    <x v="31"/>
    <x v="0"/>
    <x v="2"/>
    <x v="1"/>
    <n v="22.666920208626497"/>
    <b v="0"/>
    <s v="MD_09"/>
    <x v="0"/>
  </r>
  <r>
    <x v="649"/>
    <x v="140"/>
    <x v="2"/>
    <x v="0"/>
    <x v="0"/>
    <n v="6.328227678352131"/>
    <b v="0"/>
    <s v="MD_14"/>
    <x v="1"/>
  </r>
  <r>
    <x v="650"/>
    <x v="430"/>
    <x v="0"/>
    <x v="3"/>
    <x v="1"/>
    <n v="27.967107404276181"/>
    <b v="0"/>
    <s v="MD_19"/>
    <x v="0"/>
  </r>
  <r>
    <x v="651"/>
    <x v="389"/>
    <x v="1"/>
    <x v="3"/>
    <x v="1"/>
    <n v="3.9088373894791579"/>
    <b v="0"/>
    <s v="MD_04"/>
    <x v="1"/>
  </r>
  <r>
    <x v="652"/>
    <x v="102"/>
    <x v="2"/>
    <x v="3"/>
    <x v="1"/>
    <n v="25.130296585044611"/>
    <b v="0"/>
    <s v="MD_19"/>
    <x v="0"/>
  </r>
  <r>
    <x v="653"/>
    <x v="431"/>
    <x v="2"/>
    <x v="1"/>
    <x v="0"/>
    <n v="9.8381826304020308"/>
    <b v="0"/>
    <s v="MD_13"/>
    <x v="1"/>
  </r>
  <r>
    <x v="654"/>
    <x v="432"/>
    <x v="1"/>
    <x v="2"/>
    <x v="0"/>
    <n v="4.1484669352791688"/>
    <b v="0"/>
    <s v="MD_19"/>
    <x v="1"/>
  </r>
  <r>
    <x v="655"/>
    <x v="433"/>
    <x v="1"/>
    <x v="0"/>
    <x v="1"/>
    <n v="9.0304237319070957"/>
    <b v="0"/>
    <s v="MD_14"/>
    <x v="1"/>
  </r>
  <r>
    <x v="656"/>
    <x v="434"/>
    <x v="3"/>
    <x v="4"/>
    <x v="0"/>
    <n v="5.1091848099746819"/>
    <b v="0"/>
    <s v="MD_05"/>
    <x v="1"/>
  </r>
  <r>
    <x v="657"/>
    <x v="435"/>
    <x v="2"/>
    <x v="0"/>
    <x v="1"/>
    <n v="4.5350140080832295"/>
    <b v="0"/>
    <s v="MD_14"/>
    <x v="1"/>
  </r>
  <r>
    <x v="658"/>
    <x v="187"/>
    <x v="2"/>
    <x v="1"/>
    <x v="0"/>
    <n v="4.1111282418844866"/>
    <b v="0"/>
    <s v="MD_11"/>
    <x v="1"/>
  </r>
  <r>
    <x v="659"/>
    <x v="149"/>
    <x v="0"/>
    <x v="1"/>
    <x v="0"/>
    <n v="0.94280581078898607"/>
    <b v="0"/>
    <s v="MD_06"/>
    <x v="1"/>
  </r>
  <r>
    <x v="660"/>
    <x v="436"/>
    <x v="2"/>
    <x v="4"/>
    <x v="0"/>
    <n v="4.8159274039818758"/>
    <b v="0"/>
    <s v="MD_18"/>
    <x v="1"/>
  </r>
  <r>
    <x v="661"/>
    <x v="349"/>
    <x v="1"/>
    <x v="3"/>
    <x v="0"/>
    <n v="2.609261176478328"/>
    <b v="0"/>
    <s v="MD_20"/>
    <x v="1"/>
  </r>
  <r>
    <x v="662"/>
    <x v="428"/>
    <x v="1"/>
    <x v="4"/>
    <x v="1"/>
    <n v="22.241042861756767"/>
    <b v="0"/>
    <s v="MD_04"/>
    <x v="0"/>
  </r>
  <r>
    <x v="663"/>
    <x v="437"/>
    <x v="0"/>
    <x v="4"/>
    <x v="0"/>
    <n v="8.6047738712153343"/>
    <b v="0"/>
    <s v="MD_20"/>
    <x v="1"/>
  </r>
  <r>
    <x v="664"/>
    <x v="438"/>
    <x v="0"/>
    <x v="1"/>
    <x v="1"/>
    <n v="5.2344827043967195"/>
    <b v="0"/>
    <s v="MD_04"/>
    <x v="1"/>
  </r>
  <r>
    <x v="665"/>
    <x v="193"/>
    <x v="1"/>
    <x v="3"/>
    <x v="1"/>
    <n v="33.83308565515425"/>
    <b v="0"/>
    <s v="MD_03"/>
    <x v="0"/>
  </r>
  <r>
    <x v="666"/>
    <x v="360"/>
    <x v="1"/>
    <x v="4"/>
    <x v="0"/>
    <n v="20.585497976277964"/>
    <b v="0"/>
    <s v="MD_14"/>
    <x v="0"/>
  </r>
  <r>
    <x v="667"/>
    <x v="62"/>
    <x v="3"/>
    <x v="1"/>
    <x v="0"/>
    <n v="6.4019028778228702"/>
    <b v="0"/>
    <s v="MD_09"/>
    <x v="1"/>
  </r>
  <r>
    <x v="668"/>
    <x v="439"/>
    <x v="2"/>
    <x v="4"/>
    <x v="0"/>
    <n v="4.311033506205308"/>
    <b v="0"/>
    <s v="MD_15"/>
    <x v="1"/>
  </r>
  <r>
    <x v="669"/>
    <x v="379"/>
    <x v="3"/>
    <x v="4"/>
    <x v="1"/>
    <n v="24.28556083039728"/>
    <b v="0"/>
    <s v="MD_19"/>
    <x v="0"/>
  </r>
  <r>
    <x v="670"/>
    <x v="73"/>
    <x v="0"/>
    <x v="0"/>
    <x v="0"/>
    <n v="6.1488648536830715"/>
    <b v="0"/>
    <s v="MD_06"/>
    <x v="2"/>
  </r>
  <r>
    <x v="671"/>
    <x v="258"/>
    <x v="0"/>
    <x v="0"/>
    <x v="1"/>
    <n v="7.0851791874553465"/>
    <b v="0"/>
    <s v="MD_19"/>
    <x v="1"/>
  </r>
  <r>
    <x v="672"/>
    <x v="147"/>
    <x v="2"/>
    <x v="0"/>
    <x v="0"/>
    <n v="11.349663129179497"/>
    <b v="0"/>
    <s v="MD_11"/>
    <x v="0"/>
  </r>
  <r>
    <x v="673"/>
    <x v="116"/>
    <x v="0"/>
    <x v="2"/>
    <x v="0"/>
    <n v="6.5045285869120191"/>
    <b v="0"/>
    <s v="MD_02"/>
    <x v="1"/>
  </r>
  <r>
    <x v="674"/>
    <x v="302"/>
    <x v="0"/>
    <x v="2"/>
    <x v="1"/>
    <n v="15.863978917023076"/>
    <b v="0"/>
    <s v="MD_16"/>
    <x v="0"/>
  </r>
  <r>
    <x v="675"/>
    <x v="274"/>
    <x v="1"/>
    <x v="4"/>
    <x v="1"/>
    <n v="27.252323201635559"/>
    <b v="0"/>
    <s v="MD_09"/>
    <x v="0"/>
  </r>
  <r>
    <x v="676"/>
    <x v="407"/>
    <x v="3"/>
    <x v="2"/>
    <x v="1"/>
    <n v="26.600676507479665"/>
    <b v="0"/>
    <s v="MD_14"/>
    <x v="0"/>
  </r>
  <r>
    <x v="677"/>
    <x v="239"/>
    <x v="2"/>
    <x v="0"/>
    <x v="0"/>
    <n v="5.8463308603031008"/>
    <b v="0"/>
    <s v="MD_17"/>
    <x v="2"/>
  </r>
  <r>
    <x v="678"/>
    <x v="440"/>
    <x v="1"/>
    <x v="4"/>
    <x v="1"/>
    <n v="22.162334114078345"/>
    <b v="0"/>
    <s v="MD_14"/>
    <x v="0"/>
  </r>
  <r>
    <x v="679"/>
    <x v="441"/>
    <x v="1"/>
    <x v="2"/>
    <x v="1"/>
    <n v="25.996944819758486"/>
    <b v="0"/>
    <s v="MD_17"/>
    <x v="0"/>
  </r>
  <r>
    <x v="680"/>
    <x v="216"/>
    <x v="0"/>
    <x v="0"/>
    <x v="1"/>
    <n v="20.884961927452533"/>
    <b v="0"/>
    <s v="MD_19"/>
    <x v="0"/>
  </r>
  <r>
    <x v="681"/>
    <x v="442"/>
    <x v="1"/>
    <x v="2"/>
    <x v="0"/>
    <n v="27.902083374622684"/>
    <b v="0"/>
    <s v="MD_06"/>
    <x v="0"/>
  </r>
  <r>
    <x v="682"/>
    <x v="443"/>
    <x v="1"/>
    <x v="1"/>
    <x v="0"/>
    <n v="3.1956787525653727"/>
    <b v="0"/>
    <s v="MD_20"/>
    <x v="1"/>
  </r>
  <r>
    <x v="683"/>
    <x v="163"/>
    <x v="3"/>
    <x v="3"/>
    <x v="0"/>
    <n v="16.690718958703808"/>
    <b v="0"/>
    <s v="MD_11"/>
    <x v="0"/>
  </r>
  <r>
    <x v="684"/>
    <x v="444"/>
    <x v="2"/>
    <x v="1"/>
    <x v="0"/>
    <n v="7.9391320538178762"/>
    <b v="0"/>
    <s v="MD_17"/>
    <x v="1"/>
  </r>
  <r>
    <x v="685"/>
    <x v="424"/>
    <x v="3"/>
    <x v="3"/>
    <x v="0"/>
    <n v="4.6053369385288807"/>
    <b v="0"/>
    <s v="MD_10"/>
    <x v="1"/>
  </r>
  <r>
    <x v="686"/>
    <x v="364"/>
    <x v="3"/>
    <x v="1"/>
    <x v="0"/>
    <n v="6.8451068119592655"/>
    <b v="0"/>
    <s v="MD_02"/>
    <x v="1"/>
  </r>
  <r>
    <x v="687"/>
    <x v="445"/>
    <x v="3"/>
    <x v="4"/>
    <x v="0"/>
    <n v="6.1128339806930825"/>
    <b v="0"/>
    <s v="MD_01"/>
    <x v="1"/>
  </r>
  <r>
    <x v="688"/>
    <x v="327"/>
    <x v="0"/>
    <x v="4"/>
    <x v="1"/>
    <n v="7.6971069722189585"/>
    <b v="0"/>
    <s v="MD_14"/>
    <x v="1"/>
  </r>
  <r>
    <x v="689"/>
    <x v="446"/>
    <x v="1"/>
    <x v="2"/>
    <x v="0"/>
    <n v="10.56896286065256"/>
    <b v="0"/>
    <s v="MD_05"/>
    <x v="1"/>
  </r>
  <r>
    <x v="690"/>
    <x v="73"/>
    <x v="2"/>
    <x v="0"/>
    <x v="0"/>
    <n v="3.4427633750388562"/>
    <b v="1"/>
    <s v="MD_09"/>
    <x v="1"/>
  </r>
  <r>
    <x v="691"/>
    <x v="447"/>
    <x v="0"/>
    <x v="0"/>
    <x v="1"/>
    <n v="31.341214002475201"/>
    <b v="0"/>
    <s v="MD_14"/>
    <x v="0"/>
  </r>
  <r>
    <x v="692"/>
    <x v="95"/>
    <x v="3"/>
    <x v="0"/>
    <x v="0"/>
    <n v="4.6349613374109015"/>
    <b v="0"/>
    <s v="MD_07"/>
    <x v="1"/>
  </r>
  <r>
    <x v="693"/>
    <x v="448"/>
    <x v="2"/>
    <x v="1"/>
    <x v="0"/>
    <n v="1.5771860251254326"/>
    <b v="0"/>
    <s v="MD_17"/>
    <x v="2"/>
  </r>
  <r>
    <x v="694"/>
    <x v="449"/>
    <x v="3"/>
    <x v="3"/>
    <x v="1"/>
    <n v="23.949854469407878"/>
    <b v="0"/>
    <s v="MD_12"/>
    <x v="0"/>
  </r>
  <r>
    <x v="695"/>
    <x v="450"/>
    <x v="0"/>
    <x v="3"/>
    <x v="1"/>
    <n v="6.34085152643818"/>
    <b v="0"/>
    <s v="MD_04"/>
    <x v="1"/>
  </r>
  <r>
    <x v="696"/>
    <x v="44"/>
    <x v="2"/>
    <x v="1"/>
    <x v="0"/>
    <n v="8.2776004929650533"/>
    <b v="0"/>
    <s v="MD_11"/>
    <x v="1"/>
  </r>
  <r>
    <x v="697"/>
    <x v="451"/>
    <x v="1"/>
    <x v="0"/>
    <x v="0"/>
    <n v="4.1133177191276218"/>
    <b v="0"/>
    <s v="MD_19"/>
    <x v="1"/>
  </r>
  <r>
    <x v="698"/>
    <x v="81"/>
    <x v="1"/>
    <x v="4"/>
    <x v="0"/>
    <n v="2.0572072657656593"/>
    <b v="0"/>
    <s v="MD_12"/>
    <x v="1"/>
  </r>
  <r>
    <x v="699"/>
    <x v="452"/>
    <x v="3"/>
    <x v="0"/>
    <x v="0"/>
    <n v="7.9572559135832392"/>
    <b v="0"/>
    <s v="MD_15"/>
    <x v="1"/>
  </r>
  <r>
    <x v="700"/>
    <x v="453"/>
    <x v="2"/>
    <x v="4"/>
    <x v="1"/>
    <n v="5.6613857444239128"/>
    <b v="0"/>
    <s v="MD_14"/>
    <x v="2"/>
  </r>
  <r>
    <x v="701"/>
    <x v="344"/>
    <x v="1"/>
    <x v="0"/>
    <x v="1"/>
    <n v="30.248522910096064"/>
    <b v="0"/>
    <s v="MD_10"/>
    <x v="0"/>
  </r>
  <r>
    <x v="702"/>
    <x v="420"/>
    <x v="0"/>
    <x v="2"/>
    <x v="1"/>
    <n v="28.664078702642058"/>
    <b v="0"/>
    <s v="MD_20"/>
    <x v="0"/>
  </r>
  <r>
    <x v="703"/>
    <x v="350"/>
    <x v="2"/>
    <x v="0"/>
    <x v="0"/>
    <n v="6.0107544790191865"/>
    <b v="0"/>
    <s v="MD_10"/>
    <x v="1"/>
  </r>
  <r>
    <x v="704"/>
    <x v="26"/>
    <x v="0"/>
    <x v="0"/>
    <x v="0"/>
    <n v="11.197103251113287"/>
    <b v="0"/>
    <s v="MD_09"/>
    <x v="0"/>
  </r>
  <r>
    <x v="705"/>
    <x v="238"/>
    <x v="2"/>
    <x v="2"/>
    <x v="0"/>
    <n v="9.627885427287433"/>
    <b v="0"/>
    <s v="MD_03"/>
    <x v="1"/>
  </r>
  <r>
    <x v="706"/>
    <x v="70"/>
    <x v="1"/>
    <x v="4"/>
    <x v="1"/>
    <n v="14.307932734167222"/>
    <b v="0"/>
    <s v="MD_03"/>
    <x v="0"/>
  </r>
  <r>
    <x v="707"/>
    <x v="299"/>
    <x v="3"/>
    <x v="1"/>
    <x v="0"/>
    <n v="2.4985763350295449"/>
    <b v="0"/>
    <s v="MD_16"/>
    <x v="1"/>
  </r>
  <r>
    <x v="708"/>
    <x v="454"/>
    <x v="3"/>
    <x v="4"/>
    <x v="1"/>
    <n v="24.039899434741365"/>
    <b v="0"/>
    <s v="MD_10"/>
    <x v="0"/>
  </r>
  <r>
    <x v="709"/>
    <x v="228"/>
    <x v="0"/>
    <x v="0"/>
    <x v="1"/>
    <n v="5.2747225100636461"/>
    <b v="0"/>
    <s v="MD_18"/>
    <x v="1"/>
  </r>
  <r>
    <x v="710"/>
    <x v="70"/>
    <x v="0"/>
    <x v="0"/>
    <x v="1"/>
    <n v="26.662963358189959"/>
    <b v="1"/>
    <s v="MD_10"/>
    <x v="0"/>
  </r>
  <r>
    <x v="711"/>
    <x v="455"/>
    <x v="1"/>
    <x v="1"/>
    <x v="1"/>
    <n v="8.436244922632719"/>
    <b v="0"/>
    <s v="MD_04"/>
    <x v="1"/>
  </r>
  <r>
    <x v="712"/>
    <x v="89"/>
    <x v="3"/>
    <x v="4"/>
    <x v="0"/>
    <n v="17.381026168574444"/>
    <b v="0"/>
    <s v="MD_13"/>
    <x v="0"/>
  </r>
  <r>
    <x v="713"/>
    <x v="456"/>
    <x v="2"/>
    <x v="2"/>
    <x v="1"/>
    <n v="33.144858257490519"/>
    <b v="0"/>
    <s v="MD_13"/>
    <x v="0"/>
  </r>
  <r>
    <x v="714"/>
    <x v="457"/>
    <x v="2"/>
    <x v="2"/>
    <x v="0"/>
    <n v="19.220877729444425"/>
    <b v="0"/>
    <s v="MD_18"/>
    <x v="0"/>
  </r>
  <r>
    <x v="715"/>
    <x v="458"/>
    <x v="2"/>
    <x v="3"/>
    <x v="0"/>
    <n v="7.7085476511438458"/>
    <b v="0"/>
    <s v="MD_19"/>
    <x v="1"/>
  </r>
  <r>
    <x v="716"/>
    <x v="459"/>
    <x v="0"/>
    <x v="4"/>
    <x v="0"/>
    <n v="22.574026515483812"/>
    <b v="0"/>
    <s v="MD_14"/>
    <x v="0"/>
  </r>
  <r>
    <x v="717"/>
    <x v="61"/>
    <x v="1"/>
    <x v="2"/>
    <x v="0"/>
    <n v="33.512612884687812"/>
    <b v="0"/>
    <s v="MD_06"/>
    <x v="0"/>
  </r>
  <r>
    <x v="718"/>
    <x v="460"/>
    <x v="1"/>
    <x v="4"/>
    <x v="0"/>
    <n v="5.8562668766649582"/>
    <b v="0"/>
    <s v="MD_06"/>
    <x v="1"/>
  </r>
  <r>
    <x v="719"/>
    <x v="194"/>
    <x v="2"/>
    <x v="4"/>
    <x v="0"/>
    <n v="6.4701304672480511"/>
    <b v="0"/>
    <s v="MD_19"/>
    <x v="1"/>
  </r>
  <r>
    <x v="720"/>
    <x v="461"/>
    <x v="3"/>
    <x v="4"/>
    <x v="1"/>
    <n v="5.6406783617242748"/>
    <b v="0"/>
    <s v="MD_19"/>
    <x v="2"/>
  </r>
  <r>
    <x v="721"/>
    <x v="462"/>
    <x v="1"/>
    <x v="3"/>
    <x v="1"/>
    <n v="4.576395810243711"/>
    <b v="0"/>
    <s v="MD_11"/>
    <x v="1"/>
  </r>
  <r>
    <x v="722"/>
    <x v="388"/>
    <x v="3"/>
    <x v="0"/>
    <x v="0"/>
    <n v="6.6862236874769989"/>
    <b v="0"/>
    <s v="MD_18"/>
    <x v="1"/>
  </r>
  <r>
    <x v="723"/>
    <x v="112"/>
    <x v="1"/>
    <x v="2"/>
    <x v="0"/>
    <n v="6.6886711985355332"/>
    <b v="0"/>
    <s v="MD_08"/>
    <x v="1"/>
  </r>
  <r>
    <x v="724"/>
    <x v="463"/>
    <x v="2"/>
    <x v="0"/>
    <x v="0"/>
    <n v="4.2560209115608831"/>
    <b v="0"/>
    <s v="MD_18"/>
    <x v="1"/>
  </r>
  <r>
    <x v="725"/>
    <x v="100"/>
    <x v="3"/>
    <x v="2"/>
    <x v="1"/>
    <n v="24.063274418080354"/>
    <b v="0"/>
    <s v="MD_16"/>
    <x v="0"/>
  </r>
  <r>
    <x v="726"/>
    <x v="464"/>
    <x v="0"/>
    <x v="0"/>
    <x v="0"/>
    <n v="4.023043693178054"/>
    <b v="0"/>
    <s v="MD_17"/>
    <x v="1"/>
  </r>
  <r>
    <x v="727"/>
    <x v="168"/>
    <x v="0"/>
    <x v="0"/>
    <x v="1"/>
    <n v="22.048983488953144"/>
    <b v="0"/>
    <s v="MD_13"/>
    <x v="0"/>
  </r>
  <r>
    <x v="728"/>
    <x v="27"/>
    <x v="1"/>
    <x v="0"/>
    <x v="1"/>
    <n v="23.570190006857263"/>
    <b v="0"/>
    <s v="MD_13"/>
    <x v="0"/>
  </r>
  <r>
    <x v="729"/>
    <x v="127"/>
    <x v="3"/>
    <x v="2"/>
    <x v="1"/>
    <n v="32.669686280912444"/>
    <b v="0"/>
    <s v="MD_13"/>
    <x v="0"/>
  </r>
  <r>
    <x v="730"/>
    <x v="363"/>
    <x v="3"/>
    <x v="4"/>
    <x v="1"/>
    <n v="14.543913625169443"/>
    <b v="0"/>
    <s v="MD_02"/>
    <x v="0"/>
  </r>
  <r>
    <x v="731"/>
    <x v="465"/>
    <x v="1"/>
    <x v="1"/>
    <x v="0"/>
    <n v="5.9644487741406476"/>
    <b v="0"/>
    <s v="MD_03"/>
    <x v="1"/>
  </r>
  <r>
    <x v="732"/>
    <x v="466"/>
    <x v="0"/>
    <x v="2"/>
    <x v="0"/>
    <n v="6.1333057832671338"/>
    <b v="0"/>
    <s v="MD_19"/>
    <x v="1"/>
  </r>
  <r>
    <x v="733"/>
    <x v="125"/>
    <x v="0"/>
    <x v="3"/>
    <x v="1"/>
    <n v="31.424370732439076"/>
    <b v="0"/>
    <s v="MD_18"/>
    <x v="0"/>
  </r>
  <r>
    <x v="734"/>
    <x v="16"/>
    <x v="2"/>
    <x v="2"/>
    <x v="0"/>
    <n v="20.838842778163965"/>
    <b v="0"/>
    <s v="MD_13"/>
    <x v="0"/>
  </r>
  <r>
    <x v="735"/>
    <x v="467"/>
    <x v="1"/>
    <x v="4"/>
    <x v="0"/>
    <n v="7.5768948298957834"/>
    <b v="0"/>
    <s v="MD_05"/>
    <x v="1"/>
  </r>
  <r>
    <x v="736"/>
    <x v="416"/>
    <x v="3"/>
    <x v="0"/>
    <x v="1"/>
    <n v="24.229896083458947"/>
    <b v="0"/>
    <s v="MD_18"/>
    <x v="0"/>
  </r>
  <r>
    <x v="737"/>
    <x v="343"/>
    <x v="1"/>
    <x v="4"/>
    <x v="1"/>
    <n v="8.2058247034422909"/>
    <b v="0"/>
    <s v="MD_18"/>
    <x v="1"/>
  </r>
  <r>
    <x v="738"/>
    <x v="468"/>
    <x v="2"/>
    <x v="1"/>
    <x v="1"/>
    <n v="5.0591606130302322"/>
    <b v="0"/>
    <s v="MD_05"/>
    <x v="1"/>
  </r>
  <r>
    <x v="739"/>
    <x v="326"/>
    <x v="3"/>
    <x v="4"/>
    <x v="0"/>
    <n v="32.953108486624075"/>
    <b v="0"/>
    <s v="MD_07"/>
    <x v="0"/>
  </r>
  <r>
    <x v="740"/>
    <x v="152"/>
    <x v="2"/>
    <x v="3"/>
    <x v="1"/>
    <n v="19.173390447446568"/>
    <b v="0"/>
    <s v="MD_17"/>
    <x v="0"/>
  </r>
  <r>
    <x v="741"/>
    <x v="70"/>
    <x v="2"/>
    <x v="0"/>
    <x v="1"/>
    <n v="39.202728838629213"/>
    <b v="0"/>
    <s v="MD_10"/>
    <x v="0"/>
  </r>
  <r>
    <x v="742"/>
    <x v="469"/>
    <x v="2"/>
    <x v="0"/>
    <x v="0"/>
    <n v="4.3114634719625409"/>
    <b v="0"/>
    <s v="MD_20"/>
    <x v="1"/>
  </r>
  <r>
    <x v="743"/>
    <x v="470"/>
    <x v="3"/>
    <x v="1"/>
    <x v="1"/>
    <n v="28.896885658667074"/>
    <b v="0"/>
    <s v="MD_11"/>
    <x v="0"/>
  </r>
  <r>
    <x v="744"/>
    <x v="471"/>
    <x v="1"/>
    <x v="4"/>
    <x v="1"/>
    <n v="18.786264965579811"/>
    <b v="0"/>
    <s v="MD_09"/>
    <x v="0"/>
  </r>
  <r>
    <x v="745"/>
    <x v="348"/>
    <x v="0"/>
    <x v="2"/>
    <x v="0"/>
    <n v="5.7768207556759155"/>
    <b v="0"/>
    <s v="MD_01"/>
    <x v="1"/>
  </r>
  <r>
    <x v="746"/>
    <x v="387"/>
    <x v="1"/>
    <x v="3"/>
    <x v="1"/>
    <n v="21.064450978588638"/>
    <b v="0"/>
    <s v="MD_15"/>
    <x v="0"/>
  </r>
  <r>
    <x v="747"/>
    <x v="472"/>
    <x v="1"/>
    <x v="3"/>
    <x v="1"/>
    <n v="13.864847928921332"/>
    <b v="0"/>
    <s v="MD_02"/>
    <x v="0"/>
  </r>
  <r>
    <x v="748"/>
    <x v="473"/>
    <x v="1"/>
    <x v="2"/>
    <x v="1"/>
    <n v="7.0202996039099617"/>
    <b v="0"/>
    <s v="MD_11"/>
    <x v="1"/>
  </r>
  <r>
    <x v="749"/>
    <x v="317"/>
    <x v="2"/>
    <x v="2"/>
    <x v="0"/>
    <n v="40.39058585813067"/>
    <b v="0"/>
    <s v="MD_13"/>
    <x v="0"/>
  </r>
  <r>
    <x v="750"/>
    <x v="474"/>
    <x v="3"/>
    <x v="4"/>
    <x v="1"/>
    <n v="6.6720471185082353"/>
    <b v="0"/>
    <s v="MD_13"/>
    <x v="1"/>
  </r>
  <r>
    <x v="751"/>
    <x v="346"/>
    <x v="1"/>
    <x v="4"/>
    <x v="1"/>
    <n v="5.7842429177018335"/>
    <b v="0"/>
    <s v="MD_15"/>
    <x v="1"/>
  </r>
  <r>
    <x v="752"/>
    <x v="475"/>
    <x v="1"/>
    <x v="4"/>
    <x v="0"/>
    <n v="10.66471632521484"/>
    <b v="0"/>
    <s v="MD_06"/>
    <x v="1"/>
  </r>
  <r>
    <x v="753"/>
    <x v="43"/>
    <x v="0"/>
    <x v="3"/>
    <x v="1"/>
    <n v="30.781069934457257"/>
    <b v="0"/>
    <s v="MD_07"/>
    <x v="0"/>
  </r>
  <r>
    <x v="754"/>
    <x v="395"/>
    <x v="2"/>
    <x v="2"/>
    <x v="1"/>
    <n v="5.7790247677914239"/>
    <b v="0"/>
    <s v="MD_16"/>
    <x v="1"/>
  </r>
  <r>
    <x v="755"/>
    <x v="245"/>
    <x v="2"/>
    <x v="4"/>
    <x v="1"/>
    <n v="19.848424931398586"/>
    <b v="0"/>
    <s v="MD_18"/>
    <x v="0"/>
  </r>
  <r>
    <x v="756"/>
    <x v="152"/>
    <x v="0"/>
    <x v="4"/>
    <x v="1"/>
    <n v="23.122676379204371"/>
    <b v="0"/>
    <s v="MD_09"/>
    <x v="0"/>
  </r>
  <r>
    <x v="757"/>
    <x v="457"/>
    <x v="0"/>
    <x v="1"/>
    <x v="0"/>
    <n v="6.9335254310319794"/>
    <b v="0"/>
    <s v="MD_05"/>
    <x v="1"/>
  </r>
  <r>
    <x v="758"/>
    <x v="380"/>
    <x v="3"/>
    <x v="0"/>
    <x v="0"/>
    <n v="7.3797421233518214"/>
    <b v="0"/>
    <s v="MD_07"/>
    <x v="1"/>
  </r>
  <r>
    <x v="759"/>
    <x v="258"/>
    <x v="1"/>
    <x v="0"/>
    <x v="0"/>
    <n v="6.1429571884210254"/>
    <b v="0"/>
    <s v="MD_06"/>
    <x v="1"/>
  </r>
  <r>
    <x v="760"/>
    <x v="308"/>
    <x v="1"/>
    <x v="3"/>
    <x v="0"/>
    <n v="7.3856261109128223"/>
    <b v="0"/>
    <s v="MD_10"/>
    <x v="1"/>
  </r>
  <r>
    <x v="761"/>
    <x v="99"/>
    <x v="3"/>
    <x v="2"/>
    <x v="0"/>
    <n v="6.0768827480047207"/>
    <b v="0"/>
    <s v="MD_09"/>
    <x v="1"/>
  </r>
  <r>
    <x v="762"/>
    <x v="33"/>
    <x v="2"/>
    <x v="3"/>
    <x v="1"/>
    <n v="27.01937851342506"/>
    <b v="0"/>
    <s v="MD_13"/>
    <x v="0"/>
  </r>
  <r>
    <x v="763"/>
    <x v="66"/>
    <x v="3"/>
    <x v="2"/>
    <x v="0"/>
    <n v="8.1500377663328489"/>
    <b v="0"/>
    <s v="MD_19"/>
    <x v="1"/>
  </r>
  <r>
    <x v="764"/>
    <x v="171"/>
    <x v="1"/>
    <x v="4"/>
    <x v="0"/>
    <n v="8.014229755573858"/>
    <b v="0"/>
    <s v="MD_06"/>
    <x v="2"/>
  </r>
  <r>
    <x v="765"/>
    <x v="476"/>
    <x v="1"/>
    <x v="2"/>
    <x v="0"/>
    <n v="3.8246922944294068"/>
    <b v="0"/>
    <s v="MD_16"/>
    <x v="1"/>
  </r>
  <r>
    <x v="766"/>
    <x v="34"/>
    <x v="1"/>
    <x v="1"/>
    <x v="0"/>
    <n v="3.6196867812789519"/>
    <b v="0"/>
    <s v="MD_18"/>
    <x v="1"/>
  </r>
  <r>
    <x v="767"/>
    <x v="205"/>
    <x v="1"/>
    <x v="1"/>
    <x v="0"/>
    <n v="6.1079759926191253"/>
    <b v="0"/>
    <s v="MD_05"/>
    <x v="1"/>
  </r>
  <r>
    <x v="768"/>
    <x v="103"/>
    <x v="3"/>
    <x v="2"/>
    <x v="0"/>
    <n v="6.4443845927603638"/>
    <b v="0"/>
    <s v="MD_20"/>
    <x v="1"/>
  </r>
  <r>
    <x v="769"/>
    <x v="324"/>
    <x v="2"/>
    <x v="1"/>
    <x v="0"/>
    <n v="7.4601545954562347"/>
    <b v="0"/>
    <s v="MD_06"/>
    <x v="1"/>
  </r>
  <r>
    <x v="770"/>
    <x v="477"/>
    <x v="1"/>
    <x v="2"/>
    <x v="1"/>
    <n v="37.444894077651298"/>
    <b v="0"/>
    <s v="MD_15"/>
    <x v="0"/>
  </r>
  <r>
    <x v="771"/>
    <x v="30"/>
    <x v="2"/>
    <x v="4"/>
    <x v="0"/>
    <n v="7.0339646908758295"/>
    <b v="0"/>
    <s v="MD_18"/>
    <x v="1"/>
  </r>
  <r>
    <x v="772"/>
    <x v="470"/>
    <x v="3"/>
    <x v="3"/>
    <x v="1"/>
    <n v="22.4048606527274"/>
    <b v="0"/>
    <s v="MD_15"/>
    <x v="0"/>
  </r>
  <r>
    <x v="773"/>
    <x v="478"/>
    <x v="2"/>
    <x v="3"/>
    <x v="1"/>
    <n v="36.963038845544233"/>
    <b v="0"/>
    <s v="MD_17"/>
    <x v="0"/>
  </r>
  <r>
    <x v="774"/>
    <x v="418"/>
    <x v="3"/>
    <x v="0"/>
    <x v="1"/>
    <n v="6.9780401506464678"/>
    <b v="0"/>
    <s v="MD_15"/>
    <x v="0"/>
  </r>
  <r>
    <x v="775"/>
    <x v="317"/>
    <x v="2"/>
    <x v="0"/>
    <x v="0"/>
    <n v="7.1266721460259346"/>
    <b v="0"/>
    <s v="MD_17"/>
    <x v="1"/>
  </r>
  <r>
    <x v="776"/>
    <x v="317"/>
    <x v="2"/>
    <x v="0"/>
    <x v="0"/>
    <n v="24.646106981591373"/>
    <b v="0"/>
    <s v="MD_10"/>
    <x v="0"/>
  </r>
  <r>
    <x v="777"/>
    <x v="366"/>
    <x v="0"/>
    <x v="2"/>
    <x v="0"/>
    <n v="20.364627287932326"/>
    <b v="0"/>
    <s v="MD_11"/>
    <x v="0"/>
  </r>
  <r>
    <x v="778"/>
    <x v="479"/>
    <x v="2"/>
    <x v="0"/>
    <x v="1"/>
    <n v="5.7605343669363389"/>
    <b v="0"/>
    <s v="MD_07"/>
    <x v="1"/>
  </r>
  <r>
    <x v="779"/>
    <x v="480"/>
    <x v="1"/>
    <x v="2"/>
    <x v="0"/>
    <n v="4.1714278622340943"/>
    <b v="0"/>
    <s v="MD_06"/>
    <x v="1"/>
  </r>
  <r>
    <x v="780"/>
    <x v="476"/>
    <x v="1"/>
    <x v="4"/>
    <x v="1"/>
    <n v="5.1311145645669516"/>
    <b v="0"/>
    <s v="MD_09"/>
    <x v="2"/>
  </r>
  <r>
    <x v="781"/>
    <x v="481"/>
    <x v="2"/>
    <x v="4"/>
    <x v="1"/>
    <n v="25.432398213376313"/>
    <b v="0"/>
    <s v="MD_16"/>
    <x v="0"/>
  </r>
  <r>
    <x v="782"/>
    <x v="482"/>
    <x v="1"/>
    <x v="0"/>
    <x v="1"/>
    <n v="18.3382571440089"/>
    <b v="0"/>
    <s v="MD_13"/>
    <x v="0"/>
  </r>
  <r>
    <x v="783"/>
    <x v="483"/>
    <x v="0"/>
    <x v="2"/>
    <x v="0"/>
    <n v="3.3584326414608126"/>
    <b v="0"/>
    <s v="MD_06"/>
    <x v="1"/>
  </r>
  <r>
    <x v="784"/>
    <x v="221"/>
    <x v="3"/>
    <x v="2"/>
    <x v="1"/>
    <n v="20.89223946787444"/>
    <b v="0"/>
    <s v="MD_03"/>
    <x v="0"/>
  </r>
  <r>
    <x v="785"/>
    <x v="28"/>
    <x v="0"/>
    <x v="2"/>
    <x v="0"/>
    <n v="5.5367014571655284"/>
    <b v="0"/>
    <s v="MD_02"/>
    <x v="1"/>
  </r>
  <r>
    <x v="786"/>
    <x v="484"/>
    <x v="0"/>
    <x v="0"/>
    <x v="1"/>
    <n v="22.179246778590596"/>
    <b v="0"/>
    <s v="MD_17"/>
    <x v="0"/>
  </r>
  <r>
    <x v="787"/>
    <x v="485"/>
    <x v="0"/>
    <x v="4"/>
    <x v="0"/>
    <n v="7.205735442976307"/>
    <b v="0"/>
    <s v="MD_08"/>
    <x v="1"/>
  </r>
  <r>
    <x v="788"/>
    <x v="189"/>
    <x v="2"/>
    <x v="4"/>
    <x v="1"/>
    <n v="10.039316721035071"/>
    <b v="0"/>
    <s v="MD_17"/>
    <x v="2"/>
  </r>
  <r>
    <x v="789"/>
    <x v="259"/>
    <x v="0"/>
    <x v="0"/>
    <x v="1"/>
    <n v="31.461377390778043"/>
    <b v="1"/>
    <s v="MD_02"/>
    <x v="0"/>
  </r>
  <r>
    <x v="790"/>
    <x v="486"/>
    <x v="0"/>
    <x v="2"/>
    <x v="1"/>
    <n v="28.465274695861474"/>
    <b v="0"/>
    <s v="MD_06"/>
    <x v="0"/>
  </r>
  <r>
    <x v="791"/>
    <x v="378"/>
    <x v="0"/>
    <x v="2"/>
    <x v="1"/>
    <n v="33.201348982633384"/>
    <b v="0"/>
    <s v="MD_13"/>
    <x v="0"/>
  </r>
  <r>
    <x v="792"/>
    <x v="442"/>
    <x v="0"/>
    <x v="1"/>
    <x v="0"/>
    <n v="6.8706835426229897"/>
    <b v="0"/>
    <s v="MD_05"/>
    <x v="1"/>
  </r>
  <r>
    <x v="793"/>
    <x v="487"/>
    <x v="2"/>
    <x v="0"/>
    <x v="0"/>
    <n v="23.079168019592945"/>
    <b v="0"/>
    <s v="MD_06"/>
    <x v="0"/>
  </r>
  <r>
    <x v="794"/>
    <x v="488"/>
    <x v="1"/>
    <x v="2"/>
    <x v="0"/>
    <n v="7.0615109067959709"/>
    <b v="0"/>
    <s v="MD_01"/>
    <x v="1"/>
  </r>
  <r>
    <x v="795"/>
    <x v="489"/>
    <x v="3"/>
    <x v="4"/>
    <x v="0"/>
    <n v="6.7330424261447979"/>
    <b v="0"/>
    <s v="MD_15"/>
    <x v="1"/>
  </r>
  <r>
    <x v="796"/>
    <x v="289"/>
    <x v="0"/>
    <x v="2"/>
    <x v="0"/>
    <n v="4.992874434293201"/>
    <b v="0"/>
    <s v="MD_13"/>
    <x v="1"/>
  </r>
  <r>
    <x v="797"/>
    <x v="423"/>
    <x v="1"/>
    <x v="2"/>
    <x v="0"/>
    <n v="4.7716673843659994"/>
    <b v="0"/>
    <s v="MD_06"/>
    <x v="1"/>
  </r>
  <r>
    <x v="798"/>
    <x v="490"/>
    <x v="1"/>
    <x v="4"/>
    <x v="0"/>
    <n v="5.7285375985039568"/>
    <b v="0"/>
    <s v="MD_03"/>
    <x v="1"/>
  </r>
  <r>
    <x v="799"/>
    <x v="236"/>
    <x v="3"/>
    <x v="2"/>
    <x v="1"/>
    <n v="19.135680715761744"/>
    <b v="0"/>
    <s v="MD_17"/>
    <x v="0"/>
  </r>
  <r>
    <x v="800"/>
    <x v="223"/>
    <x v="1"/>
    <x v="4"/>
    <x v="1"/>
    <n v="33.365416905745008"/>
    <b v="0"/>
    <s v="MD_20"/>
    <x v="0"/>
  </r>
  <r>
    <x v="801"/>
    <x v="447"/>
    <x v="0"/>
    <x v="1"/>
    <x v="1"/>
    <n v="21.319226372197953"/>
    <b v="0"/>
    <s v="MD_17"/>
    <x v="0"/>
  </r>
  <r>
    <x v="802"/>
    <x v="382"/>
    <x v="0"/>
    <x v="2"/>
    <x v="0"/>
    <n v="5.1379263631416867"/>
    <b v="0"/>
    <s v="MD_03"/>
    <x v="1"/>
  </r>
  <r>
    <x v="803"/>
    <x v="475"/>
    <x v="2"/>
    <x v="3"/>
    <x v="1"/>
    <n v="4.4523605835555662"/>
    <b v="0"/>
    <s v="MD_07"/>
    <x v="1"/>
  </r>
  <r>
    <x v="804"/>
    <x v="400"/>
    <x v="0"/>
    <x v="4"/>
    <x v="0"/>
    <n v="3.8025573307336309"/>
    <b v="0"/>
    <s v="MD_14"/>
    <x v="1"/>
  </r>
  <r>
    <x v="805"/>
    <x v="491"/>
    <x v="1"/>
    <x v="0"/>
    <x v="1"/>
    <n v="25.640328177163614"/>
    <b v="0"/>
    <s v="MD_16"/>
    <x v="0"/>
  </r>
  <r>
    <x v="806"/>
    <x v="492"/>
    <x v="0"/>
    <x v="1"/>
    <x v="0"/>
    <n v="8.7702323729951566"/>
    <b v="0"/>
    <s v="MD_20"/>
    <x v="2"/>
  </r>
  <r>
    <x v="807"/>
    <x v="493"/>
    <x v="0"/>
    <x v="2"/>
    <x v="1"/>
    <n v="31.028507862844069"/>
    <b v="0"/>
    <s v="MD_11"/>
    <x v="0"/>
  </r>
  <r>
    <x v="808"/>
    <x v="442"/>
    <x v="2"/>
    <x v="1"/>
    <x v="1"/>
    <n v="7.9156747299047439"/>
    <b v="0"/>
    <s v="MD_16"/>
    <x v="1"/>
  </r>
  <r>
    <x v="809"/>
    <x v="20"/>
    <x v="3"/>
    <x v="4"/>
    <x v="1"/>
    <n v="29.334208118373741"/>
    <b v="0"/>
    <s v="MD_10"/>
    <x v="0"/>
  </r>
  <r>
    <x v="810"/>
    <x v="266"/>
    <x v="2"/>
    <x v="3"/>
    <x v="0"/>
    <n v="9.1181049803220837"/>
    <b v="0"/>
    <s v="MD_09"/>
    <x v="1"/>
  </r>
  <r>
    <x v="811"/>
    <x v="378"/>
    <x v="0"/>
    <x v="0"/>
    <x v="1"/>
    <n v="18.734246644110527"/>
    <b v="0"/>
    <s v="MD_07"/>
    <x v="0"/>
  </r>
  <r>
    <x v="812"/>
    <x v="272"/>
    <x v="1"/>
    <x v="2"/>
    <x v="1"/>
    <n v="3.9352784786332222"/>
    <b v="0"/>
    <s v="MD_17"/>
    <x v="1"/>
  </r>
  <r>
    <x v="813"/>
    <x v="494"/>
    <x v="2"/>
    <x v="0"/>
    <x v="0"/>
    <n v="6.5616041310554163"/>
    <b v="0"/>
    <s v="MD_07"/>
    <x v="1"/>
  </r>
  <r>
    <x v="814"/>
    <x v="8"/>
    <x v="2"/>
    <x v="4"/>
    <x v="1"/>
    <n v="18.96467104855342"/>
    <b v="0"/>
    <s v="MD_19"/>
    <x v="0"/>
  </r>
  <r>
    <x v="815"/>
    <x v="235"/>
    <x v="3"/>
    <x v="0"/>
    <x v="0"/>
    <n v="10.311251421403409"/>
    <b v="0"/>
    <s v="MD_11"/>
    <x v="1"/>
  </r>
  <r>
    <x v="816"/>
    <x v="495"/>
    <x v="3"/>
    <x v="2"/>
    <x v="1"/>
    <n v="22.418786778587211"/>
    <b v="0"/>
    <s v="MD_05"/>
    <x v="0"/>
  </r>
  <r>
    <x v="817"/>
    <x v="384"/>
    <x v="0"/>
    <x v="1"/>
    <x v="0"/>
    <n v="6.9458292433071058"/>
    <b v="0"/>
    <s v="MD_16"/>
    <x v="1"/>
  </r>
  <r>
    <x v="818"/>
    <x v="287"/>
    <x v="3"/>
    <x v="2"/>
    <x v="1"/>
    <n v="4.3384518090906248"/>
    <b v="0"/>
    <s v="MD_01"/>
    <x v="1"/>
  </r>
  <r>
    <x v="819"/>
    <x v="496"/>
    <x v="0"/>
    <x v="2"/>
    <x v="0"/>
    <n v="18.74164724202058"/>
    <b v="0"/>
    <s v="MD_02"/>
    <x v="0"/>
  </r>
  <r>
    <x v="820"/>
    <x v="497"/>
    <x v="1"/>
    <x v="2"/>
    <x v="0"/>
    <n v="6.1554186335418271"/>
    <b v="0"/>
    <s v="MD_02"/>
    <x v="1"/>
  </r>
  <r>
    <x v="821"/>
    <x v="498"/>
    <x v="3"/>
    <x v="4"/>
    <x v="0"/>
    <n v="32.483396789611049"/>
    <b v="0"/>
    <s v="MD_10"/>
    <x v="0"/>
  </r>
  <r>
    <x v="822"/>
    <x v="499"/>
    <x v="3"/>
    <x v="0"/>
    <x v="1"/>
    <n v="7.6038188257363082"/>
    <b v="0"/>
    <s v="MD_07"/>
    <x v="1"/>
  </r>
  <r>
    <x v="823"/>
    <x v="500"/>
    <x v="2"/>
    <x v="4"/>
    <x v="0"/>
    <n v="8.089220464639979"/>
    <b v="0"/>
    <s v="MD_17"/>
    <x v="1"/>
  </r>
  <r>
    <x v="824"/>
    <x v="68"/>
    <x v="3"/>
    <x v="3"/>
    <x v="0"/>
    <n v="7.1831844289565909"/>
    <b v="0"/>
    <s v="MD_08"/>
    <x v="1"/>
  </r>
  <r>
    <x v="825"/>
    <x v="151"/>
    <x v="3"/>
    <x v="4"/>
    <x v="1"/>
    <n v="0.7098867264955846"/>
    <b v="0"/>
    <s v="MD_09"/>
    <x v="1"/>
  </r>
  <r>
    <x v="826"/>
    <x v="64"/>
    <x v="2"/>
    <x v="2"/>
    <x v="0"/>
    <n v="10.593537268715108"/>
    <b v="0"/>
    <s v="MD_19"/>
    <x v="0"/>
  </r>
  <r>
    <x v="827"/>
    <x v="501"/>
    <x v="3"/>
    <x v="4"/>
    <x v="0"/>
    <n v="7.6088644316479055"/>
    <b v="0"/>
    <s v="MD_05"/>
    <x v="1"/>
  </r>
  <r>
    <x v="828"/>
    <x v="85"/>
    <x v="1"/>
    <x v="4"/>
    <x v="1"/>
    <n v="4.657470841468772"/>
    <b v="0"/>
    <s v="MD_18"/>
    <x v="2"/>
  </r>
  <r>
    <x v="829"/>
    <x v="162"/>
    <x v="1"/>
    <x v="4"/>
    <x v="0"/>
    <n v="8.767941129701585"/>
    <b v="0"/>
    <s v="MD_20"/>
    <x v="1"/>
  </r>
  <r>
    <x v="830"/>
    <x v="309"/>
    <x v="2"/>
    <x v="0"/>
    <x v="0"/>
    <n v="3.6291637383383084"/>
    <b v="0"/>
    <s v="MD_07"/>
    <x v="1"/>
  </r>
  <r>
    <x v="831"/>
    <x v="311"/>
    <x v="3"/>
    <x v="4"/>
    <x v="0"/>
    <n v="7.976378057183938"/>
    <b v="0"/>
    <s v="MD_17"/>
    <x v="1"/>
  </r>
  <r>
    <x v="832"/>
    <x v="502"/>
    <x v="2"/>
    <x v="3"/>
    <x v="1"/>
    <n v="27.698054184250168"/>
    <b v="0"/>
    <s v="MD_18"/>
    <x v="0"/>
  </r>
  <r>
    <x v="833"/>
    <x v="101"/>
    <x v="1"/>
    <x v="2"/>
    <x v="1"/>
    <n v="9.5633109870925672"/>
    <b v="0"/>
    <s v="MD_03"/>
    <x v="0"/>
  </r>
  <r>
    <x v="834"/>
    <x v="358"/>
    <x v="0"/>
    <x v="1"/>
    <x v="0"/>
    <n v="17.102948225353565"/>
    <b v="0"/>
    <s v="MD_13"/>
    <x v="0"/>
  </r>
  <r>
    <x v="835"/>
    <x v="215"/>
    <x v="0"/>
    <x v="2"/>
    <x v="0"/>
    <n v="14.703126767293005"/>
    <b v="0"/>
    <s v="MD_02"/>
    <x v="0"/>
  </r>
  <r>
    <x v="836"/>
    <x v="343"/>
    <x v="2"/>
    <x v="1"/>
    <x v="0"/>
    <n v="6.0528749735605052"/>
    <b v="0"/>
    <s v="MD_18"/>
    <x v="1"/>
  </r>
  <r>
    <x v="837"/>
    <x v="503"/>
    <x v="1"/>
    <x v="0"/>
    <x v="0"/>
    <n v="6.9549991273162179"/>
    <b v="0"/>
    <s v="MD_08"/>
    <x v="1"/>
  </r>
  <r>
    <x v="838"/>
    <x v="75"/>
    <x v="0"/>
    <x v="4"/>
    <x v="0"/>
    <n v="6.6268733965970981"/>
    <b v="0"/>
    <s v="MD_05"/>
    <x v="1"/>
  </r>
  <r>
    <x v="839"/>
    <x v="504"/>
    <x v="2"/>
    <x v="0"/>
    <x v="0"/>
    <n v="6.501655066804096"/>
    <b v="0"/>
    <s v="MD_14"/>
    <x v="1"/>
  </r>
  <r>
    <x v="840"/>
    <x v="154"/>
    <x v="1"/>
    <x v="0"/>
    <x v="0"/>
    <n v="6.3835780572802507"/>
    <b v="0"/>
    <s v="MD_11"/>
    <x v="2"/>
  </r>
  <r>
    <x v="841"/>
    <x v="196"/>
    <x v="2"/>
    <x v="1"/>
    <x v="0"/>
    <n v="4.4322298053047833"/>
    <b v="0"/>
    <s v="MD_03"/>
    <x v="1"/>
  </r>
  <r>
    <x v="842"/>
    <x v="505"/>
    <x v="3"/>
    <x v="1"/>
    <x v="0"/>
    <n v="12.255806577385377"/>
    <b v="0"/>
    <s v="MD_02"/>
    <x v="0"/>
  </r>
  <r>
    <x v="843"/>
    <x v="506"/>
    <x v="3"/>
    <x v="0"/>
    <x v="0"/>
    <n v="5.7503881044310647"/>
    <b v="0"/>
    <s v="MD_12"/>
    <x v="1"/>
  </r>
  <r>
    <x v="844"/>
    <x v="348"/>
    <x v="2"/>
    <x v="2"/>
    <x v="0"/>
    <n v="23.325753198565643"/>
    <b v="0"/>
    <s v="MD_13"/>
    <x v="0"/>
  </r>
  <r>
    <x v="845"/>
    <x v="507"/>
    <x v="3"/>
    <x v="0"/>
    <x v="1"/>
    <n v="16.461368900187406"/>
    <b v="0"/>
    <s v="MD_14"/>
    <x v="0"/>
  </r>
  <r>
    <x v="846"/>
    <x v="423"/>
    <x v="1"/>
    <x v="1"/>
    <x v="0"/>
    <n v="7.8048295645119854"/>
    <b v="0"/>
    <s v="MD_14"/>
    <x v="1"/>
  </r>
  <r>
    <x v="847"/>
    <x v="86"/>
    <x v="3"/>
    <x v="0"/>
    <x v="0"/>
    <n v="2.4498876440028345"/>
    <b v="0"/>
    <s v="MD_03"/>
    <x v="1"/>
  </r>
  <r>
    <x v="848"/>
    <x v="350"/>
    <x v="3"/>
    <x v="1"/>
    <x v="0"/>
    <n v="6.9927799111732636"/>
    <b v="0"/>
    <s v="MD_15"/>
    <x v="1"/>
  </r>
  <r>
    <x v="849"/>
    <x v="243"/>
    <x v="0"/>
    <x v="0"/>
    <x v="0"/>
    <n v="10.526042742529446"/>
    <b v="0"/>
    <s v="MD_09"/>
    <x v="1"/>
  </r>
  <r>
    <x v="850"/>
    <x v="281"/>
    <x v="0"/>
    <x v="0"/>
    <x v="0"/>
    <n v="5.2920293034124084"/>
    <b v="0"/>
    <s v="MD_04"/>
    <x v="1"/>
  </r>
  <r>
    <x v="851"/>
    <x v="508"/>
    <x v="3"/>
    <x v="3"/>
    <x v="0"/>
    <n v="22.832847466136798"/>
    <b v="0"/>
    <s v="MD_15"/>
    <x v="0"/>
  </r>
  <r>
    <x v="852"/>
    <x v="509"/>
    <x v="2"/>
    <x v="3"/>
    <x v="0"/>
    <n v="7.7139262090850806"/>
    <b v="0"/>
    <s v="MD_18"/>
    <x v="1"/>
  </r>
  <r>
    <x v="853"/>
    <x v="187"/>
    <x v="3"/>
    <x v="3"/>
    <x v="0"/>
    <n v="5.5522018778985398"/>
    <b v="0"/>
    <s v="MD_14"/>
    <x v="1"/>
  </r>
  <r>
    <x v="854"/>
    <x v="510"/>
    <x v="0"/>
    <x v="2"/>
    <x v="0"/>
    <n v="7.7946060481402544"/>
    <b v="0"/>
    <s v="MD_03"/>
    <x v="1"/>
  </r>
  <r>
    <x v="855"/>
    <x v="46"/>
    <x v="0"/>
    <x v="0"/>
    <x v="1"/>
    <n v="3.9480410240044734"/>
    <b v="1"/>
    <s v="MD_18"/>
    <x v="1"/>
  </r>
  <r>
    <x v="856"/>
    <x v="511"/>
    <x v="1"/>
    <x v="1"/>
    <x v="0"/>
    <n v="11.064798223459475"/>
    <b v="0"/>
    <s v="MD_20"/>
    <x v="1"/>
  </r>
  <r>
    <x v="857"/>
    <x v="36"/>
    <x v="2"/>
    <x v="2"/>
    <x v="0"/>
    <n v="0.64353931724452185"/>
    <b v="0"/>
    <s v="MD_10"/>
    <x v="1"/>
  </r>
  <r>
    <x v="858"/>
    <x v="512"/>
    <x v="0"/>
    <x v="0"/>
    <x v="1"/>
    <n v="37.400932088660056"/>
    <b v="0"/>
    <s v="MD_15"/>
    <x v="0"/>
  </r>
  <r>
    <x v="859"/>
    <x v="461"/>
    <x v="0"/>
    <x v="3"/>
    <x v="0"/>
    <n v="6.5031423063016778"/>
    <b v="0"/>
    <s v="MD_05"/>
    <x v="1"/>
  </r>
  <r>
    <x v="860"/>
    <x v="12"/>
    <x v="2"/>
    <x v="0"/>
    <x v="1"/>
    <n v="25.651255521336797"/>
    <b v="0"/>
    <s v="MD_09"/>
    <x v="0"/>
  </r>
  <r>
    <x v="861"/>
    <x v="413"/>
    <x v="0"/>
    <x v="4"/>
    <x v="0"/>
    <n v="37.229623801966582"/>
    <b v="0"/>
    <s v="MD_19"/>
    <x v="0"/>
  </r>
  <r>
    <x v="862"/>
    <x v="341"/>
    <x v="3"/>
    <x v="1"/>
    <x v="1"/>
    <n v="26.460524126558408"/>
    <b v="0"/>
    <s v="MD_02"/>
    <x v="0"/>
  </r>
  <r>
    <x v="863"/>
    <x v="487"/>
    <x v="3"/>
    <x v="0"/>
    <x v="0"/>
    <n v="6.4016865665183698"/>
    <b v="0"/>
    <s v="MD_08"/>
    <x v="1"/>
  </r>
  <r>
    <x v="864"/>
    <x v="220"/>
    <x v="0"/>
    <x v="2"/>
    <x v="0"/>
    <n v="9.8567001415668951"/>
    <b v="0"/>
    <s v="MD_01"/>
    <x v="1"/>
  </r>
  <r>
    <x v="865"/>
    <x v="276"/>
    <x v="1"/>
    <x v="3"/>
    <x v="1"/>
    <n v="6.1139860152999006"/>
    <b v="0"/>
    <s v="MD_12"/>
    <x v="1"/>
  </r>
  <r>
    <x v="866"/>
    <x v="202"/>
    <x v="2"/>
    <x v="4"/>
    <x v="1"/>
    <n v="11.501459027525552"/>
    <b v="0"/>
    <s v="MD_16"/>
    <x v="0"/>
  </r>
  <r>
    <x v="867"/>
    <x v="229"/>
    <x v="0"/>
    <x v="2"/>
    <x v="0"/>
    <n v="5.7359528279992533"/>
    <b v="0"/>
    <s v="MD_09"/>
    <x v="1"/>
  </r>
  <r>
    <x v="868"/>
    <x v="421"/>
    <x v="1"/>
    <x v="1"/>
    <x v="1"/>
    <n v="27.304492185717471"/>
    <b v="0"/>
    <s v="MD_13"/>
    <x v="0"/>
  </r>
  <r>
    <x v="869"/>
    <x v="489"/>
    <x v="3"/>
    <x v="1"/>
    <x v="0"/>
    <n v="5.1019993561547237"/>
    <b v="0"/>
    <s v="MD_07"/>
    <x v="1"/>
  </r>
  <r>
    <x v="870"/>
    <x v="513"/>
    <x v="1"/>
    <x v="1"/>
    <x v="0"/>
    <n v="4.094283679228182"/>
    <b v="0"/>
    <s v="MD_03"/>
    <x v="1"/>
  </r>
  <r>
    <x v="871"/>
    <x v="490"/>
    <x v="2"/>
    <x v="0"/>
    <x v="0"/>
    <n v="5.0658864171930116"/>
    <b v="0"/>
    <s v="MD_09"/>
    <x v="1"/>
  </r>
  <r>
    <x v="872"/>
    <x v="514"/>
    <x v="1"/>
    <x v="0"/>
    <x v="0"/>
    <n v="5.3219790067276822"/>
    <b v="0"/>
    <s v="MD_09"/>
    <x v="1"/>
  </r>
  <r>
    <x v="873"/>
    <x v="515"/>
    <x v="3"/>
    <x v="0"/>
    <x v="0"/>
    <n v="4.9735726987814424"/>
    <b v="0"/>
    <s v="MD_10"/>
    <x v="1"/>
  </r>
  <r>
    <x v="874"/>
    <x v="299"/>
    <x v="3"/>
    <x v="3"/>
    <x v="0"/>
    <n v="22.145430770307815"/>
    <b v="0"/>
    <s v="MD_03"/>
    <x v="0"/>
  </r>
  <r>
    <x v="875"/>
    <x v="516"/>
    <x v="0"/>
    <x v="3"/>
    <x v="1"/>
    <n v="4.4779983366526643"/>
    <b v="0"/>
    <s v="MD_01"/>
    <x v="2"/>
  </r>
  <r>
    <x v="876"/>
    <x v="517"/>
    <x v="0"/>
    <x v="0"/>
    <x v="0"/>
    <n v="3.4972864134457109"/>
    <b v="0"/>
    <s v="MD_12"/>
    <x v="1"/>
  </r>
  <r>
    <x v="877"/>
    <x v="518"/>
    <x v="1"/>
    <x v="0"/>
    <x v="0"/>
    <n v="6.372638536751829"/>
    <b v="0"/>
    <s v="MD_12"/>
    <x v="1"/>
  </r>
  <r>
    <x v="878"/>
    <x v="519"/>
    <x v="1"/>
    <x v="0"/>
    <x v="1"/>
    <n v="21.649237828359972"/>
    <b v="0"/>
    <s v="MD_12"/>
    <x v="0"/>
  </r>
  <r>
    <x v="879"/>
    <x v="466"/>
    <x v="2"/>
    <x v="0"/>
    <x v="0"/>
    <n v="5.0932227798441225"/>
    <b v="0"/>
    <s v="MD_05"/>
    <x v="1"/>
  </r>
  <r>
    <x v="880"/>
    <x v="412"/>
    <x v="0"/>
    <x v="2"/>
    <x v="0"/>
    <n v="3.5610392395449404"/>
    <b v="0"/>
    <s v="MD_09"/>
    <x v="1"/>
  </r>
  <r>
    <x v="881"/>
    <x v="347"/>
    <x v="2"/>
    <x v="1"/>
    <x v="0"/>
    <n v="29.600722369911125"/>
    <b v="0"/>
    <s v="MD_01"/>
    <x v="0"/>
  </r>
  <r>
    <x v="882"/>
    <x v="56"/>
    <x v="2"/>
    <x v="1"/>
    <x v="1"/>
    <n v="40.943231035734797"/>
    <b v="0"/>
    <s v="MD_12"/>
    <x v="0"/>
  </r>
  <r>
    <x v="883"/>
    <x v="42"/>
    <x v="1"/>
    <x v="4"/>
    <x v="1"/>
    <n v="4.4785341241472514"/>
    <b v="0"/>
    <s v="MD_12"/>
    <x v="2"/>
  </r>
  <r>
    <x v="884"/>
    <x v="7"/>
    <x v="2"/>
    <x v="1"/>
    <x v="0"/>
    <n v="5.6062485734292071"/>
    <b v="0"/>
    <s v="MD_08"/>
    <x v="1"/>
  </r>
  <r>
    <x v="885"/>
    <x v="45"/>
    <x v="2"/>
    <x v="0"/>
    <x v="1"/>
    <n v="24.355856503125725"/>
    <b v="0"/>
    <s v="MD_01"/>
    <x v="0"/>
  </r>
  <r>
    <x v="886"/>
    <x v="520"/>
    <x v="3"/>
    <x v="3"/>
    <x v="1"/>
    <n v="4.6804400568952529"/>
    <b v="0"/>
    <s v="MD_09"/>
    <x v="1"/>
  </r>
  <r>
    <x v="887"/>
    <x v="521"/>
    <x v="0"/>
    <x v="2"/>
    <x v="1"/>
    <n v="0.68411702925770701"/>
    <b v="0"/>
    <s v="MD_10"/>
    <x v="1"/>
  </r>
  <r>
    <x v="888"/>
    <x v="522"/>
    <x v="2"/>
    <x v="4"/>
    <x v="0"/>
    <n v="7.5231879766159917"/>
    <b v="0"/>
    <s v="MD_17"/>
    <x v="1"/>
  </r>
  <r>
    <x v="889"/>
    <x v="504"/>
    <x v="2"/>
    <x v="3"/>
    <x v="0"/>
    <n v="24.089627245297635"/>
    <b v="0"/>
    <s v="MD_11"/>
    <x v="0"/>
  </r>
  <r>
    <x v="890"/>
    <x v="523"/>
    <x v="0"/>
    <x v="0"/>
    <x v="0"/>
    <n v="3.2747832323600221"/>
    <b v="0"/>
    <s v="MD_11"/>
    <x v="1"/>
  </r>
  <r>
    <x v="891"/>
    <x v="524"/>
    <x v="0"/>
    <x v="1"/>
    <x v="0"/>
    <n v="6.9915732068168284"/>
    <b v="0"/>
    <s v="MD_11"/>
    <x v="1"/>
  </r>
  <r>
    <x v="892"/>
    <x v="287"/>
    <x v="3"/>
    <x v="2"/>
    <x v="0"/>
    <n v="7.5950297256524637"/>
    <b v="0"/>
    <s v="MD_04"/>
    <x v="1"/>
  </r>
  <r>
    <x v="893"/>
    <x v="456"/>
    <x v="2"/>
    <x v="3"/>
    <x v="1"/>
    <n v="8.1597924715999302"/>
    <b v="0"/>
    <s v="MD_15"/>
    <x v="0"/>
  </r>
  <r>
    <x v="894"/>
    <x v="451"/>
    <x v="1"/>
    <x v="1"/>
    <x v="1"/>
    <n v="5.3733415319860267"/>
    <b v="0"/>
    <s v="MD_11"/>
    <x v="1"/>
  </r>
  <r>
    <x v="895"/>
    <x v="293"/>
    <x v="1"/>
    <x v="4"/>
    <x v="0"/>
    <n v="7.6696824462661866"/>
    <b v="0"/>
    <s v="MD_04"/>
    <x v="1"/>
  </r>
  <r>
    <x v="896"/>
    <x v="22"/>
    <x v="2"/>
    <x v="4"/>
    <x v="0"/>
    <n v="22.354845335738609"/>
    <b v="0"/>
    <s v="MD_17"/>
    <x v="0"/>
  </r>
  <r>
    <x v="897"/>
    <x v="291"/>
    <x v="1"/>
    <x v="4"/>
    <x v="0"/>
    <n v="7.9749628430086625"/>
    <b v="0"/>
    <s v="MD_12"/>
    <x v="1"/>
  </r>
  <r>
    <x v="898"/>
    <x v="126"/>
    <x v="2"/>
    <x v="0"/>
    <x v="0"/>
    <n v="9.2872636443127163"/>
    <b v="0"/>
    <s v="MD_02"/>
    <x v="1"/>
  </r>
  <r>
    <x v="899"/>
    <x v="5"/>
    <x v="1"/>
    <x v="0"/>
    <x v="0"/>
    <n v="4.7876896013562291"/>
    <b v="0"/>
    <s v="MD_02"/>
    <x v="1"/>
  </r>
  <r>
    <x v="900"/>
    <x v="441"/>
    <x v="0"/>
    <x v="0"/>
    <x v="1"/>
    <n v="22.717153551935876"/>
    <b v="0"/>
    <s v="MD_05"/>
    <x v="0"/>
  </r>
  <r>
    <x v="901"/>
    <x v="173"/>
    <x v="0"/>
    <x v="1"/>
    <x v="0"/>
    <n v="12.208240514499789"/>
    <b v="0"/>
    <s v="MD_20"/>
    <x v="1"/>
  </r>
  <r>
    <x v="902"/>
    <x v="398"/>
    <x v="0"/>
    <x v="4"/>
    <x v="0"/>
    <n v="24.442860017976543"/>
    <b v="0"/>
    <s v="MD_13"/>
    <x v="0"/>
  </r>
  <r>
    <x v="903"/>
    <x v="525"/>
    <x v="2"/>
    <x v="1"/>
    <x v="0"/>
    <n v="33.7690950182281"/>
    <b v="0"/>
    <s v="MD_19"/>
    <x v="0"/>
  </r>
  <r>
    <x v="904"/>
    <x v="454"/>
    <x v="2"/>
    <x v="0"/>
    <x v="1"/>
    <n v="19.092844859249887"/>
    <b v="0"/>
    <s v="MD_20"/>
    <x v="0"/>
  </r>
  <r>
    <x v="905"/>
    <x v="502"/>
    <x v="3"/>
    <x v="2"/>
    <x v="1"/>
    <n v="23.27465307508157"/>
    <b v="0"/>
    <s v="MD_12"/>
    <x v="0"/>
  </r>
  <r>
    <x v="906"/>
    <x v="173"/>
    <x v="2"/>
    <x v="3"/>
    <x v="0"/>
    <n v="6.20760734001058"/>
    <b v="0"/>
    <s v="MD_06"/>
    <x v="1"/>
  </r>
  <r>
    <x v="907"/>
    <x v="298"/>
    <x v="2"/>
    <x v="0"/>
    <x v="1"/>
    <n v="45.23263590513055"/>
    <b v="0"/>
    <s v="MD_13"/>
    <x v="0"/>
  </r>
  <r>
    <x v="908"/>
    <x v="526"/>
    <x v="3"/>
    <x v="2"/>
    <x v="1"/>
    <n v="27.467473065754792"/>
    <b v="0"/>
    <s v="MD_09"/>
    <x v="0"/>
  </r>
  <r>
    <x v="909"/>
    <x v="388"/>
    <x v="0"/>
    <x v="2"/>
    <x v="0"/>
    <n v="3.0760344925583429"/>
    <b v="0"/>
    <s v="MD_08"/>
    <x v="1"/>
  </r>
  <r>
    <x v="910"/>
    <x v="37"/>
    <x v="0"/>
    <x v="2"/>
    <x v="1"/>
    <n v="20.89718294217997"/>
    <b v="0"/>
    <s v="MD_02"/>
    <x v="0"/>
  </r>
  <r>
    <x v="911"/>
    <x v="517"/>
    <x v="3"/>
    <x v="3"/>
    <x v="0"/>
    <n v="7.0906490400782971"/>
    <b v="0"/>
    <s v="MD_14"/>
    <x v="1"/>
  </r>
  <r>
    <x v="912"/>
    <x v="255"/>
    <x v="3"/>
    <x v="3"/>
    <x v="0"/>
    <n v="6.1191956843130892"/>
    <b v="0"/>
    <s v="MD_03"/>
    <x v="1"/>
  </r>
  <r>
    <x v="913"/>
    <x v="496"/>
    <x v="1"/>
    <x v="3"/>
    <x v="0"/>
    <n v="5.7200963961675368"/>
    <b v="0"/>
    <s v="MD_20"/>
    <x v="1"/>
  </r>
  <r>
    <x v="914"/>
    <x v="527"/>
    <x v="2"/>
    <x v="0"/>
    <x v="1"/>
    <n v="12.5773469388031"/>
    <b v="0"/>
    <s v="MD_09"/>
    <x v="0"/>
  </r>
  <r>
    <x v="915"/>
    <x v="376"/>
    <x v="0"/>
    <x v="3"/>
    <x v="1"/>
    <n v="32.595784188187565"/>
    <b v="0"/>
    <s v="MD_13"/>
    <x v="0"/>
  </r>
  <r>
    <x v="916"/>
    <x v="528"/>
    <x v="3"/>
    <x v="4"/>
    <x v="0"/>
    <n v="6.423626253679048"/>
    <b v="0"/>
    <s v="MD_20"/>
    <x v="1"/>
  </r>
  <r>
    <x v="917"/>
    <x v="13"/>
    <x v="1"/>
    <x v="0"/>
    <x v="1"/>
    <n v="8.6692645384632172"/>
    <b v="0"/>
    <s v="MD_11"/>
    <x v="2"/>
  </r>
  <r>
    <x v="918"/>
    <x v="529"/>
    <x v="0"/>
    <x v="1"/>
    <x v="0"/>
    <n v="8.8428948222286596"/>
    <b v="0"/>
    <s v="MD_18"/>
    <x v="1"/>
  </r>
  <r>
    <x v="919"/>
    <x v="530"/>
    <x v="3"/>
    <x v="2"/>
    <x v="1"/>
    <n v="1.1964040023297411"/>
    <b v="1"/>
    <s v="MD_12"/>
    <x v="1"/>
  </r>
  <r>
    <x v="920"/>
    <x v="531"/>
    <x v="1"/>
    <x v="4"/>
    <x v="0"/>
    <n v="4.9990048936822875"/>
    <b v="0"/>
    <s v="MD_02"/>
    <x v="1"/>
  </r>
  <r>
    <x v="921"/>
    <x v="532"/>
    <x v="1"/>
    <x v="4"/>
    <x v="0"/>
    <n v="7.2732027807253417"/>
    <b v="0"/>
    <s v="MD_11"/>
    <x v="1"/>
  </r>
  <r>
    <x v="922"/>
    <x v="318"/>
    <x v="2"/>
    <x v="3"/>
    <x v="0"/>
    <n v="5.3002157881914993"/>
    <b v="0"/>
    <s v="MD_05"/>
    <x v="1"/>
  </r>
  <r>
    <x v="923"/>
    <x v="69"/>
    <x v="0"/>
    <x v="2"/>
    <x v="1"/>
    <n v="22.002471493307439"/>
    <b v="0"/>
    <s v="MD_13"/>
    <x v="0"/>
  </r>
  <r>
    <x v="924"/>
    <x v="245"/>
    <x v="2"/>
    <x v="0"/>
    <x v="0"/>
    <n v="6.4104367762193624"/>
    <b v="0"/>
    <s v="MD_12"/>
    <x v="1"/>
  </r>
  <r>
    <x v="925"/>
    <x v="380"/>
    <x v="0"/>
    <x v="3"/>
    <x v="0"/>
    <n v="11.547839801996126"/>
    <b v="0"/>
    <s v="MD_20"/>
    <x v="1"/>
  </r>
  <r>
    <x v="926"/>
    <x v="533"/>
    <x v="1"/>
    <x v="0"/>
    <x v="1"/>
    <n v="21.034785781289337"/>
    <b v="0"/>
    <s v="MD_14"/>
    <x v="0"/>
  </r>
  <r>
    <x v="927"/>
    <x v="168"/>
    <x v="1"/>
    <x v="1"/>
    <x v="1"/>
    <n v="24.882626139455098"/>
    <b v="0"/>
    <s v="MD_18"/>
    <x v="0"/>
  </r>
  <r>
    <x v="928"/>
    <x v="159"/>
    <x v="0"/>
    <x v="1"/>
    <x v="0"/>
    <n v="4.2598162956300492"/>
    <b v="0"/>
    <s v="MD_18"/>
    <x v="1"/>
  </r>
  <r>
    <x v="929"/>
    <x v="375"/>
    <x v="2"/>
    <x v="2"/>
    <x v="0"/>
    <n v="26.992299506219162"/>
    <b v="0"/>
    <s v="MD_17"/>
    <x v="0"/>
  </r>
  <r>
    <x v="930"/>
    <x v="81"/>
    <x v="3"/>
    <x v="4"/>
    <x v="0"/>
    <n v="13.305932099142224"/>
    <b v="0"/>
    <s v="MD_05"/>
    <x v="0"/>
  </r>
  <r>
    <x v="931"/>
    <x v="151"/>
    <x v="2"/>
    <x v="0"/>
    <x v="0"/>
    <n v="5.1616344566703338"/>
    <b v="0"/>
    <s v="MD_18"/>
    <x v="1"/>
  </r>
  <r>
    <x v="932"/>
    <x v="361"/>
    <x v="1"/>
    <x v="0"/>
    <x v="0"/>
    <n v="8.2817285635361362"/>
    <b v="0"/>
    <s v="MD_18"/>
    <x v="1"/>
  </r>
  <r>
    <x v="933"/>
    <x v="111"/>
    <x v="1"/>
    <x v="3"/>
    <x v="0"/>
    <n v="9.3577180312025767"/>
    <b v="0"/>
    <s v="MD_14"/>
    <x v="1"/>
  </r>
  <r>
    <x v="934"/>
    <x v="40"/>
    <x v="2"/>
    <x v="1"/>
    <x v="0"/>
    <n v="5.6783187782502367"/>
    <b v="0"/>
    <s v="MD_02"/>
    <x v="1"/>
  </r>
  <r>
    <x v="935"/>
    <x v="403"/>
    <x v="1"/>
    <x v="3"/>
    <x v="1"/>
    <n v="18.327334593399758"/>
    <b v="1"/>
    <s v="MD_18"/>
    <x v="0"/>
  </r>
  <r>
    <x v="936"/>
    <x v="168"/>
    <x v="2"/>
    <x v="1"/>
    <x v="1"/>
    <n v="15.417601168684342"/>
    <b v="0"/>
    <s v="MD_04"/>
    <x v="0"/>
  </r>
  <r>
    <x v="937"/>
    <x v="195"/>
    <x v="3"/>
    <x v="2"/>
    <x v="0"/>
    <n v="6.6852548339800189"/>
    <b v="0"/>
    <s v="MD_07"/>
    <x v="1"/>
  </r>
  <r>
    <x v="938"/>
    <x v="534"/>
    <x v="3"/>
    <x v="4"/>
    <x v="0"/>
    <n v="6.1888016080088111"/>
    <b v="0"/>
    <s v="MD_16"/>
    <x v="1"/>
  </r>
  <r>
    <x v="939"/>
    <x v="131"/>
    <x v="0"/>
    <x v="2"/>
    <x v="0"/>
    <n v="34.270687386813776"/>
    <b v="0"/>
    <s v="MD_08"/>
    <x v="0"/>
  </r>
  <r>
    <x v="940"/>
    <x v="232"/>
    <x v="0"/>
    <x v="2"/>
    <x v="1"/>
    <n v="29.176740149350941"/>
    <b v="0"/>
    <s v="MD_19"/>
    <x v="0"/>
  </r>
  <r>
    <x v="941"/>
    <x v="535"/>
    <x v="1"/>
    <x v="3"/>
    <x v="0"/>
    <n v="35.488759529615635"/>
    <b v="0"/>
    <s v="MD_02"/>
    <x v="0"/>
  </r>
  <r>
    <x v="942"/>
    <x v="6"/>
    <x v="2"/>
    <x v="3"/>
    <x v="1"/>
    <n v="34.72694989719318"/>
    <b v="0"/>
    <s v="MD_19"/>
    <x v="0"/>
  </r>
  <r>
    <x v="943"/>
    <x v="252"/>
    <x v="0"/>
    <x v="0"/>
    <x v="0"/>
    <n v="5.6927024867188516"/>
    <b v="0"/>
    <s v="MD_03"/>
    <x v="1"/>
  </r>
  <r>
    <x v="944"/>
    <x v="355"/>
    <x v="1"/>
    <x v="2"/>
    <x v="0"/>
    <n v="4.716287914861284"/>
    <b v="0"/>
    <s v="MD_15"/>
    <x v="1"/>
  </r>
  <r>
    <x v="945"/>
    <x v="479"/>
    <x v="2"/>
    <x v="4"/>
    <x v="1"/>
    <n v="6.9196819696677476"/>
    <b v="0"/>
    <s v="MD_03"/>
    <x v="1"/>
  </r>
  <r>
    <x v="946"/>
    <x v="193"/>
    <x v="0"/>
    <x v="2"/>
    <x v="1"/>
    <n v="24.256299525076216"/>
    <b v="0"/>
    <s v="MD_13"/>
    <x v="0"/>
  </r>
  <r>
    <x v="947"/>
    <x v="219"/>
    <x v="3"/>
    <x v="4"/>
    <x v="0"/>
    <n v="6.1750954258734314"/>
    <b v="0"/>
    <s v="MD_16"/>
    <x v="1"/>
  </r>
  <r>
    <x v="948"/>
    <x v="536"/>
    <x v="0"/>
    <x v="4"/>
    <x v="0"/>
    <n v="4.2765389088493837"/>
    <b v="0"/>
    <s v="MD_20"/>
    <x v="1"/>
  </r>
  <r>
    <x v="949"/>
    <x v="92"/>
    <x v="1"/>
    <x v="4"/>
    <x v="0"/>
    <n v="21.154195395507458"/>
    <b v="0"/>
    <s v="MD_18"/>
    <x v="0"/>
  </r>
  <r>
    <x v="950"/>
    <x v="321"/>
    <x v="2"/>
    <x v="1"/>
    <x v="0"/>
    <n v="6.2729346133313122"/>
    <b v="0"/>
    <s v="MD_10"/>
    <x v="1"/>
  </r>
  <r>
    <x v="951"/>
    <x v="167"/>
    <x v="0"/>
    <x v="4"/>
    <x v="0"/>
    <n v="33.340018973020257"/>
    <b v="0"/>
    <s v="MD_18"/>
    <x v="0"/>
  </r>
  <r>
    <x v="952"/>
    <x v="340"/>
    <x v="2"/>
    <x v="2"/>
    <x v="0"/>
    <n v="6.2639942897624294"/>
    <b v="0"/>
    <s v="MD_13"/>
    <x v="1"/>
  </r>
  <r>
    <x v="953"/>
    <x v="260"/>
    <x v="0"/>
    <x v="4"/>
    <x v="1"/>
    <n v="14.861262661584147"/>
    <b v="0"/>
    <s v="MD_08"/>
    <x v="0"/>
  </r>
  <r>
    <x v="954"/>
    <x v="4"/>
    <x v="0"/>
    <x v="3"/>
    <x v="0"/>
    <n v="5.4569291088612637"/>
    <b v="0"/>
    <s v="MD_01"/>
    <x v="1"/>
  </r>
  <r>
    <x v="955"/>
    <x v="537"/>
    <x v="2"/>
    <x v="0"/>
    <x v="0"/>
    <n v="4.8517943632424458"/>
    <b v="0"/>
    <s v="MD_18"/>
    <x v="1"/>
  </r>
  <r>
    <x v="956"/>
    <x v="452"/>
    <x v="0"/>
    <x v="3"/>
    <x v="0"/>
    <n v="0.60895140305011175"/>
    <b v="0"/>
    <s v="MD_12"/>
    <x v="2"/>
  </r>
  <r>
    <x v="957"/>
    <x v="12"/>
    <x v="3"/>
    <x v="1"/>
    <x v="0"/>
    <n v="6.9097317145278332"/>
    <b v="0"/>
    <s v="MD_12"/>
    <x v="2"/>
  </r>
  <r>
    <x v="958"/>
    <x v="428"/>
    <x v="2"/>
    <x v="0"/>
    <x v="1"/>
    <n v="32.744410028151435"/>
    <b v="0"/>
    <s v="MD_05"/>
    <x v="0"/>
  </r>
  <r>
    <x v="959"/>
    <x v="351"/>
    <x v="3"/>
    <x v="3"/>
    <x v="1"/>
    <n v="5.3187770248455131"/>
    <b v="0"/>
    <s v="MD_05"/>
    <x v="1"/>
  </r>
  <r>
    <x v="960"/>
    <x v="531"/>
    <x v="2"/>
    <x v="3"/>
    <x v="0"/>
    <n v="3.5787517982176342"/>
    <b v="0"/>
    <s v="MD_20"/>
    <x v="1"/>
  </r>
  <r>
    <x v="961"/>
    <x v="442"/>
    <x v="3"/>
    <x v="2"/>
    <x v="0"/>
    <n v="5.3889329956524712"/>
    <b v="0"/>
    <s v="MD_12"/>
    <x v="1"/>
  </r>
  <r>
    <x v="962"/>
    <x v="78"/>
    <x v="0"/>
    <x v="0"/>
    <x v="0"/>
    <n v="6.8940044840371169"/>
    <b v="0"/>
    <s v="MD_18"/>
    <x v="1"/>
  </r>
  <r>
    <x v="963"/>
    <x v="132"/>
    <x v="1"/>
    <x v="3"/>
    <x v="0"/>
    <n v="11.278675800967942"/>
    <b v="0"/>
    <s v="MD_01"/>
    <x v="1"/>
  </r>
  <r>
    <x v="964"/>
    <x v="272"/>
    <x v="2"/>
    <x v="0"/>
    <x v="0"/>
    <n v="6.8993133373427193"/>
    <b v="0"/>
    <s v="MD_12"/>
    <x v="1"/>
  </r>
  <r>
    <x v="965"/>
    <x v="3"/>
    <x v="0"/>
    <x v="4"/>
    <x v="0"/>
    <n v="7.6282089715243515"/>
    <b v="0"/>
    <s v="MD_12"/>
    <x v="1"/>
  </r>
  <r>
    <x v="966"/>
    <x v="106"/>
    <x v="2"/>
    <x v="1"/>
    <x v="0"/>
    <n v="3.8470545482076646"/>
    <b v="0"/>
    <s v="MD_04"/>
    <x v="1"/>
  </r>
  <r>
    <x v="967"/>
    <x v="18"/>
    <x v="0"/>
    <x v="1"/>
    <x v="1"/>
    <n v="26.664604584408277"/>
    <b v="1"/>
    <s v="MD_19"/>
    <x v="0"/>
  </r>
  <r>
    <x v="968"/>
    <x v="538"/>
    <x v="3"/>
    <x v="3"/>
    <x v="1"/>
    <n v="6.543689629836889"/>
    <b v="0"/>
    <s v="MD_13"/>
    <x v="1"/>
  </r>
  <r>
    <x v="969"/>
    <x v="539"/>
    <x v="3"/>
    <x v="0"/>
    <x v="1"/>
    <n v="13.233877795954784"/>
    <b v="0"/>
    <s v="MD_17"/>
    <x v="0"/>
  </r>
  <r>
    <x v="970"/>
    <x v="540"/>
    <x v="0"/>
    <x v="1"/>
    <x v="0"/>
    <n v="13.900884629154751"/>
    <b v="0"/>
    <s v="MD_13"/>
    <x v="0"/>
  </r>
  <r>
    <x v="971"/>
    <x v="517"/>
    <x v="3"/>
    <x v="3"/>
    <x v="0"/>
    <n v="6.2343725257239448"/>
    <b v="0"/>
    <s v="MD_03"/>
    <x v="1"/>
  </r>
  <r>
    <x v="972"/>
    <x v="512"/>
    <x v="3"/>
    <x v="3"/>
    <x v="1"/>
    <n v="37.205557990298608"/>
    <b v="0"/>
    <s v="MD_02"/>
    <x v="0"/>
  </r>
  <r>
    <x v="973"/>
    <x v="219"/>
    <x v="2"/>
    <x v="3"/>
    <x v="0"/>
    <n v="7.4900585126024959"/>
    <b v="0"/>
    <s v="MD_08"/>
    <x v="1"/>
  </r>
  <r>
    <x v="974"/>
    <x v="195"/>
    <x v="0"/>
    <x v="2"/>
    <x v="1"/>
    <n v="7.1910147893819039"/>
    <b v="0"/>
    <s v="MD_14"/>
    <x v="1"/>
  </r>
  <r>
    <x v="975"/>
    <x v="541"/>
    <x v="3"/>
    <x v="1"/>
    <x v="0"/>
    <n v="24.818057732004579"/>
    <b v="0"/>
    <s v="MD_02"/>
    <x v="0"/>
  </r>
  <r>
    <x v="976"/>
    <x v="1"/>
    <x v="3"/>
    <x v="4"/>
    <x v="0"/>
    <n v="21.060626613035154"/>
    <b v="0"/>
    <s v="MD_05"/>
    <x v="0"/>
  </r>
  <r>
    <x v="977"/>
    <x v="235"/>
    <x v="0"/>
    <x v="0"/>
    <x v="0"/>
    <n v="6.4556933909565473"/>
    <b v="0"/>
    <s v="MD_13"/>
    <x v="1"/>
  </r>
  <r>
    <x v="978"/>
    <x v="542"/>
    <x v="3"/>
    <x v="3"/>
    <x v="1"/>
    <n v="4.2774079654792736"/>
    <b v="0"/>
    <s v="MD_18"/>
    <x v="1"/>
  </r>
  <r>
    <x v="979"/>
    <x v="543"/>
    <x v="1"/>
    <x v="1"/>
    <x v="0"/>
    <n v="8.1275560854881554"/>
    <b v="0"/>
    <s v="MD_20"/>
    <x v="1"/>
  </r>
  <r>
    <x v="980"/>
    <x v="248"/>
    <x v="1"/>
    <x v="4"/>
    <x v="0"/>
    <n v="29.720267618335235"/>
    <b v="0"/>
    <s v="MD_18"/>
    <x v="0"/>
  </r>
  <r>
    <x v="981"/>
    <x v="86"/>
    <x v="3"/>
    <x v="1"/>
    <x v="0"/>
    <n v="6.389204430790528"/>
    <b v="0"/>
    <s v="MD_09"/>
    <x v="0"/>
  </r>
  <r>
    <x v="982"/>
    <x v="544"/>
    <x v="0"/>
    <x v="4"/>
    <x v="1"/>
    <n v="36.485862967162618"/>
    <b v="0"/>
    <s v="MD_19"/>
    <x v="0"/>
  </r>
  <r>
    <x v="983"/>
    <x v="505"/>
    <x v="0"/>
    <x v="2"/>
    <x v="0"/>
    <n v="6.0318027913895405"/>
    <b v="0"/>
    <s v="MD_01"/>
    <x v="1"/>
  </r>
  <r>
    <x v="984"/>
    <x v="454"/>
    <x v="1"/>
    <x v="1"/>
    <x v="1"/>
    <n v="16.975525990702401"/>
    <b v="0"/>
    <s v="MD_10"/>
    <x v="0"/>
  </r>
  <r>
    <x v="985"/>
    <x v="545"/>
    <x v="0"/>
    <x v="1"/>
    <x v="0"/>
    <n v="7.5811184726474892"/>
    <b v="0"/>
    <s v="MD_14"/>
    <x v="1"/>
  </r>
  <r>
    <x v="986"/>
    <x v="546"/>
    <x v="2"/>
    <x v="0"/>
    <x v="0"/>
    <n v="29.078947839545304"/>
    <b v="0"/>
    <s v="MD_12"/>
    <x v="0"/>
  </r>
  <r>
    <x v="987"/>
    <x v="547"/>
    <x v="0"/>
    <x v="3"/>
    <x v="0"/>
    <n v="4.5982506124764226"/>
    <b v="0"/>
    <s v="MD_11"/>
    <x v="1"/>
  </r>
  <r>
    <x v="988"/>
    <x v="417"/>
    <x v="3"/>
    <x v="1"/>
    <x v="1"/>
    <n v="20.341510406062696"/>
    <b v="0"/>
    <s v="MD_01"/>
    <x v="0"/>
  </r>
  <r>
    <x v="989"/>
    <x v="302"/>
    <x v="1"/>
    <x v="2"/>
    <x v="1"/>
    <n v="19.853848853585468"/>
    <b v="0"/>
    <s v="MD_15"/>
    <x v="0"/>
  </r>
  <r>
    <x v="990"/>
    <x v="417"/>
    <x v="0"/>
    <x v="2"/>
    <x v="1"/>
    <n v="31.8834020496143"/>
    <b v="0"/>
    <s v="MD_19"/>
    <x v="0"/>
  </r>
  <r>
    <x v="991"/>
    <x v="444"/>
    <x v="0"/>
    <x v="3"/>
    <x v="0"/>
    <n v="8.651369041184493"/>
    <b v="0"/>
    <s v="MD_16"/>
    <x v="1"/>
  </r>
  <r>
    <x v="992"/>
    <x v="291"/>
    <x v="1"/>
    <x v="2"/>
    <x v="0"/>
    <n v="7.2959435684084726"/>
    <b v="0"/>
    <s v="MD_06"/>
    <x v="1"/>
  </r>
  <r>
    <x v="993"/>
    <x v="474"/>
    <x v="3"/>
    <x v="2"/>
    <x v="0"/>
    <n v="4.7280099608650694"/>
    <b v="0"/>
    <s v="MD_19"/>
    <x v="1"/>
  </r>
  <r>
    <x v="994"/>
    <x v="548"/>
    <x v="0"/>
    <x v="3"/>
    <x v="1"/>
    <n v="31.768371815056387"/>
    <b v="0"/>
    <s v="MD_10"/>
    <x v="0"/>
  </r>
  <r>
    <x v="995"/>
    <x v="298"/>
    <x v="0"/>
    <x v="1"/>
    <x v="1"/>
    <n v="20.153388296019667"/>
    <b v="0"/>
    <s v="MD_07"/>
    <x v="0"/>
  </r>
  <r>
    <x v="996"/>
    <x v="145"/>
    <x v="2"/>
    <x v="4"/>
    <x v="1"/>
    <n v="19.342178057631497"/>
    <b v="0"/>
    <s v="MD_11"/>
    <x v="0"/>
  </r>
  <r>
    <x v="997"/>
    <x v="328"/>
    <x v="2"/>
    <x v="2"/>
    <x v="0"/>
    <n v="6.8690471467656806"/>
    <b v="0"/>
    <s v="MD_07"/>
    <x v="1"/>
  </r>
  <r>
    <x v="998"/>
    <x v="179"/>
    <x v="0"/>
    <x v="1"/>
    <x v="1"/>
    <n v="16.355060471818199"/>
    <b v="0"/>
    <s v="MD_07"/>
    <x v="0"/>
  </r>
  <r>
    <x v="999"/>
    <x v="31"/>
    <x v="3"/>
    <x v="2"/>
    <x v="1"/>
    <n v="30.521205210389937"/>
    <b v="0"/>
    <s v="MD_03"/>
    <x v="0"/>
  </r>
  <r>
    <x v="1000"/>
    <x v="65"/>
    <x v="3"/>
    <x v="0"/>
    <x v="1"/>
    <n v="26.854275487336174"/>
    <b v="0"/>
    <s v="MD_08"/>
    <x v="0"/>
  </r>
  <r>
    <x v="1001"/>
    <x v="274"/>
    <x v="2"/>
    <x v="1"/>
    <x v="1"/>
    <n v="30.467502588783098"/>
    <b v="0"/>
    <s v="MD_02"/>
    <x v="0"/>
  </r>
  <r>
    <x v="1002"/>
    <x v="390"/>
    <x v="3"/>
    <x v="1"/>
    <x v="1"/>
    <n v="29.684000783755781"/>
    <b v="0"/>
    <s v="MD_01"/>
    <x v="0"/>
  </r>
  <r>
    <x v="1003"/>
    <x v="549"/>
    <x v="2"/>
    <x v="0"/>
    <x v="1"/>
    <n v="3.0266134926242447"/>
    <b v="0"/>
    <s v="MD_14"/>
    <x v="1"/>
  </r>
  <r>
    <x v="1004"/>
    <x v="176"/>
    <x v="3"/>
    <x v="1"/>
    <x v="0"/>
    <n v="3.4192235687477979"/>
    <b v="0"/>
    <s v="MD_12"/>
    <x v="1"/>
  </r>
  <r>
    <x v="1005"/>
    <x v="325"/>
    <x v="3"/>
    <x v="4"/>
    <x v="1"/>
    <n v="0.75697939625460098"/>
    <b v="0"/>
    <s v="MD_19"/>
    <x v="1"/>
  </r>
  <r>
    <x v="1006"/>
    <x v="433"/>
    <x v="3"/>
    <x v="3"/>
    <x v="0"/>
    <n v="5.5859278555094916"/>
    <b v="0"/>
    <s v="MD_14"/>
    <x v="2"/>
  </r>
  <r>
    <x v="1007"/>
    <x v="235"/>
    <x v="0"/>
    <x v="3"/>
    <x v="0"/>
    <n v="18.894831154578014"/>
    <b v="0"/>
    <s v="MD_04"/>
    <x v="0"/>
  </r>
  <r>
    <x v="1008"/>
    <x v="307"/>
    <x v="2"/>
    <x v="2"/>
    <x v="0"/>
    <n v="1.3089118831990154"/>
    <b v="0"/>
    <s v="MD_18"/>
    <x v="1"/>
  </r>
  <r>
    <x v="1009"/>
    <x v="114"/>
    <x v="3"/>
    <x v="0"/>
    <x v="0"/>
    <n v="8.4527231893879957"/>
    <b v="0"/>
    <s v="MD_09"/>
    <x v="1"/>
  </r>
  <r>
    <x v="1010"/>
    <x v="457"/>
    <x v="2"/>
    <x v="0"/>
    <x v="0"/>
    <n v="5.9071240857741003"/>
    <b v="0"/>
    <s v="MD_03"/>
    <x v="2"/>
  </r>
  <r>
    <x v="1011"/>
    <x v="518"/>
    <x v="3"/>
    <x v="2"/>
    <x v="1"/>
    <n v="6.0534682740837473"/>
    <b v="0"/>
    <s v="MD_16"/>
    <x v="1"/>
  </r>
  <r>
    <x v="1012"/>
    <x v="474"/>
    <x v="2"/>
    <x v="3"/>
    <x v="0"/>
    <n v="4.3965372423994005"/>
    <b v="0"/>
    <s v="MD_12"/>
    <x v="1"/>
  </r>
  <r>
    <x v="1013"/>
    <x v="496"/>
    <x v="1"/>
    <x v="2"/>
    <x v="1"/>
    <n v="19.788222324882913"/>
    <b v="0"/>
    <s v="MD_16"/>
    <x v="0"/>
  </r>
  <r>
    <x v="1014"/>
    <x v="148"/>
    <x v="2"/>
    <x v="2"/>
    <x v="1"/>
    <n v="4.2686733068702427"/>
    <b v="0"/>
    <s v="MD_09"/>
    <x v="1"/>
  </r>
  <r>
    <x v="1015"/>
    <x v="255"/>
    <x v="2"/>
    <x v="3"/>
    <x v="0"/>
    <n v="7.8489862188937778"/>
    <b v="0"/>
    <s v="MD_13"/>
    <x v="1"/>
  </r>
  <r>
    <x v="1016"/>
    <x v="521"/>
    <x v="3"/>
    <x v="4"/>
    <x v="0"/>
    <n v="4.0628983673421093"/>
    <b v="0"/>
    <s v="MD_17"/>
    <x v="1"/>
  </r>
  <r>
    <x v="1017"/>
    <x v="247"/>
    <x v="0"/>
    <x v="0"/>
    <x v="0"/>
    <n v="20.525929528626293"/>
    <b v="0"/>
    <s v="MD_08"/>
    <x v="0"/>
  </r>
  <r>
    <x v="1018"/>
    <x v="550"/>
    <x v="2"/>
    <x v="0"/>
    <x v="1"/>
    <n v="31.337498256226098"/>
    <b v="0"/>
    <s v="MD_04"/>
    <x v="0"/>
  </r>
  <r>
    <x v="1019"/>
    <x v="522"/>
    <x v="1"/>
    <x v="0"/>
    <x v="0"/>
    <n v="6.5755984559886302"/>
    <b v="1"/>
    <s v="MD_19"/>
    <x v="1"/>
  </r>
  <r>
    <x v="1020"/>
    <x v="505"/>
    <x v="0"/>
    <x v="3"/>
    <x v="0"/>
    <n v="8.1149095863609197"/>
    <b v="0"/>
    <s v="MD_12"/>
    <x v="1"/>
  </r>
  <r>
    <x v="1021"/>
    <x v="334"/>
    <x v="0"/>
    <x v="0"/>
    <x v="1"/>
    <n v="11.183159928435066"/>
    <b v="0"/>
    <s v="MD_15"/>
    <x v="0"/>
  </r>
  <r>
    <x v="1022"/>
    <x v="551"/>
    <x v="2"/>
    <x v="1"/>
    <x v="1"/>
    <n v="5.0731924734058156"/>
    <b v="0"/>
    <s v="MD_06"/>
    <x v="1"/>
  </r>
  <r>
    <x v="1023"/>
    <x v="552"/>
    <x v="0"/>
    <x v="1"/>
    <x v="1"/>
    <n v="24.779690356432599"/>
    <b v="0"/>
    <s v="MD_05"/>
    <x v="0"/>
  </r>
  <r>
    <x v="1024"/>
    <x v="441"/>
    <x v="3"/>
    <x v="1"/>
    <x v="1"/>
    <n v="22.880584639716947"/>
    <b v="0"/>
    <s v="MD_04"/>
    <x v="0"/>
  </r>
  <r>
    <x v="1025"/>
    <x v="379"/>
    <x v="0"/>
    <x v="1"/>
    <x v="1"/>
    <n v="20.638558695069634"/>
    <b v="0"/>
    <s v="MD_09"/>
    <x v="0"/>
  </r>
  <r>
    <x v="1026"/>
    <x v="330"/>
    <x v="3"/>
    <x v="2"/>
    <x v="0"/>
    <n v="6.2280170413300997"/>
    <b v="0"/>
    <s v="MD_10"/>
    <x v="2"/>
  </r>
  <r>
    <x v="1027"/>
    <x v="368"/>
    <x v="1"/>
    <x v="3"/>
    <x v="0"/>
    <n v="5.5051373611219283"/>
    <b v="0"/>
    <s v="MD_05"/>
    <x v="1"/>
  </r>
  <r>
    <x v="1028"/>
    <x v="405"/>
    <x v="0"/>
    <x v="0"/>
    <x v="0"/>
    <n v="30.671065574343977"/>
    <b v="0"/>
    <s v="MD_16"/>
    <x v="0"/>
  </r>
  <r>
    <x v="1029"/>
    <x v="253"/>
    <x v="0"/>
    <x v="1"/>
    <x v="0"/>
    <n v="30.569387351321637"/>
    <b v="0"/>
    <s v="MD_20"/>
    <x v="0"/>
  </r>
  <r>
    <x v="1030"/>
    <x v="522"/>
    <x v="0"/>
    <x v="1"/>
    <x v="0"/>
    <n v="8.758761383817264"/>
    <b v="0"/>
    <s v="MD_12"/>
    <x v="1"/>
  </r>
  <r>
    <x v="1031"/>
    <x v="553"/>
    <x v="0"/>
    <x v="1"/>
    <x v="1"/>
    <n v="33.727080658070719"/>
    <b v="1"/>
    <s v="MD_19"/>
    <x v="0"/>
  </r>
  <r>
    <x v="1032"/>
    <x v="356"/>
    <x v="3"/>
    <x v="1"/>
    <x v="0"/>
    <n v="16.291378582517886"/>
    <b v="0"/>
    <s v="MD_20"/>
    <x v="0"/>
  </r>
  <r>
    <x v="1033"/>
    <x v="50"/>
    <x v="2"/>
    <x v="4"/>
    <x v="0"/>
    <n v="8.9006984553194872"/>
    <b v="0"/>
    <s v="MD_17"/>
    <x v="2"/>
  </r>
  <r>
    <x v="1034"/>
    <x v="131"/>
    <x v="2"/>
    <x v="1"/>
    <x v="0"/>
    <n v="-0.78624322655209333"/>
    <b v="0"/>
    <s v="MD_02"/>
    <x v="1"/>
  </r>
  <r>
    <x v="1035"/>
    <x v="438"/>
    <x v="0"/>
    <x v="4"/>
    <x v="0"/>
    <n v="6.575628181075313"/>
    <b v="0"/>
    <s v="MD_20"/>
    <x v="1"/>
  </r>
  <r>
    <x v="1036"/>
    <x v="248"/>
    <x v="0"/>
    <x v="0"/>
    <x v="0"/>
    <n v="7.4471231300079177"/>
    <b v="0"/>
    <s v="MD_05"/>
    <x v="1"/>
  </r>
  <r>
    <x v="1037"/>
    <x v="17"/>
    <x v="0"/>
    <x v="0"/>
    <x v="0"/>
    <n v="16.059959207750694"/>
    <b v="0"/>
    <s v="MD_04"/>
    <x v="0"/>
  </r>
  <r>
    <x v="1038"/>
    <x v="163"/>
    <x v="3"/>
    <x v="1"/>
    <x v="0"/>
    <n v="10.013330824691984"/>
    <b v="0"/>
    <s v="MD_07"/>
    <x v="1"/>
  </r>
  <r>
    <x v="1039"/>
    <x v="42"/>
    <x v="3"/>
    <x v="3"/>
    <x v="0"/>
    <n v="7.7685680936968495"/>
    <b v="0"/>
    <s v="MD_15"/>
    <x v="1"/>
  </r>
  <r>
    <x v="1040"/>
    <x v="171"/>
    <x v="0"/>
    <x v="2"/>
    <x v="0"/>
    <n v="4.4992851747569294"/>
    <b v="0"/>
    <s v="MD_12"/>
    <x v="1"/>
  </r>
  <r>
    <x v="1041"/>
    <x v="331"/>
    <x v="1"/>
    <x v="4"/>
    <x v="1"/>
    <n v="24.522289261626469"/>
    <b v="0"/>
    <s v="MD_10"/>
    <x v="0"/>
  </r>
  <r>
    <x v="1042"/>
    <x v="510"/>
    <x v="3"/>
    <x v="2"/>
    <x v="0"/>
    <n v="8.2924883188202738"/>
    <b v="0"/>
    <s v="MD_18"/>
    <x v="1"/>
  </r>
  <r>
    <x v="1043"/>
    <x v="554"/>
    <x v="1"/>
    <x v="4"/>
    <x v="1"/>
    <n v="13.55481421819414"/>
    <b v="0"/>
    <s v="MD_12"/>
    <x v="0"/>
  </r>
  <r>
    <x v="1044"/>
    <x v="555"/>
    <x v="1"/>
    <x v="1"/>
    <x v="1"/>
    <n v="9.8144751709108817"/>
    <b v="0"/>
    <s v="MD_01"/>
    <x v="1"/>
  </r>
  <r>
    <x v="1045"/>
    <x v="415"/>
    <x v="3"/>
    <x v="3"/>
    <x v="0"/>
    <n v="7.4822533264387552"/>
    <b v="0"/>
    <s v="MD_08"/>
    <x v="2"/>
  </r>
  <r>
    <x v="1046"/>
    <x v="96"/>
    <x v="2"/>
    <x v="1"/>
    <x v="0"/>
    <n v="28.416018114285556"/>
    <b v="0"/>
    <s v="MD_04"/>
    <x v="0"/>
  </r>
  <r>
    <x v="1047"/>
    <x v="2"/>
    <x v="2"/>
    <x v="0"/>
    <x v="0"/>
    <n v="6.0177978504986038"/>
    <b v="0"/>
    <s v="MD_17"/>
    <x v="1"/>
  </r>
  <r>
    <x v="1048"/>
    <x v="323"/>
    <x v="0"/>
    <x v="0"/>
    <x v="0"/>
    <n v="6.9387958844532234"/>
    <b v="0"/>
    <s v="MD_07"/>
    <x v="1"/>
  </r>
  <r>
    <x v="1049"/>
    <x v="55"/>
    <x v="1"/>
    <x v="4"/>
    <x v="0"/>
    <n v="6.1798710750283758"/>
    <b v="0"/>
    <s v="MD_04"/>
    <x v="1"/>
  </r>
  <r>
    <x v="1050"/>
    <x v="486"/>
    <x v="3"/>
    <x v="3"/>
    <x v="1"/>
    <n v="23.765985992109957"/>
    <b v="0"/>
    <s v="MD_19"/>
    <x v="0"/>
  </r>
  <r>
    <x v="1051"/>
    <x v="390"/>
    <x v="3"/>
    <x v="1"/>
    <x v="1"/>
    <n v="25.364291637829137"/>
    <b v="0"/>
    <s v="MD_14"/>
    <x v="0"/>
  </r>
  <r>
    <x v="1052"/>
    <x v="178"/>
    <x v="1"/>
    <x v="2"/>
    <x v="0"/>
    <n v="7.4050862316768047"/>
    <b v="0"/>
    <s v="MD_05"/>
    <x v="1"/>
  </r>
  <r>
    <x v="1053"/>
    <x v="346"/>
    <x v="0"/>
    <x v="4"/>
    <x v="0"/>
    <n v="10.374350444542195"/>
    <b v="0"/>
    <s v="MD_11"/>
    <x v="1"/>
  </r>
  <r>
    <x v="1054"/>
    <x v="345"/>
    <x v="1"/>
    <x v="2"/>
    <x v="0"/>
    <n v="5.6281060518945969"/>
    <b v="0"/>
    <s v="MD_15"/>
    <x v="1"/>
  </r>
  <r>
    <x v="1055"/>
    <x v="253"/>
    <x v="0"/>
    <x v="2"/>
    <x v="1"/>
    <n v="28.348567659736993"/>
    <b v="0"/>
    <s v="MD_12"/>
    <x v="0"/>
  </r>
  <r>
    <x v="1056"/>
    <x v="241"/>
    <x v="1"/>
    <x v="2"/>
    <x v="0"/>
    <n v="5.6623944804180502"/>
    <b v="0"/>
    <s v="MD_01"/>
    <x v="1"/>
  </r>
  <r>
    <x v="1057"/>
    <x v="347"/>
    <x v="3"/>
    <x v="2"/>
    <x v="0"/>
    <n v="2.0246352547414621"/>
    <b v="0"/>
    <s v="MD_08"/>
    <x v="1"/>
  </r>
  <r>
    <x v="1058"/>
    <x v="509"/>
    <x v="2"/>
    <x v="2"/>
    <x v="1"/>
    <n v="8.7822567688435118"/>
    <b v="0"/>
    <s v="MD_15"/>
    <x v="1"/>
  </r>
  <r>
    <x v="1059"/>
    <x v="352"/>
    <x v="3"/>
    <x v="1"/>
    <x v="0"/>
    <n v="5.2787387305208906"/>
    <b v="0"/>
    <s v="MD_08"/>
    <x v="1"/>
  </r>
  <r>
    <x v="1060"/>
    <x v="507"/>
    <x v="3"/>
    <x v="4"/>
    <x v="1"/>
    <n v="16.965473190102195"/>
    <b v="0"/>
    <s v="MD_13"/>
    <x v="0"/>
  </r>
  <r>
    <x v="1061"/>
    <x v="556"/>
    <x v="1"/>
    <x v="0"/>
    <x v="0"/>
    <n v="9.2895929144317666"/>
    <b v="0"/>
    <s v="MD_14"/>
    <x v="1"/>
  </r>
  <r>
    <x v="1062"/>
    <x v="414"/>
    <x v="3"/>
    <x v="3"/>
    <x v="1"/>
    <n v="23.12587762935123"/>
    <b v="0"/>
    <s v="MD_01"/>
    <x v="0"/>
  </r>
  <r>
    <x v="1063"/>
    <x v="206"/>
    <x v="1"/>
    <x v="2"/>
    <x v="0"/>
    <n v="6.8116852162700585"/>
    <b v="0"/>
    <s v="MD_15"/>
    <x v="1"/>
  </r>
  <r>
    <x v="1064"/>
    <x v="248"/>
    <x v="2"/>
    <x v="1"/>
    <x v="1"/>
    <n v="3.5576532943425478"/>
    <b v="0"/>
    <s v="MD_17"/>
    <x v="1"/>
  </r>
  <r>
    <x v="1065"/>
    <x v="8"/>
    <x v="1"/>
    <x v="3"/>
    <x v="0"/>
    <n v="38.484387840753179"/>
    <b v="0"/>
    <s v="MD_09"/>
    <x v="0"/>
  </r>
  <r>
    <x v="1066"/>
    <x v="160"/>
    <x v="0"/>
    <x v="4"/>
    <x v="1"/>
    <n v="19.163643947142258"/>
    <b v="0"/>
    <s v="MD_20"/>
    <x v="0"/>
  </r>
  <r>
    <x v="1067"/>
    <x v="557"/>
    <x v="3"/>
    <x v="3"/>
    <x v="0"/>
    <n v="6.3232478188003647"/>
    <b v="0"/>
    <s v="MD_06"/>
    <x v="1"/>
  </r>
  <r>
    <x v="1068"/>
    <x v="558"/>
    <x v="3"/>
    <x v="2"/>
    <x v="0"/>
    <n v="6.7931823660622292"/>
    <b v="0"/>
    <s v="MD_17"/>
    <x v="2"/>
  </r>
  <r>
    <x v="1069"/>
    <x v="16"/>
    <x v="0"/>
    <x v="1"/>
    <x v="0"/>
    <n v="5.3201693603484168"/>
    <b v="0"/>
    <s v="MD_12"/>
    <x v="1"/>
  </r>
  <r>
    <x v="1070"/>
    <x v="167"/>
    <x v="2"/>
    <x v="2"/>
    <x v="0"/>
    <n v="30.85446240418295"/>
    <b v="0"/>
    <s v="MD_06"/>
    <x v="0"/>
  </r>
  <r>
    <x v="1071"/>
    <x v="244"/>
    <x v="0"/>
    <x v="3"/>
    <x v="0"/>
    <n v="5.3197972113630509"/>
    <b v="0"/>
    <s v="MD_02"/>
    <x v="1"/>
  </r>
  <r>
    <x v="1072"/>
    <x v="486"/>
    <x v="0"/>
    <x v="0"/>
    <x v="1"/>
    <n v="16.735158114225527"/>
    <b v="0"/>
    <s v="MD_02"/>
    <x v="0"/>
  </r>
  <r>
    <x v="1073"/>
    <x v="257"/>
    <x v="3"/>
    <x v="2"/>
    <x v="0"/>
    <n v="5.3208867153031649"/>
    <b v="0"/>
    <s v="MD_10"/>
    <x v="2"/>
  </r>
  <r>
    <x v="1074"/>
    <x v="511"/>
    <x v="2"/>
    <x v="4"/>
    <x v="0"/>
    <n v="4.5162119528899405"/>
    <b v="0"/>
    <s v="MD_19"/>
    <x v="1"/>
  </r>
  <r>
    <x v="1075"/>
    <x v="559"/>
    <x v="3"/>
    <x v="4"/>
    <x v="0"/>
    <n v="8.3185510006804737"/>
    <b v="0"/>
    <s v="MD_18"/>
    <x v="1"/>
  </r>
  <r>
    <x v="1076"/>
    <x v="111"/>
    <x v="1"/>
    <x v="1"/>
    <x v="0"/>
    <n v="20.138276115906486"/>
    <b v="0"/>
    <s v="MD_20"/>
    <x v="0"/>
  </r>
  <r>
    <x v="1077"/>
    <x v="186"/>
    <x v="3"/>
    <x v="2"/>
    <x v="0"/>
    <n v="6.3082640086741506"/>
    <b v="0"/>
    <s v="MD_07"/>
    <x v="1"/>
  </r>
  <r>
    <x v="1078"/>
    <x v="399"/>
    <x v="1"/>
    <x v="0"/>
    <x v="1"/>
    <n v="9.6507003954649218"/>
    <b v="0"/>
    <s v="MD_09"/>
    <x v="0"/>
  </r>
  <r>
    <x v="1079"/>
    <x v="309"/>
    <x v="2"/>
    <x v="3"/>
    <x v="0"/>
    <n v="7.5961065882438286"/>
    <b v="0"/>
    <s v="MD_01"/>
    <x v="2"/>
  </r>
  <r>
    <x v="1080"/>
    <x v="560"/>
    <x v="3"/>
    <x v="1"/>
    <x v="0"/>
    <n v="7.8379988936231406"/>
    <b v="0"/>
    <s v="MD_20"/>
    <x v="1"/>
  </r>
  <r>
    <x v="1081"/>
    <x v="558"/>
    <x v="1"/>
    <x v="3"/>
    <x v="0"/>
    <n v="27.476764976618984"/>
    <b v="0"/>
    <s v="MD_11"/>
    <x v="0"/>
  </r>
  <r>
    <x v="1082"/>
    <x v="167"/>
    <x v="3"/>
    <x v="2"/>
    <x v="1"/>
    <n v="7.8003135936720085"/>
    <b v="0"/>
    <s v="MD_16"/>
    <x v="1"/>
  </r>
  <r>
    <x v="1083"/>
    <x v="302"/>
    <x v="1"/>
    <x v="3"/>
    <x v="1"/>
    <n v="14.771294848580022"/>
    <b v="0"/>
    <s v="MD_05"/>
    <x v="0"/>
  </r>
  <r>
    <x v="1084"/>
    <x v="561"/>
    <x v="0"/>
    <x v="3"/>
    <x v="0"/>
    <n v="26.026466373334934"/>
    <b v="0"/>
    <s v="MD_01"/>
    <x v="0"/>
  </r>
  <r>
    <x v="1085"/>
    <x v="562"/>
    <x v="0"/>
    <x v="2"/>
    <x v="0"/>
    <n v="8.9118346261380257"/>
    <b v="0"/>
    <s v="MD_14"/>
    <x v="1"/>
  </r>
  <r>
    <x v="1086"/>
    <x v="563"/>
    <x v="2"/>
    <x v="0"/>
    <x v="0"/>
    <n v="10.78695537648068"/>
    <b v="0"/>
    <s v="MD_12"/>
    <x v="1"/>
  </r>
  <r>
    <x v="1087"/>
    <x v="269"/>
    <x v="2"/>
    <x v="3"/>
    <x v="1"/>
    <n v="12.235217066290128"/>
    <b v="0"/>
    <s v="MD_02"/>
    <x v="0"/>
  </r>
  <r>
    <x v="1088"/>
    <x v="564"/>
    <x v="3"/>
    <x v="1"/>
    <x v="1"/>
    <n v="29.875854488892585"/>
    <b v="0"/>
    <s v="MD_01"/>
    <x v="0"/>
  </r>
  <r>
    <x v="1089"/>
    <x v="247"/>
    <x v="3"/>
    <x v="3"/>
    <x v="0"/>
    <n v="5.5294007908704605"/>
    <b v="0"/>
    <s v="MD_13"/>
    <x v="1"/>
  </r>
  <r>
    <x v="1090"/>
    <x v="391"/>
    <x v="2"/>
    <x v="4"/>
    <x v="0"/>
    <n v="31.657236781750942"/>
    <b v="0"/>
    <s v="MD_04"/>
    <x v="0"/>
  </r>
  <r>
    <x v="1091"/>
    <x v="565"/>
    <x v="2"/>
    <x v="0"/>
    <x v="1"/>
    <n v="29.618424124561855"/>
    <b v="0"/>
    <s v="MD_12"/>
    <x v="0"/>
  </r>
  <r>
    <x v="1092"/>
    <x v="207"/>
    <x v="2"/>
    <x v="0"/>
    <x v="0"/>
    <n v="7.7135249244239628"/>
    <b v="0"/>
    <s v="MD_20"/>
    <x v="1"/>
  </r>
  <r>
    <x v="1093"/>
    <x v="296"/>
    <x v="0"/>
    <x v="2"/>
    <x v="0"/>
    <n v="18.350992468826572"/>
    <b v="0"/>
    <s v="MD_04"/>
    <x v="0"/>
  </r>
  <r>
    <x v="1094"/>
    <x v="566"/>
    <x v="3"/>
    <x v="1"/>
    <x v="0"/>
    <n v="7.7841058903996405"/>
    <b v="0"/>
    <s v="MD_11"/>
    <x v="1"/>
  </r>
  <r>
    <x v="1095"/>
    <x v="567"/>
    <x v="2"/>
    <x v="3"/>
    <x v="1"/>
    <n v="27.642619557896609"/>
    <b v="0"/>
    <s v="MD_20"/>
    <x v="0"/>
  </r>
  <r>
    <x v="1096"/>
    <x v="100"/>
    <x v="3"/>
    <x v="3"/>
    <x v="1"/>
    <n v="13.824019899791011"/>
    <b v="0"/>
    <s v="MD_09"/>
    <x v="0"/>
  </r>
  <r>
    <x v="1097"/>
    <x v="221"/>
    <x v="1"/>
    <x v="3"/>
    <x v="1"/>
    <n v="48.566106967103806"/>
    <b v="0"/>
    <s v="MD_04"/>
    <x v="0"/>
  </r>
  <r>
    <x v="1098"/>
    <x v="236"/>
    <x v="1"/>
    <x v="2"/>
    <x v="1"/>
    <n v="42.830370798288037"/>
    <b v="0"/>
    <s v="MD_04"/>
    <x v="0"/>
  </r>
  <r>
    <x v="1099"/>
    <x v="436"/>
    <x v="2"/>
    <x v="2"/>
    <x v="0"/>
    <n v="4.4668790337798967"/>
    <b v="0"/>
    <s v="MD_07"/>
    <x v="1"/>
  </r>
  <r>
    <x v="1100"/>
    <x v="225"/>
    <x v="1"/>
    <x v="1"/>
    <x v="1"/>
    <n v="7.3519000753298265"/>
    <b v="0"/>
    <s v="MD_15"/>
    <x v="1"/>
  </r>
  <r>
    <x v="1101"/>
    <x v="488"/>
    <x v="0"/>
    <x v="3"/>
    <x v="1"/>
    <n v="8.0757890538808397"/>
    <b v="0"/>
    <s v="MD_15"/>
    <x v="1"/>
  </r>
  <r>
    <x v="1102"/>
    <x v="476"/>
    <x v="0"/>
    <x v="3"/>
    <x v="0"/>
    <n v="6.0418776230203486"/>
    <b v="0"/>
    <s v="MD_20"/>
    <x v="1"/>
  </r>
  <r>
    <x v="1103"/>
    <x v="227"/>
    <x v="3"/>
    <x v="4"/>
    <x v="1"/>
    <n v="21.642082339079618"/>
    <b v="0"/>
    <s v="MD_13"/>
    <x v="0"/>
  </r>
  <r>
    <x v="1104"/>
    <x v="9"/>
    <x v="0"/>
    <x v="1"/>
    <x v="0"/>
    <n v="4.8595926165942203"/>
    <b v="0"/>
    <s v="MD_11"/>
    <x v="1"/>
  </r>
  <r>
    <x v="1105"/>
    <x v="85"/>
    <x v="3"/>
    <x v="0"/>
    <x v="0"/>
    <n v="30.633745094867294"/>
    <b v="0"/>
    <s v="MD_05"/>
    <x v="0"/>
  </r>
  <r>
    <x v="1106"/>
    <x v="560"/>
    <x v="1"/>
    <x v="4"/>
    <x v="0"/>
    <n v="19.278539765960915"/>
    <b v="0"/>
    <s v="MD_05"/>
    <x v="0"/>
  </r>
  <r>
    <x v="1107"/>
    <x v="477"/>
    <x v="0"/>
    <x v="4"/>
    <x v="1"/>
    <n v="36.079094778961263"/>
    <b v="0"/>
    <s v="MD_02"/>
    <x v="0"/>
  </r>
  <r>
    <x v="1108"/>
    <x v="43"/>
    <x v="0"/>
    <x v="2"/>
    <x v="1"/>
    <n v="33.585948845543783"/>
    <b v="0"/>
    <s v="MD_03"/>
    <x v="0"/>
  </r>
  <r>
    <x v="1109"/>
    <x v="97"/>
    <x v="2"/>
    <x v="3"/>
    <x v="0"/>
    <n v="8.6351250878545009"/>
    <b v="0"/>
    <s v="MD_07"/>
    <x v="1"/>
  </r>
  <r>
    <x v="1110"/>
    <x v="529"/>
    <x v="0"/>
    <x v="1"/>
    <x v="1"/>
    <n v="5.7967621090789168"/>
    <b v="0"/>
    <s v="MD_18"/>
    <x v="1"/>
  </r>
  <r>
    <x v="1111"/>
    <x v="568"/>
    <x v="1"/>
    <x v="1"/>
    <x v="1"/>
    <n v="20.729455193280327"/>
    <b v="0"/>
    <s v="MD_20"/>
    <x v="0"/>
  </r>
  <r>
    <x v="1112"/>
    <x v="569"/>
    <x v="3"/>
    <x v="3"/>
    <x v="0"/>
    <n v="9.4172993241225473"/>
    <b v="0"/>
    <s v="MD_16"/>
    <x v="1"/>
  </r>
  <r>
    <x v="1113"/>
    <x v="570"/>
    <x v="0"/>
    <x v="3"/>
    <x v="0"/>
    <n v="3.548227144893116"/>
    <b v="0"/>
    <s v="MD_04"/>
    <x v="1"/>
  </r>
  <r>
    <x v="1114"/>
    <x v="333"/>
    <x v="2"/>
    <x v="3"/>
    <x v="0"/>
    <n v="5.1155481940131464"/>
    <b v="0"/>
    <s v="MD_09"/>
    <x v="1"/>
  </r>
  <r>
    <x v="1115"/>
    <x v="571"/>
    <x v="0"/>
    <x v="0"/>
    <x v="1"/>
    <n v="19.626585415011846"/>
    <b v="0"/>
    <s v="MD_19"/>
    <x v="0"/>
  </r>
  <r>
    <x v="1116"/>
    <x v="523"/>
    <x v="2"/>
    <x v="1"/>
    <x v="1"/>
    <n v="10.426990592880781"/>
    <b v="0"/>
    <s v="MD_01"/>
    <x v="1"/>
  </r>
  <r>
    <x v="1117"/>
    <x v="572"/>
    <x v="1"/>
    <x v="4"/>
    <x v="0"/>
    <n v="8.0980611735779249"/>
    <b v="0"/>
    <s v="MD_04"/>
    <x v="1"/>
  </r>
  <r>
    <x v="1118"/>
    <x v="469"/>
    <x v="2"/>
    <x v="1"/>
    <x v="0"/>
    <n v="7.2127365425858176"/>
    <b v="0"/>
    <s v="MD_05"/>
    <x v="2"/>
  </r>
  <r>
    <x v="1119"/>
    <x v="513"/>
    <x v="3"/>
    <x v="4"/>
    <x v="1"/>
    <n v="10.702753572962218"/>
    <b v="0"/>
    <s v="MD_04"/>
    <x v="1"/>
  </r>
  <r>
    <x v="1120"/>
    <x v="184"/>
    <x v="0"/>
    <x v="4"/>
    <x v="0"/>
    <n v="9.572678098624003"/>
    <b v="0"/>
    <s v="MD_03"/>
    <x v="1"/>
  </r>
  <r>
    <x v="1121"/>
    <x v="559"/>
    <x v="3"/>
    <x v="0"/>
    <x v="0"/>
    <n v="5.8500423778306629"/>
    <b v="0"/>
    <s v="MD_11"/>
    <x v="2"/>
  </r>
  <r>
    <x v="1122"/>
    <x v="385"/>
    <x v="1"/>
    <x v="0"/>
    <x v="0"/>
    <n v="4.3372338349659483"/>
    <b v="0"/>
    <s v="MD_16"/>
    <x v="1"/>
  </r>
  <r>
    <x v="1123"/>
    <x v="410"/>
    <x v="2"/>
    <x v="4"/>
    <x v="0"/>
    <n v="9.601948256658174"/>
    <b v="0"/>
    <s v="MD_02"/>
    <x v="1"/>
  </r>
  <r>
    <x v="1124"/>
    <x v="507"/>
    <x v="0"/>
    <x v="4"/>
    <x v="1"/>
    <n v="16.168826404928929"/>
    <b v="0"/>
    <s v="MD_15"/>
    <x v="0"/>
  </r>
  <r>
    <x v="1125"/>
    <x v="442"/>
    <x v="2"/>
    <x v="2"/>
    <x v="0"/>
    <n v="4.1307430760059649"/>
    <b v="0"/>
    <s v="MD_02"/>
    <x v="1"/>
  </r>
  <r>
    <x v="1126"/>
    <x v="573"/>
    <x v="2"/>
    <x v="0"/>
    <x v="1"/>
    <n v="18.207416358010192"/>
    <b v="0"/>
    <s v="MD_14"/>
    <x v="0"/>
  </r>
  <r>
    <x v="1127"/>
    <x v="389"/>
    <x v="1"/>
    <x v="4"/>
    <x v="0"/>
    <n v="2.6038992380901629"/>
    <b v="0"/>
    <s v="MD_01"/>
    <x v="2"/>
  </r>
  <r>
    <x v="1128"/>
    <x v="116"/>
    <x v="1"/>
    <x v="1"/>
    <x v="0"/>
    <n v="4.8275101347203169"/>
    <b v="0"/>
    <s v="MD_06"/>
    <x v="2"/>
  </r>
  <r>
    <x v="1129"/>
    <x v="164"/>
    <x v="3"/>
    <x v="3"/>
    <x v="0"/>
    <n v="10.269007631891514"/>
    <b v="0"/>
    <s v="MD_18"/>
    <x v="1"/>
  </r>
  <r>
    <x v="1130"/>
    <x v="270"/>
    <x v="2"/>
    <x v="4"/>
    <x v="0"/>
    <n v="3.383830417163519"/>
    <b v="0"/>
    <s v="MD_18"/>
    <x v="1"/>
  </r>
  <r>
    <x v="1131"/>
    <x v="78"/>
    <x v="2"/>
    <x v="2"/>
    <x v="0"/>
    <n v="25.611947764244217"/>
    <b v="0"/>
    <s v="MD_11"/>
    <x v="0"/>
  </r>
  <r>
    <x v="1132"/>
    <x v="325"/>
    <x v="3"/>
    <x v="4"/>
    <x v="0"/>
    <n v="5.5850919960249037"/>
    <b v="0"/>
    <s v="MD_16"/>
    <x v="1"/>
  </r>
  <r>
    <x v="1133"/>
    <x v="151"/>
    <x v="2"/>
    <x v="1"/>
    <x v="0"/>
    <n v="5.388118416508652"/>
    <b v="0"/>
    <s v="MD_01"/>
    <x v="1"/>
  </r>
  <r>
    <x v="1134"/>
    <x v="493"/>
    <x v="1"/>
    <x v="1"/>
    <x v="1"/>
    <n v="18.431907854404116"/>
    <b v="0"/>
    <s v="MD_03"/>
    <x v="0"/>
  </r>
  <r>
    <x v="1135"/>
    <x v="121"/>
    <x v="1"/>
    <x v="0"/>
    <x v="1"/>
    <n v="19.294807827978282"/>
    <b v="0"/>
    <s v="MD_05"/>
    <x v="0"/>
  </r>
  <r>
    <x v="1136"/>
    <x v="574"/>
    <x v="0"/>
    <x v="2"/>
    <x v="1"/>
    <n v="9.4727782837356411"/>
    <b v="0"/>
    <s v="MD_19"/>
    <x v="0"/>
  </r>
  <r>
    <x v="1137"/>
    <x v="575"/>
    <x v="1"/>
    <x v="4"/>
    <x v="0"/>
    <n v="8.2111916303300543"/>
    <b v="0"/>
    <s v="MD_05"/>
    <x v="1"/>
  </r>
  <r>
    <x v="1138"/>
    <x v="279"/>
    <x v="0"/>
    <x v="1"/>
    <x v="0"/>
    <n v="7.8420165749836812"/>
    <b v="0"/>
    <s v="MD_08"/>
    <x v="1"/>
  </r>
  <r>
    <x v="1139"/>
    <x v="157"/>
    <x v="2"/>
    <x v="4"/>
    <x v="0"/>
    <n v="8.606396074354695"/>
    <b v="0"/>
    <s v="MD_16"/>
    <x v="1"/>
  </r>
  <r>
    <x v="1140"/>
    <x v="576"/>
    <x v="1"/>
    <x v="3"/>
    <x v="0"/>
    <n v="5.2211400896029296"/>
    <b v="0"/>
    <s v="MD_01"/>
    <x v="1"/>
  </r>
  <r>
    <x v="1141"/>
    <x v="577"/>
    <x v="1"/>
    <x v="2"/>
    <x v="1"/>
    <n v="30.601679068863415"/>
    <b v="0"/>
    <s v="MD_14"/>
    <x v="0"/>
  </r>
  <r>
    <x v="1142"/>
    <x v="578"/>
    <x v="1"/>
    <x v="0"/>
    <x v="0"/>
    <n v="2.5445327085584069"/>
    <b v="0"/>
    <s v="MD_19"/>
    <x v="1"/>
  </r>
  <r>
    <x v="1143"/>
    <x v="395"/>
    <x v="2"/>
    <x v="1"/>
    <x v="0"/>
    <n v="7.0097884246838689"/>
    <b v="0"/>
    <s v="MD_07"/>
    <x v="1"/>
  </r>
  <r>
    <x v="1144"/>
    <x v="446"/>
    <x v="3"/>
    <x v="1"/>
    <x v="0"/>
    <n v="4.6864579165552334"/>
    <b v="0"/>
    <s v="MD_01"/>
    <x v="1"/>
  </r>
  <r>
    <x v="1145"/>
    <x v="579"/>
    <x v="3"/>
    <x v="2"/>
    <x v="1"/>
    <n v="7.1561986298706248"/>
    <b v="0"/>
    <s v="MD_18"/>
    <x v="2"/>
  </r>
  <r>
    <x v="1146"/>
    <x v="580"/>
    <x v="1"/>
    <x v="2"/>
    <x v="0"/>
    <n v="5.4445153068821712"/>
    <b v="0"/>
    <s v="MD_15"/>
    <x v="1"/>
  </r>
  <r>
    <x v="1147"/>
    <x v="350"/>
    <x v="3"/>
    <x v="2"/>
    <x v="0"/>
    <n v="7.6876072003246989"/>
    <b v="0"/>
    <s v="MD_19"/>
    <x v="1"/>
  </r>
  <r>
    <x v="1148"/>
    <x v="581"/>
    <x v="2"/>
    <x v="4"/>
    <x v="0"/>
    <n v="17.698010812640337"/>
    <b v="0"/>
    <s v="MD_03"/>
    <x v="0"/>
  </r>
  <r>
    <x v="1149"/>
    <x v="361"/>
    <x v="3"/>
    <x v="2"/>
    <x v="1"/>
    <n v="5.687240252019242"/>
    <b v="0"/>
    <s v="MD_11"/>
    <x v="1"/>
  </r>
  <r>
    <x v="1150"/>
    <x v="516"/>
    <x v="0"/>
    <x v="0"/>
    <x v="0"/>
    <n v="7.8931459080318636"/>
    <b v="0"/>
    <s v="MD_06"/>
    <x v="1"/>
  </r>
  <r>
    <x v="1151"/>
    <x v="412"/>
    <x v="1"/>
    <x v="3"/>
    <x v="1"/>
    <n v="7.4088784239017142"/>
    <b v="0"/>
    <s v="MD_02"/>
    <x v="1"/>
  </r>
  <r>
    <x v="1152"/>
    <x v="582"/>
    <x v="3"/>
    <x v="4"/>
    <x v="0"/>
    <n v="5.2281038034243288"/>
    <b v="0"/>
    <s v="MD_09"/>
    <x v="1"/>
  </r>
  <r>
    <x v="1153"/>
    <x v="210"/>
    <x v="0"/>
    <x v="3"/>
    <x v="0"/>
    <n v="44.275204949917594"/>
    <b v="0"/>
    <s v="MD_15"/>
    <x v="0"/>
  </r>
  <r>
    <x v="1154"/>
    <x v="457"/>
    <x v="0"/>
    <x v="4"/>
    <x v="0"/>
    <n v="6.9751863671740928"/>
    <b v="0"/>
    <s v="MD_13"/>
    <x v="1"/>
  </r>
  <r>
    <x v="1155"/>
    <x v="341"/>
    <x v="3"/>
    <x v="3"/>
    <x v="1"/>
    <n v="26.190862303920209"/>
    <b v="0"/>
    <s v="MD_14"/>
    <x v="0"/>
  </r>
  <r>
    <x v="1156"/>
    <x v="54"/>
    <x v="1"/>
    <x v="4"/>
    <x v="1"/>
    <n v="23.784985122486354"/>
    <b v="0"/>
    <s v="MD_15"/>
    <x v="0"/>
  </r>
  <r>
    <x v="1157"/>
    <x v="583"/>
    <x v="1"/>
    <x v="3"/>
    <x v="0"/>
    <n v="10.637806493745037"/>
    <b v="0"/>
    <s v="MD_15"/>
    <x v="1"/>
  </r>
  <r>
    <x v="1158"/>
    <x v="584"/>
    <x v="3"/>
    <x v="2"/>
    <x v="1"/>
    <n v="32.031052640370447"/>
    <b v="0"/>
    <s v="MD_17"/>
    <x v="0"/>
  </r>
  <r>
    <x v="1159"/>
    <x v="542"/>
    <x v="2"/>
    <x v="3"/>
    <x v="0"/>
    <n v="6.0777823362798724"/>
    <b v="0"/>
    <s v="MD_06"/>
    <x v="2"/>
  </r>
  <r>
    <x v="1160"/>
    <x v="13"/>
    <x v="2"/>
    <x v="3"/>
    <x v="0"/>
    <n v="30.711662278396808"/>
    <b v="0"/>
    <s v="MD_17"/>
    <x v="0"/>
  </r>
  <r>
    <x v="1161"/>
    <x v="52"/>
    <x v="2"/>
    <x v="2"/>
    <x v="0"/>
    <n v="5.7049050722902592"/>
    <b v="0"/>
    <s v="MD_06"/>
    <x v="1"/>
  </r>
  <r>
    <x v="1162"/>
    <x v="343"/>
    <x v="0"/>
    <x v="1"/>
    <x v="1"/>
    <n v="24.140144802735836"/>
    <b v="0"/>
    <s v="MD_15"/>
    <x v="0"/>
  </r>
  <r>
    <x v="1163"/>
    <x v="312"/>
    <x v="0"/>
    <x v="3"/>
    <x v="1"/>
    <n v="30.56159072964169"/>
    <b v="0"/>
    <s v="MD_02"/>
    <x v="0"/>
  </r>
  <r>
    <x v="1164"/>
    <x v="562"/>
    <x v="0"/>
    <x v="1"/>
    <x v="0"/>
    <n v="9.4540400498399144"/>
    <b v="0"/>
    <s v="MD_03"/>
    <x v="2"/>
  </r>
  <r>
    <x v="1165"/>
    <x v="82"/>
    <x v="1"/>
    <x v="3"/>
    <x v="1"/>
    <n v="17.089615199290211"/>
    <b v="0"/>
    <s v="MD_05"/>
    <x v="0"/>
  </r>
  <r>
    <x v="1166"/>
    <x v="585"/>
    <x v="3"/>
    <x v="2"/>
    <x v="0"/>
    <n v="25.874038983459602"/>
    <b v="0"/>
    <s v="MD_14"/>
    <x v="0"/>
  </r>
  <r>
    <x v="1167"/>
    <x v="218"/>
    <x v="2"/>
    <x v="1"/>
    <x v="0"/>
    <n v="6.5997016685062322"/>
    <b v="0"/>
    <s v="MD_16"/>
    <x v="1"/>
  </r>
  <r>
    <x v="1168"/>
    <x v="373"/>
    <x v="1"/>
    <x v="1"/>
    <x v="1"/>
    <n v="6.1582966818681708"/>
    <b v="0"/>
    <s v="MD_16"/>
    <x v="1"/>
  </r>
  <r>
    <x v="1169"/>
    <x v="286"/>
    <x v="3"/>
    <x v="3"/>
    <x v="1"/>
    <n v="10.907475117013657"/>
    <b v="0"/>
    <s v="MD_04"/>
    <x v="1"/>
  </r>
  <r>
    <x v="1170"/>
    <x v="586"/>
    <x v="2"/>
    <x v="4"/>
    <x v="0"/>
    <n v="9.9369516438889001"/>
    <b v="0"/>
    <s v="MD_09"/>
    <x v="1"/>
  </r>
  <r>
    <x v="1171"/>
    <x v="351"/>
    <x v="3"/>
    <x v="0"/>
    <x v="1"/>
    <n v="8.2899222530767744"/>
    <b v="0"/>
    <s v="MD_20"/>
    <x v="1"/>
  </r>
  <r>
    <x v="1172"/>
    <x v="99"/>
    <x v="3"/>
    <x v="1"/>
    <x v="0"/>
    <n v="6.1725183773997561"/>
    <b v="0"/>
    <s v="MD_16"/>
    <x v="1"/>
  </r>
  <r>
    <x v="1173"/>
    <x v="99"/>
    <x v="1"/>
    <x v="1"/>
    <x v="0"/>
    <n v="30.642065887539797"/>
    <b v="0"/>
    <s v="MD_17"/>
    <x v="0"/>
  </r>
  <r>
    <x v="1174"/>
    <x v="123"/>
    <x v="0"/>
    <x v="2"/>
    <x v="1"/>
    <n v="19.07550068323188"/>
    <b v="0"/>
    <s v="MD_10"/>
    <x v="0"/>
  </r>
  <r>
    <x v="1175"/>
    <x v="312"/>
    <x v="0"/>
    <x v="2"/>
    <x v="1"/>
    <n v="25.846811934516676"/>
    <b v="0"/>
    <s v="MD_04"/>
    <x v="0"/>
  </r>
  <r>
    <x v="1176"/>
    <x v="395"/>
    <x v="0"/>
    <x v="3"/>
    <x v="0"/>
    <n v="9.3236187566251285"/>
    <b v="0"/>
    <s v="MD_01"/>
    <x v="1"/>
  </r>
  <r>
    <x v="1177"/>
    <x v="342"/>
    <x v="2"/>
    <x v="0"/>
    <x v="0"/>
    <n v="6.291579170427072"/>
    <b v="0"/>
    <s v="MD_06"/>
    <x v="1"/>
  </r>
  <r>
    <x v="1178"/>
    <x v="587"/>
    <x v="2"/>
    <x v="3"/>
    <x v="0"/>
    <n v="7.3008259477677191"/>
    <b v="0"/>
    <s v="MD_08"/>
    <x v="1"/>
  </r>
  <r>
    <x v="1179"/>
    <x v="126"/>
    <x v="2"/>
    <x v="3"/>
    <x v="1"/>
    <n v="5.7051824256069201"/>
    <b v="0"/>
    <s v="MD_03"/>
    <x v="1"/>
  </r>
  <r>
    <x v="1180"/>
    <x v="263"/>
    <x v="3"/>
    <x v="0"/>
    <x v="0"/>
    <n v="7.4890369568366975"/>
    <b v="0"/>
    <s v="MD_20"/>
    <x v="1"/>
  </r>
  <r>
    <x v="1181"/>
    <x v="8"/>
    <x v="3"/>
    <x v="3"/>
    <x v="0"/>
    <n v="5.6822215041100508"/>
    <b v="0"/>
    <s v="MD_06"/>
    <x v="1"/>
  </r>
  <r>
    <x v="1182"/>
    <x v="458"/>
    <x v="0"/>
    <x v="4"/>
    <x v="1"/>
    <n v="7.3618378353486627"/>
    <b v="0"/>
    <s v="MD_16"/>
    <x v="1"/>
  </r>
  <r>
    <x v="1183"/>
    <x v="559"/>
    <x v="1"/>
    <x v="1"/>
    <x v="0"/>
    <n v="7.5259784878278122"/>
    <b v="0"/>
    <s v="MD_14"/>
    <x v="1"/>
  </r>
  <r>
    <x v="1184"/>
    <x v="588"/>
    <x v="1"/>
    <x v="2"/>
    <x v="0"/>
    <n v="5.6302946335134152"/>
    <b v="0"/>
    <s v="MD_01"/>
    <x v="1"/>
  </r>
  <r>
    <x v="1185"/>
    <x v="258"/>
    <x v="2"/>
    <x v="0"/>
    <x v="0"/>
    <n v="4.3882344054761804"/>
    <b v="0"/>
    <s v="MD_13"/>
    <x v="1"/>
  </r>
  <r>
    <x v="1186"/>
    <x v="409"/>
    <x v="1"/>
    <x v="4"/>
    <x v="1"/>
    <n v="29.698966072309133"/>
    <b v="0"/>
    <s v="MD_02"/>
    <x v="0"/>
  </r>
  <r>
    <x v="1187"/>
    <x v="318"/>
    <x v="3"/>
    <x v="1"/>
    <x v="0"/>
    <n v="10.035742362096626"/>
    <b v="0"/>
    <s v="MD_02"/>
    <x v="1"/>
  </r>
  <r>
    <x v="1188"/>
    <x v="589"/>
    <x v="2"/>
    <x v="4"/>
    <x v="1"/>
    <n v="9.032374581898182"/>
    <b v="0"/>
    <s v="MD_06"/>
    <x v="1"/>
  </r>
  <r>
    <x v="1189"/>
    <x v="473"/>
    <x v="2"/>
    <x v="3"/>
    <x v="1"/>
    <n v="5.3940892266364475"/>
    <b v="0"/>
    <s v="MD_13"/>
    <x v="1"/>
  </r>
  <r>
    <x v="1190"/>
    <x v="572"/>
    <x v="3"/>
    <x v="2"/>
    <x v="1"/>
    <n v="7.3978732047779552"/>
    <b v="0"/>
    <s v="MD_16"/>
    <x v="1"/>
  </r>
  <r>
    <x v="1191"/>
    <x v="117"/>
    <x v="2"/>
    <x v="1"/>
    <x v="1"/>
    <n v="40.188638269476193"/>
    <b v="0"/>
    <s v="MD_13"/>
    <x v="0"/>
  </r>
  <r>
    <x v="1192"/>
    <x v="590"/>
    <x v="1"/>
    <x v="2"/>
    <x v="0"/>
    <n v="7.732841287182735"/>
    <b v="0"/>
    <s v="MD_19"/>
    <x v="1"/>
  </r>
  <r>
    <x v="1193"/>
    <x v="17"/>
    <x v="2"/>
    <x v="1"/>
    <x v="0"/>
    <n v="8.6312595131349994"/>
    <b v="0"/>
    <s v="MD_14"/>
    <x v="1"/>
  </r>
  <r>
    <x v="1194"/>
    <x v="25"/>
    <x v="3"/>
    <x v="2"/>
    <x v="1"/>
    <n v="23.597919972523176"/>
    <b v="0"/>
    <s v="MD_03"/>
    <x v="0"/>
  </r>
  <r>
    <x v="1195"/>
    <x v="565"/>
    <x v="2"/>
    <x v="4"/>
    <x v="1"/>
    <n v="26.271678454144144"/>
    <b v="0"/>
    <s v="MD_17"/>
    <x v="0"/>
  </r>
  <r>
    <x v="1196"/>
    <x v="591"/>
    <x v="3"/>
    <x v="2"/>
    <x v="0"/>
    <n v="21.792160696922313"/>
    <b v="0"/>
    <s v="MD_19"/>
    <x v="0"/>
  </r>
  <r>
    <x v="1197"/>
    <x v="76"/>
    <x v="0"/>
    <x v="4"/>
    <x v="0"/>
    <n v="5.6678944570517285"/>
    <b v="0"/>
    <s v="MD_07"/>
    <x v="1"/>
  </r>
  <r>
    <x v="1198"/>
    <x v="423"/>
    <x v="0"/>
    <x v="3"/>
    <x v="1"/>
    <n v="4.7212732971023978"/>
    <b v="0"/>
    <s v="MD_05"/>
    <x v="1"/>
  </r>
  <r>
    <x v="1199"/>
    <x v="58"/>
    <x v="0"/>
    <x v="1"/>
    <x v="0"/>
    <n v="10.694638716877767"/>
    <b v="0"/>
    <s v="MD_07"/>
    <x v="1"/>
  </r>
  <r>
    <x v="1200"/>
    <x v="157"/>
    <x v="2"/>
    <x v="4"/>
    <x v="0"/>
    <n v="23.474072664780852"/>
    <b v="0"/>
    <s v="MD_06"/>
    <x v="0"/>
  </r>
  <r>
    <x v="1201"/>
    <x v="495"/>
    <x v="3"/>
    <x v="1"/>
    <x v="1"/>
    <n v="22.496005872864465"/>
    <b v="0"/>
    <s v="MD_19"/>
    <x v="0"/>
  </r>
  <r>
    <x v="1202"/>
    <x v="498"/>
    <x v="3"/>
    <x v="1"/>
    <x v="0"/>
    <n v="6.5206172407002212"/>
    <b v="0"/>
    <s v="MD_16"/>
    <x v="1"/>
  </r>
  <r>
    <x v="1203"/>
    <x v="592"/>
    <x v="1"/>
    <x v="4"/>
    <x v="0"/>
    <n v="4.90703266505004"/>
    <b v="0"/>
    <s v="MD_04"/>
    <x v="1"/>
  </r>
  <r>
    <x v="1204"/>
    <x v="149"/>
    <x v="0"/>
    <x v="1"/>
    <x v="0"/>
    <n v="6.5744523941786106"/>
    <b v="0"/>
    <s v="MD_02"/>
    <x v="1"/>
  </r>
  <r>
    <x v="1205"/>
    <x v="205"/>
    <x v="2"/>
    <x v="4"/>
    <x v="0"/>
    <n v="6.4940722767004662"/>
    <b v="0"/>
    <s v="MD_01"/>
    <x v="2"/>
  </r>
  <r>
    <x v="1206"/>
    <x v="30"/>
    <x v="0"/>
    <x v="4"/>
    <x v="0"/>
    <n v="2.9594725933194956"/>
    <b v="0"/>
    <s v="MD_06"/>
    <x v="1"/>
  </r>
  <r>
    <x v="1207"/>
    <x v="162"/>
    <x v="2"/>
    <x v="3"/>
    <x v="0"/>
    <n v="2.1297401689994224"/>
    <b v="0"/>
    <s v="MD_10"/>
    <x v="1"/>
  </r>
  <r>
    <x v="1208"/>
    <x v="189"/>
    <x v="1"/>
    <x v="1"/>
    <x v="0"/>
    <n v="4.7283568540119703"/>
    <b v="0"/>
    <s v="MD_18"/>
    <x v="1"/>
  </r>
  <r>
    <x v="1209"/>
    <x v="45"/>
    <x v="0"/>
    <x v="2"/>
    <x v="1"/>
    <n v="42.365622950114201"/>
    <b v="0"/>
    <s v="MD_02"/>
    <x v="0"/>
  </r>
  <r>
    <x v="1210"/>
    <x v="265"/>
    <x v="3"/>
    <x v="3"/>
    <x v="1"/>
    <n v="25.399961176874776"/>
    <b v="0"/>
    <s v="MD_02"/>
    <x v="0"/>
  </r>
  <r>
    <x v="1211"/>
    <x v="382"/>
    <x v="3"/>
    <x v="4"/>
    <x v="0"/>
    <n v="4.0921934160930187"/>
    <b v="0"/>
    <s v="MD_11"/>
    <x v="1"/>
  </r>
  <r>
    <x v="1212"/>
    <x v="554"/>
    <x v="0"/>
    <x v="3"/>
    <x v="1"/>
    <n v="21.112430424636727"/>
    <b v="0"/>
    <s v="MD_17"/>
    <x v="0"/>
  </r>
  <r>
    <x v="1213"/>
    <x v="397"/>
    <x v="1"/>
    <x v="2"/>
    <x v="1"/>
    <n v="1.7222713413598241"/>
    <b v="0"/>
    <s v="MD_18"/>
    <x v="1"/>
  </r>
  <r>
    <x v="1214"/>
    <x v="481"/>
    <x v="0"/>
    <x v="3"/>
    <x v="1"/>
    <n v="31.378300804317028"/>
    <b v="0"/>
    <s v="MD_05"/>
    <x v="0"/>
  </r>
  <r>
    <x v="1215"/>
    <x v="564"/>
    <x v="2"/>
    <x v="0"/>
    <x v="1"/>
    <n v="37.787696865075816"/>
    <b v="0"/>
    <s v="MD_11"/>
    <x v="0"/>
  </r>
  <r>
    <x v="1216"/>
    <x v="327"/>
    <x v="1"/>
    <x v="1"/>
    <x v="0"/>
    <n v="22.503009658686619"/>
    <b v="0"/>
    <s v="MD_12"/>
    <x v="0"/>
  </r>
  <r>
    <x v="1217"/>
    <x v="248"/>
    <x v="3"/>
    <x v="4"/>
    <x v="0"/>
    <n v="6.6503664092436781"/>
    <b v="0"/>
    <s v="MD_07"/>
    <x v="1"/>
  </r>
  <r>
    <x v="1218"/>
    <x v="593"/>
    <x v="2"/>
    <x v="1"/>
    <x v="0"/>
    <n v="5.3879850745001479"/>
    <b v="0"/>
    <s v="MD_02"/>
    <x v="2"/>
  </r>
  <r>
    <x v="1219"/>
    <x v="193"/>
    <x v="0"/>
    <x v="3"/>
    <x v="1"/>
    <n v="22.113752276784169"/>
    <b v="0"/>
    <s v="MD_10"/>
    <x v="0"/>
  </r>
  <r>
    <x v="1220"/>
    <x v="264"/>
    <x v="1"/>
    <x v="0"/>
    <x v="0"/>
    <n v="3.3703744706326928"/>
    <b v="0"/>
    <s v="MD_05"/>
    <x v="2"/>
  </r>
  <r>
    <x v="1221"/>
    <x v="80"/>
    <x v="3"/>
    <x v="2"/>
    <x v="1"/>
    <n v="23.119998772229366"/>
    <b v="0"/>
    <s v="MD_11"/>
    <x v="0"/>
  </r>
  <r>
    <x v="1222"/>
    <x v="247"/>
    <x v="0"/>
    <x v="2"/>
    <x v="0"/>
    <n v="4.8031475543004731"/>
    <b v="0"/>
    <s v="MD_02"/>
    <x v="1"/>
  </r>
  <r>
    <x v="1223"/>
    <x v="266"/>
    <x v="1"/>
    <x v="2"/>
    <x v="0"/>
    <n v="26.524203346245329"/>
    <b v="0"/>
    <s v="MD_19"/>
    <x v="0"/>
  </r>
  <r>
    <x v="1224"/>
    <x v="592"/>
    <x v="1"/>
    <x v="2"/>
    <x v="1"/>
    <n v="4.5367775388202647"/>
    <b v="0"/>
    <s v="MD_12"/>
    <x v="1"/>
  </r>
  <r>
    <x v="1225"/>
    <x v="43"/>
    <x v="0"/>
    <x v="0"/>
    <x v="1"/>
    <n v="23.271755042036464"/>
    <b v="0"/>
    <s v="MD_04"/>
    <x v="0"/>
  </r>
  <r>
    <x v="1226"/>
    <x v="594"/>
    <x v="0"/>
    <x v="0"/>
    <x v="1"/>
    <n v="39.197016938947563"/>
    <b v="0"/>
    <s v="MD_13"/>
    <x v="0"/>
  </r>
  <r>
    <x v="1227"/>
    <x v="72"/>
    <x v="3"/>
    <x v="0"/>
    <x v="1"/>
    <n v="8.8235131776294971"/>
    <b v="1"/>
    <s v="MD_08"/>
    <x v="0"/>
  </r>
  <r>
    <x v="1228"/>
    <x v="592"/>
    <x v="3"/>
    <x v="4"/>
    <x v="1"/>
    <n v="6.8386884163510402"/>
    <b v="0"/>
    <s v="MD_15"/>
    <x v="0"/>
  </r>
  <r>
    <x v="1229"/>
    <x v="595"/>
    <x v="2"/>
    <x v="3"/>
    <x v="1"/>
    <n v="11.638012952368557"/>
    <b v="0"/>
    <s v="MD_09"/>
    <x v="0"/>
  </r>
  <r>
    <x v="1230"/>
    <x v="448"/>
    <x v="1"/>
    <x v="3"/>
    <x v="0"/>
    <n v="6.5012882209317446"/>
    <b v="0"/>
    <s v="MD_17"/>
    <x v="1"/>
  </r>
  <r>
    <x v="1231"/>
    <x v="242"/>
    <x v="2"/>
    <x v="3"/>
    <x v="1"/>
    <n v="19.86131800354201"/>
    <b v="0"/>
    <s v="MD_14"/>
    <x v="0"/>
  </r>
  <r>
    <x v="1232"/>
    <x v="366"/>
    <x v="2"/>
    <x v="1"/>
    <x v="0"/>
    <n v="6.0984029057751243"/>
    <b v="0"/>
    <s v="MD_20"/>
    <x v="1"/>
  </r>
  <r>
    <x v="1233"/>
    <x v="111"/>
    <x v="0"/>
    <x v="1"/>
    <x v="0"/>
    <n v="9.5485272981521856"/>
    <b v="0"/>
    <s v="MD_05"/>
    <x v="1"/>
  </r>
  <r>
    <x v="1234"/>
    <x v="483"/>
    <x v="1"/>
    <x v="1"/>
    <x v="0"/>
    <n v="8.7433213610920149"/>
    <b v="0"/>
    <s v="MD_12"/>
    <x v="1"/>
  </r>
  <r>
    <x v="1235"/>
    <x v="356"/>
    <x v="1"/>
    <x v="3"/>
    <x v="0"/>
    <n v="5.5586483682555485"/>
    <b v="0"/>
    <s v="MD_15"/>
    <x v="1"/>
  </r>
  <r>
    <x v="1236"/>
    <x v="495"/>
    <x v="3"/>
    <x v="3"/>
    <x v="1"/>
    <n v="26.511605236259019"/>
    <b v="0"/>
    <s v="MD_16"/>
    <x v="0"/>
  </r>
  <r>
    <x v="1237"/>
    <x v="562"/>
    <x v="0"/>
    <x v="4"/>
    <x v="0"/>
    <n v="6.3291855361531333"/>
    <b v="0"/>
    <s v="MD_05"/>
    <x v="1"/>
  </r>
  <r>
    <x v="1238"/>
    <x v="122"/>
    <x v="3"/>
    <x v="0"/>
    <x v="0"/>
    <n v="5.583287204652895"/>
    <b v="1"/>
    <s v="MD_02"/>
    <x v="1"/>
  </r>
  <r>
    <x v="1239"/>
    <x v="596"/>
    <x v="1"/>
    <x v="2"/>
    <x v="1"/>
    <n v="17.36493378311479"/>
    <b v="0"/>
    <s v="MD_14"/>
    <x v="0"/>
  </r>
  <r>
    <x v="1240"/>
    <x v="495"/>
    <x v="0"/>
    <x v="4"/>
    <x v="1"/>
    <n v="28.749972564745537"/>
    <b v="0"/>
    <s v="MD_04"/>
    <x v="0"/>
  </r>
  <r>
    <x v="1241"/>
    <x v="597"/>
    <x v="0"/>
    <x v="1"/>
    <x v="0"/>
    <n v="27.00324120825778"/>
    <b v="0"/>
    <s v="MD_11"/>
    <x v="0"/>
  </r>
  <r>
    <x v="1242"/>
    <x v="305"/>
    <x v="3"/>
    <x v="2"/>
    <x v="0"/>
    <n v="21.092266724591489"/>
    <b v="0"/>
    <s v="MD_03"/>
    <x v="0"/>
  </r>
  <r>
    <x v="1243"/>
    <x v="445"/>
    <x v="2"/>
    <x v="2"/>
    <x v="0"/>
    <n v="3.9293325365690297"/>
    <b v="0"/>
    <s v="MD_20"/>
    <x v="1"/>
  </r>
  <r>
    <x v="1244"/>
    <x v="85"/>
    <x v="2"/>
    <x v="4"/>
    <x v="0"/>
    <n v="4.2726538486084635"/>
    <b v="0"/>
    <s v="MD_02"/>
    <x v="1"/>
  </r>
  <r>
    <x v="1245"/>
    <x v="510"/>
    <x v="1"/>
    <x v="0"/>
    <x v="0"/>
    <n v="5.4670118756218855"/>
    <b v="0"/>
    <s v="MD_16"/>
    <x v="1"/>
  </r>
  <r>
    <x v="1246"/>
    <x v="251"/>
    <x v="1"/>
    <x v="4"/>
    <x v="0"/>
    <n v="29.941951268579004"/>
    <b v="0"/>
    <s v="MD_03"/>
    <x v="0"/>
  </r>
  <r>
    <x v="1247"/>
    <x v="572"/>
    <x v="3"/>
    <x v="2"/>
    <x v="0"/>
    <n v="4.075901919487805"/>
    <b v="0"/>
    <s v="MD_08"/>
    <x v="1"/>
  </r>
  <r>
    <x v="1248"/>
    <x v="281"/>
    <x v="0"/>
    <x v="3"/>
    <x v="0"/>
    <n v="7.206571301717954"/>
    <b v="0"/>
    <s v="MD_06"/>
    <x v="2"/>
  </r>
  <r>
    <x v="1249"/>
    <x v="507"/>
    <x v="0"/>
    <x v="2"/>
    <x v="1"/>
    <n v="11.105557302238234"/>
    <b v="0"/>
    <s v="MD_09"/>
    <x v="0"/>
  </r>
  <r>
    <x v="1250"/>
    <x v="76"/>
    <x v="2"/>
    <x v="1"/>
    <x v="0"/>
    <n v="4.7505871206111996"/>
    <b v="0"/>
    <s v="MD_07"/>
    <x v="2"/>
  </r>
  <r>
    <x v="1251"/>
    <x v="333"/>
    <x v="3"/>
    <x v="0"/>
    <x v="0"/>
    <n v="8.8037373582248541"/>
    <b v="0"/>
    <s v="MD_04"/>
    <x v="1"/>
  </r>
  <r>
    <x v="1252"/>
    <x v="164"/>
    <x v="2"/>
    <x v="4"/>
    <x v="0"/>
    <n v="6.0359234031737747"/>
    <b v="0"/>
    <s v="MD_13"/>
    <x v="2"/>
  </r>
  <r>
    <x v="1253"/>
    <x v="552"/>
    <x v="2"/>
    <x v="1"/>
    <x v="1"/>
    <n v="32.702748366455396"/>
    <b v="0"/>
    <s v="MD_09"/>
    <x v="0"/>
  </r>
  <r>
    <x v="1254"/>
    <x v="372"/>
    <x v="0"/>
    <x v="2"/>
    <x v="0"/>
    <n v="4.7403290915573528"/>
    <b v="0"/>
    <s v="MD_11"/>
    <x v="1"/>
  </r>
  <r>
    <x v="1255"/>
    <x v="502"/>
    <x v="1"/>
    <x v="1"/>
    <x v="1"/>
    <n v="31.435155030094634"/>
    <b v="0"/>
    <s v="MD_03"/>
    <x v="0"/>
  </r>
  <r>
    <x v="1256"/>
    <x v="282"/>
    <x v="0"/>
    <x v="1"/>
    <x v="1"/>
    <n v="33.508483336126389"/>
    <b v="0"/>
    <s v="MD_09"/>
    <x v="0"/>
  </r>
  <r>
    <x v="1257"/>
    <x v="493"/>
    <x v="2"/>
    <x v="0"/>
    <x v="1"/>
    <n v="10.173955182389134"/>
    <b v="0"/>
    <s v="MD_10"/>
    <x v="0"/>
  </r>
  <r>
    <x v="1258"/>
    <x v="504"/>
    <x v="0"/>
    <x v="3"/>
    <x v="1"/>
    <n v="15.928193212742654"/>
    <b v="0"/>
    <s v="MD_09"/>
    <x v="0"/>
  </r>
  <r>
    <x v="1259"/>
    <x v="314"/>
    <x v="0"/>
    <x v="2"/>
    <x v="1"/>
    <n v="29.679704496174654"/>
    <b v="0"/>
    <s v="MD_03"/>
    <x v="0"/>
  </r>
  <r>
    <x v="1260"/>
    <x v="384"/>
    <x v="0"/>
    <x v="2"/>
    <x v="1"/>
    <n v="4.9722414947435354"/>
    <b v="0"/>
    <s v="MD_08"/>
    <x v="1"/>
  </r>
  <r>
    <x v="1261"/>
    <x v="598"/>
    <x v="2"/>
    <x v="0"/>
    <x v="1"/>
    <n v="17.271820128685317"/>
    <b v="0"/>
    <s v="MD_11"/>
    <x v="0"/>
  </r>
  <r>
    <x v="1262"/>
    <x v="599"/>
    <x v="0"/>
    <x v="3"/>
    <x v="1"/>
    <n v="9.0941671192615932"/>
    <b v="0"/>
    <s v="MD_17"/>
    <x v="0"/>
  </r>
  <r>
    <x v="1263"/>
    <x v="106"/>
    <x v="0"/>
    <x v="3"/>
    <x v="0"/>
    <n v="3.4127968282339314"/>
    <b v="0"/>
    <s v="MD_11"/>
    <x v="1"/>
  </r>
  <r>
    <x v="1264"/>
    <x v="274"/>
    <x v="2"/>
    <x v="3"/>
    <x v="1"/>
    <n v="24.121998983850208"/>
    <b v="1"/>
    <s v="MD_15"/>
    <x v="0"/>
  </r>
  <r>
    <x v="1265"/>
    <x v="205"/>
    <x v="3"/>
    <x v="0"/>
    <x v="0"/>
    <n v="6.1103287217636639"/>
    <b v="0"/>
    <s v="MD_07"/>
    <x v="1"/>
  </r>
  <r>
    <x v="1266"/>
    <x v="526"/>
    <x v="3"/>
    <x v="1"/>
    <x v="1"/>
    <n v="30.627164775222585"/>
    <b v="0"/>
    <s v="MD_02"/>
    <x v="0"/>
  </r>
  <r>
    <x v="1267"/>
    <x v="200"/>
    <x v="0"/>
    <x v="0"/>
    <x v="1"/>
    <n v="6.8002665594090193"/>
    <b v="0"/>
    <s v="MD_14"/>
    <x v="1"/>
  </r>
  <r>
    <x v="1268"/>
    <x v="120"/>
    <x v="3"/>
    <x v="2"/>
    <x v="1"/>
    <n v="7.4109826180985792"/>
    <b v="0"/>
    <s v="MD_04"/>
    <x v="1"/>
  </r>
  <r>
    <x v="1269"/>
    <x v="600"/>
    <x v="3"/>
    <x v="4"/>
    <x v="0"/>
    <n v="6.6449961943940696"/>
    <b v="0"/>
    <s v="MD_10"/>
    <x v="1"/>
  </r>
  <r>
    <x v="1270"/>
    <x v="601"/>
    <x v="1"/>
    <x v="4"/>
    <x v="0"/>
    <n v="7.406481678470497"/>
    <b v="0"/>
    <s v="MD_19"/>
    <x v="1"/>
  </r>
  <r>
    <x v="1271"/>
    <x v="495"/>
    <x v="0"/>
    <x v="1"/>
    <x v="1"/>
    <n v="30.797106775821064"/>
    <b v="0"/>
    <s v="MD_10"/>
    <x v="0"/>
  </r>
  <r>
    <x v="1272"/>
    <x v="294"/>
    <x v="0"/>
    <x v="0"/>
    <x v="0"/>
    <n v="7.0651876703230005"/>
    <b v="0"/>
    <s v="MD_15"/>
    <x v="1"/>
  </r>
  <r>
    <x v="1273"/>
    <x v="221"/>
    <x v="1"/>
    <x v="0"/>
    <x v="1"/>
    <n v="23.366987925934431"/>
    <b v="0"/>
    <s v="MD_04"/>
    <x v="0"/>
  </r>
  <r>
    <x v="1274"/>
    <x v="339"/>
    <x v="2"/>
    <x v="4"/>
    <x v="0"/>
    <n v="18.400409417589685"/>
    <b v="0"/>
    <s v="MD_14"/>
    <x v="0"/>
  </r>
  <r>
    <x v="1275"/>
    <x v="297"/>
    <x v="0"/>
    <x v="1"/>
    <x v="0"/>
    <n v="8.7983980021635801"/>
    <b v="0"/>
    <s v="MD_01"/>
    <x v="1"/>
  </r>
  <r>
    <x v="1276"/>
    <x v="384"/>
    <x v="1"/>
    <x v="3"/>
    <x v="0"/>
    <n v="8.8949556070760423"/>
    <b v="0"/>
    <s v="MD_12"/>
    <x v="1"/>
  </r>
  <r>
    <x v="1277"/>
    <x v="184"/>
    <x v="0"/>
    <x v="4"/>
    <x v="0"/>
    <n v="16.945037650705448"/>
    <b v="0"/>
    <s v="MD_02"/>
    <x v="0"/>
  </r>
  <r>
    <x v="1278"/>
    <x v="93"/>
    <x v="0"/>
    <x v="1"/>
    <x v="1"/>
    <n v="35.266726157528382"/>
    <b v="0"/>
    <s v="MD_07"/>
    <x v="0"/>
  </r>
  <r>
    <x v="1279"/>
    <x v="3"/>
    <x v="3"/>
    <x v="4"/>
    <x v="1"/>
    <n v="3.1708886539962164"/>
    <b v="0"/>
    <s v="MD_01"/>
    <x v="1"/>
  </r>
  <r>
    <x v="1280"/>
    <x v="120"/>
    <x v="2"/>
    <x v="3"/>
    <x v="0"/>
    <n v="7.8574641155763443"/>
    <b v="0"/>
    <s v="MD_13"/>
    <x v="1"/>
  </r>
  <r>
    <x v="1281"/>
    <x v="124"/>
    <x v="0"/>
    <x v="4"/>
    <x v="0"/>
    <n v="6.35587012149833"/>
    <b v="0"/>
    <s v="MD_13"/>
    <x v="1"/>
  </r>
  <r>
    <x v="1282"/>
    <x v="571"/>
    <x v="2"/>
    <x v="1"/>
    <x v="1"/>
    <n v="30.990551176336197"/>
    <b v="0"/>
    <s v="MD_14"/>
    <x v="0"/>
  </r>
  <r>
    <x v="1283"/>
    <x v="168"/>
    <x v="2"/>
    <x v="3"/>
    <x v="1"/>
    <n v="35.378654023452725"/>
    <b v="0"/>
    <s v="MD_16"/>
    <x v="0"/>
  </r>
  <r>
    <x v="1284"/>
    <x v="272"/>
    <x v="2"/>
    <x v="1"/>
    <x v="0"/>
    <n v="34.860778127379128"/>
    <b v="0"/>
    <s v="MD_09"/>
    <x v="0"/>
  </r>
  <r>
    <x v="1285"/>
    <x v="38"/>
    <x v="0"/>
    <x v="4"/>
    <x v="0"/>
    <n v="9.8550165658992341"/>
    <b v="0"/>
    <s v="MD_12"/>
    <x v="1"/>
  </r>
  <r>
    <x v="1286"/>
    <x v="121"/>
    <x v="3"/>
    <x v="2"/>
    <x v="1"/>
    <n v="29.219000090594292"/>
    <b v="0"/>
    <s v="MD_06"/>
    <x v="0"/>
  </r>
  <r>
    <x v="1287"/>
    <x v="407"/>
    <x v="0"/>
    <x v="0"/>
    <x v="1"/>
    <n v="18.260939128523169"/>
    <b v="1"/>
    <s v="MD_09"/>
    <x v="0"/>
  </r>
  <r>
    <x v="1288"/>
    <x v="297"/>
    <x v="3"/>
    <x v="0"/>
    <x v="0"/>
    <n v="6.6833780427897214"/>
    <b v="0"/>
    <s v="MD_09"/>
    <x v="2"/>
  </r>
  <r>
    <x v="1289"/>
    <x v="581"/>
    <x v="3"/>
    <x v="4"/>
    <x v="1"/>
    <n v="4.847610515428932"/>
    <b v="0"/>
    <s v="MD_01"/>
    <x v="1"/>
  </r>
  <r>
    <x v="1290"/>
    <x v="224"/>
    <x v="0"/>
    <x v="4"/>
    <x v="0"/>
    <n v="6.7970201602962561"/>
    <b v="0"/>
    <s v="MD_14"/>
    <x v="1"/>
  </r>
  <r>
    <x v="1291"/>
    <x v="434"/>
    <x v="3"/>
    <x v="0"/>
    <x v="0"/>
    <n v="9.6350963739230515"/>
    <b v="0"/>
    <s v="MD_10"/>
    <x v="1"/>
  </r>
  <r>
    <x v="1292"/>
    <x v="602"/>
    <x v="3"/>
    <x v="2"/>
    <x v="0"/>
    <n v="6.5655307855847065"/>
    <b v="0"/>
    <s v="MD_07"/>
    <x v="1"/>
  </r>
  <r>
    <x v="1293"/>
    <x v="490"/>
    <x v="0"/>
    <x v="0"/>
    <x v="0"/>
    <n v="7.3021498359045065"/>
    <b v="0"/>
    <s v="MD_13"/>
    <x v="2"/>
  </r>
  <r>
    <x v="1294"/>
    <x v="603"/>
    <x v="1"/>
    <x v="2"/>
    <x v="0"/>
    <n v="4.8081144843760892"/>
    <b v="0"/>
    <s v="MD_20"/>
    <x v="1"/>
  </r>
  <r>
    <x v="1295"/>
    <x v="236"/>
    <x v="2"/>
    <x v="0"/>
    <x v="1"/>
    <n v="22.183558279359971"/>
    <b v="0"/>
    <s v="MD_20"/>
    <x v="0"/>
  </r>
  <r>
    <x v="1296"/>
    <x v="318"/>
    <x v="3"/>
    <x v="4"/>
    <x v="0"/>
    <n v="20.177073913763277"/>
    <b v="0"/>
    <s v="MD_03"/>
    <x v="0"/>
  </r>
  <r>
    <x v="1297"/>
    <x v="604"/>
    <x v="3"/>
    <x v="4"/>
    <x v="1"/>
    <n v="22.102715947814058"/>
    <b v="0"/>
    <s v="MD_14"/>
    <x v="0"/>
  </r>
  <r>
    <x v="1298"/>
    <x v="334"/>
    <x v="1"/>
    <x v="1"/>
    <x v="1"/>
    <n v="21.979185098014213"/>
    <b v="0"/>
    <s v="MD_15"/>
    <x v="0"/>
  </r>
  <r>
    <x v="1299"/>
    <x v="432"/>
    <x v="3"/>
    <x v="4"/>
    <x v="0"/>
    <n v="9.4214490763692176"/>
    <b v="0"/>
    <s v="MD_13"/>
    <x v="1"/>
  </r>
  <r>
    <x v="1300"/>
    <x v="161"/>
    <x v="0"/>
    <x v="1"/>
    <x v="1"/>
    <n v="5.4400922200622315"/>
    <b v="0"/>
    <s v="MD_20"/>
    <x v="1"/>
  </r>
  <r>
    <x v="1301"/>
    <x v="420"/>
    <x v="0"/>
    <x v="0"/>
    <x v="1"/>
    <n v="15.906775152227375"/>
    <b v="0"/>
    <s v="MD_14"/>
    <x v="0"/>
  </r>
  <r>
    <x v="1302"/>
    <x v="280"/>
    <x v="1"/>
    <x v="4"/>
    <x v="0"/>
    <n v="7.349771871330157"/>
    <b v="0"/>
    <s v="MD_13"/>
    <x v="1"/>
  </r>
  <r>
    <x v="1303"/>
    <x v="566"/>
    <x v="2"/>
    <x v="0"/>
    <x v="0"/>
    <n v="4.61011069022019"/>
    <b v="0"/>
    <s v="MD_03"/>
    <x v="1"/>
  </r>
  <r>
    <x v="1304"/>
    <x v="605"/>
    <x v="0"/>
    <x v="3"/>
    <x v="0"/>
    <n v="32.801332888156026"/>
    <b v="0"/>
    <s v="MD_11"/>
    <x v="0"/>
  </r>
  <r>
    <x v="1305"/>
    <x v="606"/>
    <x v="1"/>
    <x v="3"/>
    <x v="1"/>
    <n v="1.4658128243881876"/>
    <b v="0"/>
    <s v="MD_11"/>
    <x v="0"/>
  </r>
  <r>
    <x v="1306"/>
    <x v="102"/>
    <x v="0"/>
    <x v="0"/>
    <x v="1"/>
    <n v="8.6830196289866297"/>
    <b v="0"/>
    <s v="MD_01"/>
    <x v="0"/>
  </r>
  <r>
    <x v="1307"/>
    <x v="380"/>
    <x v="0"/>
    <x v="3"/>
    <x v="0"/>
    <n v="12.011758938363576"/>
    <b v="0"/>
    <s v="MD_02"/>
    <x v="0"/>
  </r>
  <r>
    <x v="1308"/>
    <x v="188"/>
    <x v="0"/>
    <x v="1"/>
    <x v="0"/>
    <n v="6.1613978050151346"/>
    <b v="0"/>
    <s v="MD_19"/>
    <x v="1"/>
  </r>
  <r>
    <x v="1309"/>
    <x v="337"/>
    <x v="2"/>
    <x v="0"/>
    <x v="0"/>
    <n v="5.94571535700128"/>
    <b v="0"/>
    <s v="MD_20"/>
    <x v="1"/>
  </r>
  <r>
    <x v="1310"/>
    <x v="607"/>
    <x v="3"/>
    <x v="1"/>
    <x v="1"/>
    <n v="30.731345098446859"/>
    <b v="0"/>
    <s v="MD_03"/>
    <x v="0"/>
  </r>
  <r>
    <x v="1311"/>
    <x v="339"/>
    <x v="0"/>
    <x v="4"/>
    <x v="0"/>
    <n v="4.2982760467643706"/>
    <b v="0"/>
    <s v="MD_17"/>
    <x v="1"/>
  </r>
  <r>
    <x v="1312"/>
    <x v="608"/>
    <x v="2"/>
    <x v="2"/>
    <x v="1"/>
    <n v="3.7436983619025996"/>
    <b v="0"/>
    <s v="MD_20"/>
    <x v="1"/>
  </r>
  <r>
    <x v="1313"/>
    <x v="98"/>
    <x v="3"/>
    <x v="0"/>
    <x v="0"/>
    <n v="35.154471596471147"/>
    <b v="0"/>
    <s v="MD_08"/>
    <x v="0"/>
  </r>
  <r>
    <x v="1314"/>
    <x v="225"/>
    <x v="3"/>
    <x v="0"/>
    <x v="0"/>
    <n v="4.1423120938146232"/>
    <b v="0"/>
    <s v="MD_01"/>
    <x v="1"/>
  </r>
  <r>
    <x v="1315"/>
    <x v="550"/>
    <x v="0"/>
    <x v="4"/>
    <x v="1"/>
    <n v="8.6123100161671946"/>
    <b v="0"/>
    <s v="MD_16"/>
    <x v="0"/>
  </r>
  <r>
    <x v="1316"/>
    <x v="609"/>
    <x v="0"/>
    <x v="4"/>
    <x v="1"/>
    <n v="33.316194263492804"/>
    <b v="0"/>
    <s v="MD_09"/>
    <x v="0"/>
  </r>
  <r>
    <x v="1317"/>
    <x v="36"/>
    <x v="3"/>
    <x v="2"/>
    <x v="1"/>
    <n v="5.5291359550825749"/>
    <b v="0"/>
    <s v="MD_18"/>
    <x v="1"/>
  </r>
  <r>
    <x v="1318"/>
    <x v="521"/>
    <x v="2"/>
    <x v="0"/>
    <x v="0"/>
    <n v="5.2361374541085404"/>
    <b v="0"/>
    <s v="MD_13"/>
    <x v="1"/>
  </r>
  <r>
    <x v="1319"/>
    <x v="610"/>
    <x v="0"/>
    <x v="3"/>
    <x v="0"/>
    <n v="5.169276367868874"/>
    <b v="0"/>
    <s v="MD_01"/>
    <x v="1"/>
  </r>
  <r>
    <x v="1320"/>
    <x v="611"/>
    <x v="1"/>
    <x v="2"/>
    <x v="0"/>
    <n v="44.540115408198616"/>
    <b v="0"/>
    <s v="MD_09"/>
    <x v="0"/>
  </r>
  <r>
    <x v="1321"/>
    <x v="1"/>
    <x v="3"/>
    <x v="1"/>
    <x v="0"/>
    <n v="9.6650533124005715"/>
    <b v="0"/>
    <s v="MD_06"/>
    <x v="2"/>
  </r>
  <r>
    <x v="1322"/>
    <x v="85"/>
    <x v="0"/>
    <x v="4"/>
    <x v="0"/>
    <n v="6.4743472192744944"/>
    <b v="0"/>
    <s v="MD_13"/>
    <x v="1"/>
  </r>
  <r>
    <x v="1323"/>
    <x v="324"/>
    <x v="2"/>
    <x v="3"/>
    <x v="0"/>
    <n v="3.3336713567768639"/>
    <b v="0"/>
    <s v="MD_14"/>
    <x v="1"/>
  </r>
  <r>
    <x v="1324"/>
    <x v="38"/>
    <x v="3"/>
    <x v="0"/>
    <x v="0"/>
    <n v="10.032262019188558"/>
    <b v="0"/>
    <s v="MD_10"/>
    <x v="1"/>
  </r>
  <r>
    <x v="1325"/>
    <x v="473"/>
    <x v="1"/>
    <x v="4"/>
    <x v="0"/>
    <n v="2.3835549093321986"/>
    <b v="0"/>
    <s v="MD_01"/>
    <x v="1"/>
  </r>
  <r>
    <x v="1326"/>
    <x v="483"/>
    <x v="1"/>
    <x v="4"/>
    <x v="0"/>
    <n v="7.0534020534090525"/>
    <b v="0"/>
    <s v="MD_02"/>
    <x v="1"/>
  </r>
  <r>
    <x v="1327"/>
    <x v="612"/>
    <x v="2"/>
    <x v="0"/>
    <x v="0"/>
    <n v="6.758875542724307"/>
    <b v="0"/>
    <s v="MD_11"/>
    <x v="1"/>
  </r>
  <r>
    <x v="1328"/>
    <x v="490"/>
    <x v="1"/>
    <x v="0"/>
    <x v="0"/>
    <n v="5.6218723379942803"/>
    <b v="0"/>
    <s v="MD_11"/>
    <x v="1"/>
  </r>
  <r>
    <x v="1329"/>
    <x v="266"/>
    <x v="2"/>
    <x v="3"/>
    <x v="0"/>
    <n v="7.8440354863944535"/>
    <b v="0"/>
    <s v="MD_07"/>
    <x v="2"/>
  </r>
  <r>
    <x v="1330"/>
    <x v="454"/>
    <x v="1"/>
    <x v="2"/>
    <x v="1"/>
    <n v="30.594502504427332"/>
    <b v="0"/>
    <s v="MD_09"/>
    <x v="0"/>
  </r>
  <r>
    <x v="1331"/>
    <x v="73"/>
    <x v="2"/>
    <x v="0"/>
    <x v="0"/>
    <n v="7.8459807005872042"/>
    <b v="0"/>
    <s v="MD_06"/>
    <x v="2"/>
  </r>
  <r>
    <x v="1332"/>
    <x v="613"/>
    <x v="1"/>
    <x v="0"/>
    <x v="0"/>
    <n v="6.0691576914768648"/>
    <b v="0"/>
    <s v="MD_09"/>
    <x v="1"/>
  </r>
  <r>
    <x v="1333"/>
    <x v="608"/>
    <x v="0"/>
    <x v="1"/>
    <x v="0"/>
    <n v="25.202638937936403"/>
    <b v="0"/>
    <s v="MD_10"/>
    <x v="0"/>
  </r>
  <r>
    <x v="1334"/>
    <x v="196"/>
    <x v="0"/>
    <x v="3"/>
    <x v="0"/>
    <n v="8.4374903973674567"/>
    <b v="0"/>
    <s v="MD_13"/>
    <x v="0"/>
  </r>
  <r>
    <x v="1335"/>
    <x v="478"/>
    <x v="2"/>
    <x v="1"/>
    <x v="1"/>
    <n v="28.652519029862283"/>
    <b v="0"/>
    <s v="MD_20"/>
    <x v="0"/>
  </r>
  <r>
    <x v="1336"/>
    <x v="596"/>
    <x v="1"/>
    <x v="2"/>
    <x v="1"/>
    <n v="20.648586865077906"/>
    <b v="0"/>
    <s v="MD_06"/>
    <x v="0"/>
  </r>
  <r>
    <x v="1337"/>
    <x v="570"/>
    <x v="0"/>
    <x v="4"/>
    <x v="1"/>
    <n v="18.986101795665238"/>
    <b v="0"/>
    <s v="MD_07"/>
    <x v="0"/>
  </r>
  <r>
    <x v="1338"/>
    <x v="162"/>
    <x v="3"/>
    <x v="4"/>
    <x v="0"/>
    <n v="28.802569785455248"/>
    <b v="0"/>
    <s v="MD_15"/>
    <x v="0"/>
  </r>
  <r>
    <x v="1339"/>
    <x v="559"/>
    <x v="0"/>
    <x v="4"/>
    <x v="0"/>
    <n v="9.1087972269332855"/>
    <b v="0"/>
    <s v="MD_17"/>
    <x v="1"/>
  </r>
  <r>
    <x v="1340"/>
    <x v="179"/>
    <x v="0"/>
    <x v="0"/>
    <x v="1"/>
    <n v="36.429221516816355"/>
    <b v="0"/>
    <s v="MD_14"/>
    <x v="0"/>
  </r>
  <r>
    <x v="1341"/>
    <x v="476"/>
    <x v="3"/>
    <x v="4"/>
    <x v="0"/>
    <n v="8.5170236793067211"/>
    <b v="0"/>
    <s v="MD_06"/>
    <x v="1"/>
  </r>
  <r>
    <x v="1342"/>
    <x v="351"/>
    <x v="2"/>
    <x v="0"/>
    <x v="0"/>
    <n v="18.444305593165005"/>
    <b v="0"/>
    <s v="MD_20"/>
    <x v="0"/>
  </r>
  <r>
    <x v="1343"/>
    <x v="614"/>
    <x v="0"/>
    <x v="3"/>
    <x v="0"/>
    <n v="5.0739276454943028"/>
    <b v="0"/>
    <s v="MD_17"/>
    <x v="1"/>
  </r>
  <r>
    <x v="1344"/>
    <x v="276"/>
    <x v="3"/>
    <x v="1"/>
    <x v="1"/>
    <n v="8.357454327600168"/>
    <b v="0"/>
    <s v="MD_17"/>
    <x v="1"/>
  </r>
  <r>
    <x v="1345"/>
    <x v="126"/>
    <x v="1"/>
    <x v="1"/>
    <x v="0"/>
    <n v="7.0787035394125049"/>
    <b v="0"/>
    <s v="MD_19"/>
    <x v="2"/>
  </r>
  <r>
    <x v="1346"/>
    <x v="302"/>
    <x v="1"/>
    <x v="3"/>
    <x v="1"/>
    <n v="20.170831624288194"/>
    <b v="0"/>
    <s v="MD_10"/>
    <x v="0"/>
  </r>
  <r>
    <x v="1347"/>
    <x v="571"/>
    <x v="2"/>
    <x v="2"/>
    <x v="1"/>
    <n v="26.026990829196514"/>
    <b v="0"/>
    <s v="MD_10"/>
    <x v="0"/>
  </r>
  <r>
    <x v="1348"/>
    <x v="114"/>
    <x v="0"/>
    <x v="0"/>
    <x v="0"/>
    <n v="5.4372967447428584"/>
    <b v="0"/>
    <s v="MD_08"/>
    <x v="1"/>
  </r>
  <r>
    <x v="1349"/>
    <x v="73"/>
    <x v="1"/>
    <x v="0"/>
    <x v="0"/>
    <n v="7.98261577741353"/>
    <b v="0"/>
    <s v="MD_06"/>
    <x v="1"/>
  </r>
  <r>
    <x v="1350"/>
    <x v="535"/>
    <x v="0"/>
    <x v="3"/>
    <x v="0"/>
    <n v="21.431079602823836"/>
    <b v="0"/>
    <s v="MD_01"/>
    <x v="0"/>
  </r>
  <r>
    <x v="1351"/>
    <x v="369"/>
    <x v="3"/>
    <x v="1"/>
    <x v="1"/>
    <n v="3.9572075046461932"/>
    <b v="0"/>
    <s v="MD_20"/>
    <x v="1"/>
  </r>
  <r>
    <x v="1352"/>
    <x v="221"/>
    <x v="2"/>
    <x v="4"/>
    <x v="1"/>
    <n v="7.2324884850196902"/>
    <b v="0"/>
    <s v="MD_02"/>
    <x v="0"/>
  </r>
  <r>
    <x v="1353"/>
    <x v="112"/>
    <x v="2"/>
    <x v="0"/>
    <x v="0"/>
    <n v="34.741694807275316"/>
    <b v="0"/>
    <s v="MD_12"/>
    <x v="0"/>
  </r>
  <r>
    <x v="1354"/>
    <x v="214"/>
    <x v="1"/>
    <x v="4"/>
    <x v="1"/>
    <n v="7.318054151115863"/>
    <b v="0"/>
    <s v="MD_04"/>
    <x v="1"/>
  </r>
  <r>
    <x v="1355"/>
    <x v="123"/>
    <x v="0"/>
    <x v="0"/>
    <x v="1"/>
    <n v="17.795671193775455"/>
    <b v="0"/>
    <s v="MD_11"/>
    <x v="0"/>
  </r>
  <r>
    <x v="1356"/>
    <x v="139"/>
    <x v="2"/>
    <x v="3"/>
    <x v="0"/>
    <n v="6.3212553988553006"/>
    <b v="0"/>
    <s v="MD_13"/>
    <x v="1"/>
  </r>
  <r>
    <x v="1357"/>
    <x v="325"/>
    <x v="0"/>
    <x v="0"/>
    <x v="0"/>
    <n v="6.389644076761706"/>
    <b v="0"/>
    <s v="MD_15"/>
    <x v="1"/>
  </r>
  <r>
    <x v="1358"/>
    <x v="309"/>
    <x v="0"/>
    <x v="4"/>
    <x v="0"/>
    <n v="32.521569491422682"/>
    <b v="0"/>
    <s v="MD_12"/>
    <x v="0"/>
  </r>
  <r>
    <x v="1359"/>
    <x v="615"/>
    <x v="2"/>
    <x v="3"/>
    <x v="0"/>
    <n v="4.4515237639629612"/>
    <b v="0"/>
    <s v="MD_18"/>
    <x v="1"/>
  </r>
  <r>
    <x v="1360"/>
    <x v="383"/>
    <x v="2"/>
    <x v="2"/>
    <x v="0"/>
    <n v="30.707478234121744"/>
    <b v="0"/>
    <s v="MD_15"/>
    <x v="0"/>
  </r>
  <r>
    <x v="1361"/>
    <x v="398"/>
    <x v="1"/>
    <x v="4"/>
    <x v="0"/>
    <n v="5.7739649108335422"/>
    <b v="0"/>
    <s v="MD_14"/>
    <x v="1"/>
  </r>
  <r>
    <x v="1362"/>
    <x v="237"/>
    <x v="3"/>
    <x v="4"/>
    <x v="0"/>
    <n v="5.4701289726664992"/>
    <b v="0"/>
    <s v="MD_13"/>
    <x v="1"/>
  </r>
  <r>
    <x v="1363"/>
    <x v="493"/>
    <x v="2"/>
    <x v="3"/>
    <x v="1"/>
    <n v="12.311304539205711"/>
    <b v="0"/>
    <s v="MD_20"/>
    <x v="0"/>
  </r>
  <r>
    <x v="1364"/>
    <x v="223"/>
    <x v="0"/>
    <x v="4"/>
    <x v="1"/>
    <n v="15.255611271182772"/>
    <b v="0"/>
    <s v="MD_13"/>
    <x v="0"/>
  </r>
  <r>
    <x v="1365"/>
    <x v="88"/>
    <x v="3"/>
    <x v="1"/>
    <x v="0"/>
    <n v="4.6604433718872693"/>
    <b v="0"/>
    <s v="MD_11"/>
    <x v="1"/>
  </r>
  <r>
    <x v="1366"/>
    <x v="222"/>
    <x v="1"/>
    <x v="4"/>
    <x v="1"/>
    <n v="32.142839594629102"/>
    <b v="0"/>
    <s v="MD_01"/>
    <x v="0"/>
  </r>
  <r>
    <x v="1367"/>
    <x v="338"/>
    <x v="3"/>
    <x v="1"/>
    <x v="0"/>
    <n v="5.0540494474948385"/>
    <b v="0"/>
    <s v="MD_06"/>
    <x v="1"/>
  </r>
  <r>
    <x v="1368"/>
    <x v="616"/>
    <x v="2"/>
    <x v="1"/>
    <x v="1"/>
    <n v="26.48593557585723"/>
    <b v="0"/>
    <s v="MD_08"/>
    <x v="0"/>
  </r>
  <r>
    <x v="1369"/>
    <x v="80"/>
    <x v="3"/>
    <x v="1"/>
    <x v="1"/>
    <n v="27.876378018483962"/>
    <b v="0"/>
    <s v="MD_10"/>
    <x v="0"/>
  </r>
  <r>
    <x v="1370"/>
    <x v="541"/>
    <x v="3"/>
    <x v="0"/>
    <x v="0"/>
    <n v="32.281941984683634"/>
    <b v="0"/>
    <s v="MD_02"/>
    <x v="0"/>
  </r>
  <r>
    <x v="1371"/>
    <x v="344"/>
    <x v="3"/>
    <x v="1"/>
    <x v="1"/>
    <n v="16.533897294775404"/>
    <b v="0"/>
    <s v="MD_15"/>
    <x v="0"/>
  </r>
  <r>
    <x v="1372"/>
    <x v="462"/>
    <x v="0"/>
    <x v="4"/>
    <x v="0"/>
    <n v="5.8230675737904773"/>
    <b v="0"/>
    <s v="MD_01"/>
    <x v="1"/>
  </r>
  <r>
    <x v="1373"/>
    <x v="511"/>
    <x v="3"/>
    <x v="1"/>
    <x v="1"/>
    <n v="7.3868898111510966"/>
    <b v="0"/>
    <s v="MD_17"/>
    <x v="1"/>
  </r>
  <r>
    <x v="1374"/>
    <x v="185"/>
    <x v="3"/>
    <x v="3"/>
    <x v="0"/>
    <n v="32.243911265179435"/>
    <b v="0"/>
    <s v="MD_20"/>
    <x v="0"/>
  </r>
  <r>
    <x v="1375"/>
    <x v="219"/>
    <x v="1"/>
    <x v="1"/>
    <x v="0"/>
    <n v="4.7416798192338785"/>
    <b v="0"/>
    <s v="MD_19"/>
    <x v="1"/>
  </r>
  <r>
    <x v="1376"/>
    <x v="363"/>
    <x v="0"/>
    <x v="0"/>
    <x v="1"/>
    <n v="18.184395303819738"/>
    <b v="0"/>
    <s v="MD_20"/>
    <x v="0"/>
  </r>
  <r>
    <x v="1377"/>
    <x v="616"/>
    <x v="0"/>
    <x v="0"/>
    <x v="1"/>
    <n v="35.119572963674571"/>
    <b v="0"/>
    <s v="MD_13"/>
    <x v="0"/>
  </r>
  <r>
    <x v="1378"/>
    <x v="116"/>
    <x v="1"/>
    <x v="1"/>
    <x v="0"/>
    <n v="8.0339934059286335"/>
    <b v="0"/>
    <s v="MD_15"/>
    <x v="1"/>
  </r>
  <r>
    <x v="1379"/>
    <x v="617"/>
    <x v="2"/>
    <x v="2"/>
    <x v="1"/>
    <n v="28.798489727014768"/>
    <b v="0"/>
    <s v="MD_07"/>
    <x v="0"/>
  </r>
  <r>
    <x v="1380"/>
    <x v="287"/>
    <x v="0"/>
    <x v="2"/>
    <x v="1"/>
    <n v="3.0835402148530702"/>
    <b v="0"/>
    <s v="MD_19"/>
    <x v="1"/>
  </r>
  <r>
    <x v="1381"/>
    <x v="484"/>
    <x v="2"/>
    <x v="2"/>
    <x v="1"/>
    <n v="21.405309142970278"/>
    <b v="0"/>
    <s v="MD_19"/>
    <x v="0"/>
  </r>
  <r>
    <x v="1382"/>
    <x v="463"/>
    <x v="3"/>
    <x v="4"/>
    <x v="1"/>
    <n v="7.9403556214564013"/>
    <b v="0"/>
    <s v="MD_07"/>
    <x v="1"/>
  </r>
  <r>
    <x v="1383"/>
    <x v="618"/>
    <x v="2"/>
    <x v="3"/>
    <x v="0"/>
    <n v="5.0917367146127237"/>
    <b v="0"/>
    <s v="MD_06"/>
    <x v="1"/>
  </r>
  <r>
    <x v="1384"/>
    <x v="494"/>
    <x v="0"/>
    <x v="1"/>
    <x v="0"/>
    <n v="26.208341650721867"/>
    <b v="0"/>
    <s v="MD_06"/>
    <x v="0"/>
  </r>
  <r>
    <x v="1385"/>
    <x v="235"/>
    <x v="1"/>
    <x v="4"/>
    <x v="0"/>
    <n v="6.0894801123886841"/>
    <b v="0"/>
    <s v="MD_04"/>
    <x v="1"/>
  </r>
  <r>
    <x v="1386"/>
    <x v="619"/>
    <x v="1"/>
    <x v="4"/>
    <x v="1"/>
    <n v="6.8926944687778793"/>
    <b v="0"/>
    <s v="MD_09"/>
    <x v="1"/>
  </r>
  <r>
    <x v="1387"/>
    <x v="200"/>
    <x v="2"/>
    <x v="4"/>
    <x v="0"/>
    <n v="6.7327735471255341"/>
    <b v="0"/>
    <s v="MD_14"/>
    <x v="1"/>
  </r>
  <r>
    <x v="1388"/>
    <x v="424"/>
    <x v="1"/>
    <x v="3"/>
    <x v="0"/>
    <n v="5.193612696712405"/>
    <b v="0"/>
    <s v="MD_03"/>
    <x v="1"/>
  </r>
  <r>
    <x v="1389"/>
    <x v="25"/>
    <x v="1"/>
    <x v="4"/>
    <x v="1"/>
    <n v="29.201847843706759"/>
    <b v="0"/>
    <s v="MD_17"/>
    <x v="0"/>
  </r>
  <r>
    <x v="1390"/>
    <x v="236"/>
    <x v="0"/>
    <x v="4"/>
    <x v="1"/>
    <n v="22.435245511734472"/>
    <b v="0"/>
    <s v="MD_08"/>
    <x v="0"/>
  </r>
  <r>
    <x v="1391"/>
    <x v="414"/>
    <x v="3"/>
    <x v="1"/>
    <x v="1"/>
    <n v="15.996429727090961"/>
    <b v="0"/>
    <s v="MD_16"/>
    <x v="0"/>
  </r>
  <r>
    <x v="1392"/>
    <x v="296"/>
    <x v="1"/>
    <x v="3"/>
    <x v="0"/>
    <n v="5.7888903804628296"/>
    <b v="0"/>
    <s v="MD_12"/>
    <x v="2"/>
  </r>
  <r>
    <x v="1393"/>
    <x v="188"/>
    <x v="2"/>
    <x v="0"/>
    <x v="0"/>
    <n v="6.2463650588584887"/>
    <b v="0"/>
    <s v="MD_09"/>
    <x v="1"/>
  </r>
  <r>
    <x v="1394"/>
    <x v="619"/>
    <x v="1"/>
    <x v="1"/>
    <x v="0"/>
    <n v="7.7772209056315722"/>
    <b v="0"/>
    <s v="MD_14"/>
    <x v="1"/>
  </r>
  <r>
    <x v="1395"/>
    <x v="620"/>
    <x v="0"/>
    <x v="3"/>
    <x v="0"/>
    <n v="23.039607155679466"/>
    <b v="0"/>
    <s v="MD_12"/>
    <x v="0"/>
  </r>
  <r>
    <x v="1396"/>
    <x v="306"/>
    <x v="1"/>
    <x v="4"/>
    <x v="0"/>
    <n v="21.674501183064319"/>
    <b v="0"/>
    <s v="MD_19"/>
    <x v="0"/>
  </r>
  <r>
    <x v="1397"/>
    <x v="109"/>
    <x v="1"/>
    <x v="2"/>
    <x v="0"/>
    <n v="4.2312043143119933"/>
    <b v="0"/>
    <s v="MD_17"/>
    <x v="1"/>
  </r>
  <r>
    <x v="1398"/>
    <x v="341"/>
    <x v="2"/>
    <x v="4"/>
    <x v="1"/>
    <n v="20.288845847434175"/>
    <b v="0"/>
    <s v="MD_10"/>
    <x v="0"/>
  </r>
  <r>
    <x v="1399"/>
    <x v="321"/>
    <x v="0"/>
    <x v="2"/>
    <x v="0"/>
    <n v="3.1847299213545339"/>
    <b v="0"/>
    <s v="MD_01"/>
    <x v="1"/>
  </r>
  <r>
    <x v="1400"/>
    <x v="535"/>
    <x v="2"/>
    <x v="0"/>
    <x v="0"/>
    <n v="8.1585831055824425"/>
    <b v="0"/>
    <s v="MD_04"/>
    <x v="1"/>
  </r>
  <r>
    <x v="1401"/>
    <x v="621"/>
    <x v="0"/>
    <x v="4"/>
    <x v="1"/>
    <n v="11.869856006324779"/>
    <b v="0"/>
    <s v="MD_07"/>
    <x v="0"/>
  </r>
  <r>
    <x v="1402"/>
    <x v="622"/>
    <x v="1"/>
    <x v="1"/>
    <x v="0"/>
    <n v="5.0863479831938498"/>
    <b v="0"/>
    <s v="MD_17"/>
    <x v="1"/>
  </r>
  <r>
    <x v="1403"/>
    <x v="623"/>
    <x v="1"/>
    <x v="3"/>
    <x v="1"/>
    <n v="17.769032524600913"/>
    <b v="0"/>
    <s v="MD_10"/>
    <x v="0"/>
  </r>
  <r>
    <x v="1404"/>
    <x v="624"/>
    <x v="1"/>
    <x v="2"/>
    <x v="1"/>
    <n v="6.86284823355754"/>
    <b v="0"/>
    <s v="MD_19"/>
    <x v="1"/>
  </r>
  <r>
    <x v="1405"/>
    <x v="428"/>
    <x v="0"/>
    <x v="3"/>
    <x v="1"/>
    <n v="26.808458266627927"/>
    <b v="0"/>
    <s v="MD_05"/>
    <x v="0"/>
  </r>
  <r>
    <x v="1406"/>
    <x v="625"/>
    <x v="2"/>
    <x v="1"/>
    <x v="0"/>
    <n v="25.624975395641428"/>
    <b v="0"/>
    <s v="MD_03"/>
    <x v="0"/>
  </r>
  <r>
    <x v="1407"/>
    <x v="601"/>
    <x v="0"/>
    <x v="4"/>
    <x v="0"/>
    <n v="4.4845963692085276"/>
    <b v="0"/>
    <s v="MD_19"/>
    <x v="1"/>
  </r>
  <r>
    <x v="1408"/>
    <x v="520"/>
    <x v="2"/>
    <x v="4"/>
    <x v="0"/>
    <n v="6.3050333476042804"/>
    <b v="0"/>
    <s v="MD_19"/>
    <x v="1"/>
  </r>
  <r>
    <x v="1409"/>
    <x v="57"/>
    <x v="1"/>
    <x v="2"/>
    <x v="0"/>
    <n v="8.9576768560724904"/>
    <b v="0"/>
    <s v="MD_14"/>
    <x v="0"/>
  </r>
  <r>
    <x v="1410"/>
    <x v="458"/>
    <x v="1"/>
    <x v="2"/>
    <x v="0"/>
    <n v="7.3069029826466441"/>
    <b v="0"/>
    <s v="MD_19"/>
    <x v="1"/>
  </r>
  <r>
    <x v="1411"/>
    <x v="626"/>
    <x v="3"/>
    <x v="4"/>
    <x v="1"/>
    <n v="30.386993585163836"/>
    <b v="0"/>
    <s v="MD_04"/>
    <x v="0"/>
  </r>
  <r>
    <x v="1412"/>
    <x v="541"/>
    <x v="2"/>
    <x v="3"/>
    <x v="0"/>
    <n v="1.4183250415942252"/>
    <b v="0"/>
    <s v="MD_06"/>
    <x v="1"/>
  </r>
  <r>
    <x v="1413"/>
    <x v="522"/>
    <x v="0"/>
    <x v="1"/>
    <x v="0"/>
    <n v="5.1503003528663998"/>
    <b v="1"/>
    <s v="MD_16"/>
    <x v="1"/>
  </r>
  <r>
    <x v="1414"/>
    <x v="7"/>
    <x v="2"/>
    <x v="4"/>
    <x v="0"/>
    <n v="21.22191410077922"/>
    <b v="0"/>
    <s v="MD_07"/>
    <x v="0"/>
  </r>
  <r>
    <x v="1415"/>
    <x v="489"/>
    <x v="3"/>
    <x v="1"/>
    <x v="1"/>
    <n v="3.2202912919785134"/>
    <b v="0"/>
    <s v="MD_12"/>
    <x v="1"/>
  </r>
  <r>
    <x v="1416"/>
    <x v="627"/>
    <x v="1"/>
    <x v="4"/>
    <x v="1"/>
    <n v="21.89954940314713"/>
    <b v="0"/>
    <s v="MD_08"/>
    <x v="0"/>
  </r>
  <r>
    <x v="1417"/>
    <x v="342"/>
    <x v="0"/>
    <x v="0"/>
    <x v="0"/>
    <n v="5.253805321019926"/>
    <b v="0"/>
    <s v="MD_04"/>
    <x v="1"/>
  </r>
  <r>
    <x v="1418"/>
    <x v="559"/>
    <x v="3"/>
    <x v="3"/>
    <x v="0"/>
    <n v="22.41981269963836"/>
    <b v="0"/>
    <s v="MD_05"/>
    <x v="0"/>
  </r>
  <r>
    <x v="1419"/>
    <x v="628"/>
    <x v="0"/>
    <x v="4"/>
    <x v="1"/>
    <n v="24.897177193087604"/>
    <b v="0"/>
    <s v="MD_09"/>
    <x v="0"/>
  </r>
  <r>
    <x v="1420"/>
    <x v="310"/>
    <x v="0"/>
    <x v="3"/>
    <x v="0"/>
    <n v="5.5605352098902827"/>
    <b v="0"/>
    <s v="MD_17"/>
    <x v="1"/>
  </r>
  <r>
    <x v="1421"/>
    <x v="90"/>
    <x v="0"/>
    <x v="2"/>
    <x v="0"/>
    <n v="16.940210091817292"/>
    <b v="0"/>
    <s v="MD_08"/>
    <x v="0"/>
  </r>
  <r>
    <x v="1422"/>
    <x v="153"/>
    <x v="0"/>
    <x v="3"/>
    <x v="0"/>
    <n v="4.0141839278593467"/>
    <b v="0"/>
    <s v="MD_14"/>
    <x v="1"/>
  </r>
  <r>
    <x v="1423"/>
    <x v="618"/>
    <x v="2"/>
    <x v="0"/>
    <x v="0"/>
    <n v="6.5036656306202651"/>
    <b v="0"/>
    <s v="MD_07"/>
    <x v="1"/>
  </r>
  <r>
    <x v="1424"/>
    <x v="421"/>
    <x v="3"/>
    <x v="4"/>
    <x v="1"/>
    <n v="25.869626167108279"/>
    <b v="0"/>
    <s v="MD_03"/>
    <x v="0"/>
  </r>
  <r>
    <x v="1425"/>
    <x v="66"/>
    <x v="2"/>
    <x v="0"/>
    <x v="0"/>
    <n v="5.731086737793059"/>
    <b v="0"/>
    <s v="MD_18"/>
    <x v="1"/>
  </r>
  <r>
    <x v="1426"/>
    <x v="569"/>
    <x v="3"/>
    <x v="1"/>
    <x v="0"/>
    <n v="3.1528273870296961"/>
    <b v="0"/>
    <s v="MD_02"/>
    <x v="1"/>
  </r>
  <r>
    <x v="1427"/>
    <x v="290"/>
    <x v="1"/>
    <x v="0"/>
    <x v="1"/>
    <n v="18.675680969224803"/>
    <b v="0"/>
    <s v="MD_08"/>
    <x v="0"/>
  </r>
  <r>
    <x v="1428"/>
    <x v="380"/>
    <x v="0"/>
    <x v="4"/>
    <x v="0"/>
    <n v="14.689439967459839"/>
    <b v="0"/>
    <s v="MD_14"/>
    <x v="0"/>
  </r>
  <r>
    <x v="1429"/>
    <x v="629"/>
    <x v="2"/>
    <x v="2"/>
    <x v="1"/>
    <n v="26.466742048952248"/>
    <b v="0"/>
    <s v="MD_18"/>
    <x v="0"/>
  </r>
  <r>
    <x v="1430"/>
    <x v="324"/>
    <x v="1"/>
    <x v="4"/>
    <x v="0"/>
    <n v="5.551040793799956"/>
    <b v="0"/>
    <s v="MD_09"/>
    <x v="1"/>
  </r>
  <r>
    <x v="1431"/>
    <x v="317"/>
    <x v="3"/>
    <x v="2"/>
    <x v="0"/>
    <n v="4.8232155567557875"/>
    <b v="0"/>
    <s v="MD_20"/>
    <x v="1"/>
  </r>
  <r>
    <x v="1432"/>
    <x v="428"/>
    <x v="2"/>
    <x v="3"/>
    <x v="1"/>
    <n v="17.576037289892611"/>
    <b v="0"/>
    <s v="MD_04"/>
    <x v="0"/>
  </r>
  <r>
    <x v="1433"/>
    <x v="630"/>
    <x v="0"/>
    <x v="1"/>
    <x v="0"/>
    <n v="3.3606856817073556"/>
    <b v="0"/>
    <s v="MD_10"/>
    <x v="1"/>
  </r>
  <r>
    <x v="1434"/>
    <x v="631"/>
    <x v="2"/>
    <x v="2"/>
    <x v="0"/>
    <n v="4.864500195795685"/>
    <b v="0"/>
    <s v="MD_14"/>
    <x v="1"/>
  </r>
  <r>
    <x v="1435"/>
    <x v="449"/>
    <x v="3"/>
    <x v="0"/>
    <x v="0"/>
    <n v="7.0287023878148895"/>
    <b v="0"/>
    <s v="MD_19"/>
    <x v="1"/>
  </r>
  <r>
    <x v="1436"/>
    <x v="93"/>
    <x v="3"/>
    <x v="3"/>
    <x v="1"/>
    <n v="32.484287386952829"/>
    <b v="0"/>
    <s v="MD_09"/>
    <x v="0"/>
  </r>
  <r>
    <x v="1437"/>
    <x v="137"/>
    <x v="1"/>
    <x v="0"/>
    <x v="1"/>
    <n v="6.271547082449306"/>
    <b v="0"/>
    <s v="MD_01"/>
    <x v="2"/>
  </r>
  <r>
    <x v="1438"/>
    <x v="145"/>
    <x v="1"/>
    <x v="0"/>
    <x v="1"/>
    <n v="25.533186102981524"/>
    <b v="0"/>
    <s v="MD_20"/>
    <x v="0"/>
  </r>
  <r>
    <x v="1439"/>
    <x v="264"/>
    <x v="2"/>
    <x v="3"/>
    <x v="0"/>
    <n v="4.47781289041564"/>
    <b v="0"/>
    <s v="MD_10"/>
    <x v="1"/>
  </r>
  <r>
    <x v="1440"/>
    <x v="460"/>
    <x v="0"/>
    <x v="2"/>
    <x v="1"/>
    <n v="17.142197615769913"/>
    <b v="0"/>
    <s v="MD_16"/>
    <x v="0"/>
  </r>
  <r>
    <x v="1441"/>
    <x v="538"/>
    <x v="1"/>
    <x v="3"/>
    <x v="0"/>
    <n v="4.1454467449140946"/>
    <b v="0"/>
    <s v="MD_07"/>
    <x v="1"/>
  </r>
  <r>
    <x v="1442"/>
    <x v="632"/>
    <x v="0"/>
    <x v="2"/>
    <x v="0"/>
    <n v="5.2273526537684818"/>
    <b v="0"/>
    <s v="MD_15"/>
    <x v="1"/>
  </r>
  <r>
    <x v="1443"/>
    <x v="335"/>
    <x v="2"/>
    <x v="4"/>
    <x v="0"/>
    <n v="7.695860674197748"/>
    <b v="0"/>
    <s v="MD_07"/>
    <x v="1"/>
  </r>
  <r>
    <x v="1444"/>
    <x v="629"/>
    <x v="0"/>
    <x v="2"/>
    <x v="1"/>
    <n v="41.371209866336891"/>
    <b v="0"/>
    <s v="MD_17"/>
    <x v="0"/>
  </r>
  <r>
    <x v="1445"/>
    <x v="521"/>
    <x v="0"/>
    <x v="1"/>
    <x v="0"/>
    <n v="8.3594667237024076"/>
    <b v="0"/>
    <s v="MD_05"/>
    <x v="1"/>
  </r>
  <r>
    <x v="1446"/>
    <x v="174"/>
    <x v="0"/>
    <x v="2"/>
    <x v="1"/>
    <n v="27.562451887773165"/>
    <b v="0"/>
    <s v="MD_17"/>
    <x v="0"/>
  </r>
  <r>
    <x v="1447"/>
    <x v="182"/>
    <x v="1"/>
    <x v="1"/>
    <x v="0"/>
    <n v="3.5113531276423049"/>
    <b v="0"/>
    <s v="MD_05"/>
    <x v="1"/>
  </r>
  <r>
    <x v="1448"/>
    <x v="346"/>
    <x v="0"/>
    <x v="1"/>
    <x v="0"/>
    <n v="22.373277618593704"/>
    <b v="0"/>
    <s v="MD_09"/>
    <x v="0"/>
  </r>
  <r>
    <x v="1449"/>
    <x v="633"/>
    <x v="0"/>
    <x v="3"/>
    <x v="0"/>
    <n v="6.8847935940803531"/>
    <b v="0"/>
    <s v="MD_16"/>
    <x v="1"/>
  </r>
  <r>
    <x v="1450"/>
    <x v="388"/>
    <x v="3"/>
    <x v="4"/>
    <x v="0"/>
    <n v="7.5654713326737228"/>
    <b v="0"/>
    <s v="MD_19"/>
    <x v="1"/>
  </r>
  <r>
    <x v="1451"/>
    <x v="397"/>
    <x v="2"/>
    <x v="1"/>
    <x v="0"/>
    <n v="5.0555706489329371"/>
    <b v="0"/>
    <s v="MD_14"/>
    <x v="1"/>
  </r>
  <r>
    <x v="1452"/>
    <x v="238"/>
    <x v="2"/>
    <x v="4"/>
    <x v="0"/>
    <n v="7.6405344104429744"/>
    <b v="0"/>
    <s v="MD_15"/>
    <x v="1"/>
  </r>
  <r>
    <x v="1453"/>
    <x v="67"/>
    <x v="2"/>
    <x v="3"/>
    <x v="0"/>
    <n v="6.2367167011904234"/>
    <b v="0"/>
    <s v="MD_19"/>
    <x v="1"/>
  </r>
  <r>
    <x v="1454"/>
    <x v="491"/>
    <x v="1"/>
    <x v="0"/>
    <x v="0"/>
    <n v="7.2936976738928037"/>
    <b v="0"/>
    <s v="MD_05"/>
    <x v="1"/>
  </r>
  <r>
    <x v="1455"/>
    <x v="492"/>
    <x v="3"/>
    <x v="0"/>
    <x v="1"/>
    <n v="3.874205429508546"/>
    <b v="0"/>
    <s v="MD_09"/>
    <x v="2"/>
  </r>
  <r>
    <x v="1456"/>
    <x v="534"/>
    <x v="2"/>
    <x v="4"/>
    <x v="0"/>
    <n v="23.227751699019716"/>
    <b v="0"/>
    <s v="MD_02"/>
    <x v="0"/>
  </r>
  <r>
    <x v="1457"/>
    <x v="369"/>
    <x v="1"/>
    <x v="3"/>
    <x v="0"/>
    <n v="5.3239772891424071"/>
    <b v="0"/>
    <s v="MD_06"/>
    <x v="1"/>
  </r>
  <r>
    <x v="1458"/>
    <x v="418"/>
    <x v="0"/>
    <x v="3"/>
    <x v="1"/>
    <n v="25.5382868961741"/>
    <b v="0"/>
    <s v="MD_18"/>
    <x v="0"/>
  </r>
  <r>
    <x v="1459"/>
    <x v="634"/>
    <x v="1"/>
    <x v="2"/>
    <x v="0"/>
    <n v="35.459142405169672"/>
    <b v="0"/>
    <s v="MD_13"/>
    <x v="0"/>
  </r>
  <r>
    <x v="1460"/>
    <x v="407"/>
    <x v="1"/>
    <x v="3"/>
    <x v="1"/>
    <n v="10.111796589892588"/>
    <b v="0"/>
    <s v="MD_16"/>
    <x v="0"/>
  </r>
  <r>
    <x v="1461"/>
    <x v="635"/>
    <x v="2"/>
    <x v="2"/>
    <x v="1"/>
    <n v="7.8238218672759681"/>
    <b v="0"/>
    <s v="MD_04"/>
    <x v="1"/>
  </r>
  <r>
    <x v="1462"/>
    <x v="76"/>
    <x v="0"/>
    <x v="2"/>
    <x v="0"/>
    <n v="6.2088976668367284"/>
    <b v="0"/>
    <s v="MD_03"/>
    <x v="1"/>
  </r>
  <r>
    <x v="1463"/>
    <x v="435"/>
    <x v="0"/>
    <x v="4"/>
    <x v="0"/>
    <n v="7.9092952755555199"/>
    <b v="0"/>
    <s v="MD_05"/>
    <x v="1"/>
  </r>
  <r>
    <x v="1464"/>
    <x v="191"/>
    <x v="3"/>
    <x v="2"/>
    <x v="1"/>
    <n v="6.9175480341878206"/>
    <b v="0"/>
    <s v="MD_08"/>
    <x v="1"/>
  </r>
  <r>
    <x v="1465"/>
    <x v="42"/>
    <x v="0"/>
    <x v="3"/>
    <x v="0"/>
    <n v="8.1878523593930641"/>
    <b v="0"/>
    <s v="MD_20"/>
    <x v="1"/>
  </r>
  <r>
    <x v="1466"/>
    <x v="586"/>
    <x v="2"/>
    <x v="1"/>
    <x v="0"/>
    <n v="6.7693653214427307"/>
    <b v="0"/>
    <s v="MD_04"/>
    <x v="2"/>
  </r>
  <r>
    <x v="1467"/>
    <x v="304"/>
    <x v="1"/>
    <x v="2"/>
    <x v="0"/>
    <n v="8.5459017102590735"/>
    <b v="0"/>
    <s v="MD_18"/>
    <x v="1"/>
  </r>
  <r>
    <x v="1468"/>
    <x v="495"/>
    <x v="2"/>
    <x v="2"/>
    <x v="1"/>
    <n v="16.041059060091072"/>
    <b v="0"/>
    <s v="MD_13"/>
    <x v="0"/>
  </r>
  <r>
    <x v="1469"/>
    <x v="636"/>
    <x v="2"/>
    <x v="1"/>
    <x v="0"/>
    <n v="2.5317759761073848"/>
    <b v="0"/>
    <s v="MD_09"/>
    <x v="1"/>
  </r>
  <r>
    <x v="1470"/>
    <x v="140"/>
    <x v="2"/>
    <x v="2"/>
    <x v="0"/>
    <n v="5.714727267480793"/>
    <b v="0"/>
    <s v="MD_12"/>
    <x v="1"/>
  </r>
  <r>
    <x v="1471"/>
    <x v="289"/>
    <x v="3"/>
    <x v="1"/>
    <x v="1"/>
    <n v="5.2018015542045557"/>
    <b v="1"/>
    <s v="MD_09"/>
    <x v="1"/>
  </r>
  <r>
    <x v="1472"/>
    <x v="414"/>
    <x v="2"/>
    <x v="2"/>
    <x v="1"/>
    <n v="17.799877681330933"/>
    <b v="0"/>
    <s v="MD_05"/>
    <x v="0"/>
  </r>
  <r>
    <x v="1473"/>
    <x v="545"/>
    <x v="2"/>
    <x v="0"/>
    <x v="0"/>
    <n v="2.1820288537182191"/>
    <b v="0"/>
    <s v="MD_12"/>
    <x v="1"/>
  </r>
  <r>
    <x v="1474"/>
    <x v="637"/>
    <x v="1"/>
    <x v="0"/>
    <x v="1"/>
    <n v="7.7862634641364403"/>
    <b v="0"/>
    <s v="MD_15"/>
    <x v="1"/>
  </r>
  <r>
    <x v="1475"/>
    <x v="264"/>
    <x v="1"/>
    <x v="0"/>
    <x v="0"/>
    <n v="4.1293359900332902"/>
    <b v="0"/>
    <s v="MD_04"/>
    <x v="1"/>
  </r>
  <r>
    <x v="1476"/>
    <x v="515"/>
    <x v="2"/>
    <x v="4"/>
    <x v="0"/>
    <n v="8.5794356364190918"/>
    <b v="0"/>
    <s v="MD_13"/>
    <x v="1"/>
  </r>
  <r>
    <x v="1477"/>
    <x v="96"/>
    <x v="2"/>
    <x v="1"/>
    <x v="0"/>
    <n v="3.262038646726237"/>
    <b v="0"/>
    <s v="MD_02"/>
    <x v="1"/>
  </r>
  <r>
    <x v="1478"/>
    <x v="89"/>
    <x v="3"/>
    <x v="3"/>
    <x v="1"/>
    <n v="7.077984882735306"/>
    <b v="0"/>
    <s v="MD_05"/>
    <x v="1"/>
  </r>
  <r>
    <x v="1479"/>
    <x v="393"/>
    <x v="2"/>
    <x v="0"/>
    <x v="0"/>
    <n v="35.747027928775132"/>
    <b v="0"/>
    <s v="MD_07"/>
    <x v="0"/>
  </r>
  <r>
    <x v="1480"/>
    <x v="638"/>
    <x v="1"/>
    <x v="4"/>
    <x v="0"/>
    <n v="4.1167129170146453"/>
    <b v="0"/>
    <s v="MD_15"/>
    <x v="1"/>
  </r>
  <r>
    <x v="1481"/>
    <x v="639"/>
    <x v="0"/>
    <x v="4"/>
    <x v="1"/>
    <n v="5.8556270362053517"/>
    <b v="0"/>
    <s v="MD_07"/>
    <x v="1"/>
  </r>
  <r>
    <x v="1482"/>
    <x v="640"/>
    <x v="2"/>
    <x v="1"/>
    <x v="0"/>
    <n v="6.6995187162742882"/>
    <b v="0"/>
    <s v="MD_07"/>
    <x v="1"/>
  </r>
  <r>
    <x v="1483"/>
    <x v="641"/>
    <x v="0"/>
    <x v="2"/>
    <x v="0"/>
    <n v="23.272580195849713"/>
    <b v="0"/>
    <s v="MD_10"/>
    <x v="0"/>
  </r>
  <r>
    <x v="1484"/>
    <x v="630"/>
    <x v="2"/>
    <x v="2"/>
    <x v="0"/>
    <n v="4.6196926522814703"/>
    <b v="0"/>
    <s v="MD_11"/>
    <x v="1"/>
  </r>
  <r>
    <x v="1485"/>
    <x v="243"/>
    <x v="1"/>
    <x v="2"/>
    <x v="0"/>
    <n v="36.273494940979916"/>
    <b v="0"/>
    <s v="MD_06"/>
    <x v="0"/>
  </r>
  <r>
    <x v="1486"/>
    <x v="465"/>
    <x v="0"/>
    <x v="2"/>
    <x v="0"/>
    <n v="4.9722297165128779"/>
    <b v="0"/>
    <s v="MD_02"/>
    <x v="2"/>
  </r>
  <r>
    <x v="1487"/>
    <x v="252"/>
    <x v="2"/>
    <x v="1"/>
    <x v="0"/>
    <n v="6.5443540604919264"/>
    <b v="0"/>
    <s v="MD_13"/>
    <x v="1"/>
  </r>
  <r>
    <x v="1488"/>
    <x v="345"/>
    <x v="3"/>
    <x v="3"/>
    <x v="0"/>
    <n v="8.0674912864953789"/>
    <b v="0"/>
    <s v="MD_03"/>
    <x v="1"/>
  </r>
  <r>
    <x v="1489"/>
    <x v="613"/>
    <x v="2"/>
    <x v="3"/>
    <x v="0"/>
    <n v="5.4280917699613633"/>
    <b v="0"/>
    <s v="MD_12"/>
    <x v="1"/>
  </r>
  <r>
    <x v="1490"/>
    <x v="187"/>
    <x v="1"/>
    <x v="2"/>
    <x v="0"/>
    <n v="15.151514191496199"/>
    <b v="0"/>
    <s v="MD_19"/>
    <x v="0"/>
  </r>
  <r>
    <x v="1491"/>
    <x v="291"/>
    <x v="3"/>
    <x v="2"/>
    <x v="1"/>
    <n v="3.6751093545150852"/>
    <b v="0"/>
    <s v="MD_12"/>
    <x v="1"/>
  </r>
  <r>
    <x v="1492"/>
    <x v="642"/>
    <x v="0"/>
    <x v="1"/>
    <x v="0"/>
    <n v="24.242243809655459"/>
    <b v="0"/>
    <s v="MD_03"/>
    <x v="0"/>
  </r>
  <r>
    <x v="1493"/>
    <x v="397"/>
    <x v="0"/>
    <x v="0"/>
    <x v="0"/>
    <n v="3.4171010660622594"/>
    <b v="0"/>
    <s v="MD_01"/>
    <x v="2"/>
  </r>
  <r>
    <x v="1494"/>
    <x v="116"/>
    <x v="1"/>
    <x v="4"/>
    <x v="0"/>
    <n v="10.242259293163626"/>
    <b v="0"/>
    <s v="MD_16"/>
    <x v="0"/>
  </r>
  <r>
    <x v="1495"/>
    <x v="454"/>
    <x v="3"/>
    <x v="3"/>
    <x v="1"/>
    <n v="21.257144389607031"/>
    <b v="0"/>
    <s v="MD_06"/>
    <x v="0"/>
  </r>
  <r>
    <x v="1496"/>
    <x v="454"/>
    <x v="0"/>
    <x v="0"/>
    <x v="1"/>
    <n v="18.161283216265424"/>
    <b v="0"/>
    <s v="MD_15"/>
    <x v="0"/>
  </r>
  <r>
    <x v="1497"/>
    <x v="446"/>
    <x v="2"/>
    <x v="1"/>
    <x v="1"/>
    <n v="5.5098283339800425"/>
    <b v="0"/>
    <s v="MD_09"/>
    <x v="1"/>
  </r>
  <r>
    <x v="1498"/>
    <x v="513"/>
    <x v="0"/>
    <x v="0"/>
    <x v="0"/>
    <n v="5.2823765936543374"/>
    <b v="0"/>
    <s v="MD_19"/>
    <x v="1"/>
  </r>
  <r>
    <x v="1499"/>
    <x v="120"/>
    <x v="1"/>
    <x v="1"/>
    <x v="0"/>
    <n v="25.309603544830519"/>
    <b v="0"/>
    <s v="MD_11"/>
    <x v="0"/>
  </r>
  <r>
    <x v="1500"/>
    <x v="9"/>
    <x v="3"/>
    <x v="0"/>
    <x v="0"/>
    <n v="8.3027333305551796"/>
    <b v="0"/>
    <s v="MD_18"/>
    <x v="1"/>
  </r>
  <r>
    <x v="1501"/>
    <x v="330"/>
    <x v="2"/>
    <x v="3"/>
    <x v="0"/>
    <n v="9.3886881052354827"/>
    <b v="0"/>
    <s v="MD_03"/>
    <x v="1"/>
  </r>
  <r>
    <x v="1502"/>
    <x v="295"/>
    <x v="0"/>
    <x v="1"/>
    <x v="1"/>
    <n v="36.480943853927982"/>
    <b v="0"/>
    <s v="MD_03"/>
    <x v="0"/>
  </r>
  <r>
    <x v="1503"/>
    <x v="429"/>
    <x v="2"/>
    <x v="1"/>
    <x v="0"/>
    <n v="27.965264546727393"/>
    <b v="0"/>
    <s v="MD_19"/>
    <x v="0"/>
  </r>
  <r>
    <x v="1504"/>
    <x v="380"/>
    <x v="1"/>
    <x v="3"/>
    <x v="1"/>
    <n v="5.7761670822915319"/>
    <b v="0"/>
    <s v="MD_08"/>
    <x v="1"/>
  </r>
  <r>
    <x v="1505"/>
    <x v="173"/>
    <x v="2"/>
    <x v="3"/>
    <x v="0"/>
    <n v="16.113444631841549"/>
    <b v="0"/>
    <s v="MD_02"/>
    <x v="0"/>
  </r>
  <r>
    <x v="1506"/>
    <x v="244"/>
    <x v="0"/>
    <x v="4"/>
    <x v="0"/>
    <n v="10.745117034552866"/>
    <b v="0"/>
    <s v="MD_18"/>
    <x v="1"/>
  </r>
  <r>
    <x v="1507"/>
    <x v="507"/>
    <x v="1"/>
    <x v="0"/>
    <x v="1"/>
    <n v="12.685360119169101"/>
    <b v="0"/>
    <s v="MD_03"/>
    <x v="0"/>
  </r>
  <r>
    <x v="1508"/>
    <x v="356"/>
    <x v="2"/>
    <x v="2"/>
    <x v="1"/>
    <n v="3.1871528460497904"/>
    <b v="0"/>
    <s v="MD_07"/>
    <x v="1"/>
  </r>
  <r>
    <x v="1509"/>
    <x v="356"/>
    <x v="1"/>
    <x v="2"/>
    <x v="1"/>
    <n v="4.3885592067986483"/>
    <b v="0"/>
    <s v="MD_19"/>
    <x v="1"/>
  </r>
  <r>
    <x v="1510"/>
    <x v="28"/>
    <x v="3"/>
    <x v="3"/>
    <x v="1"/>
    <n v="28.869336896374932"/>
    <b v="0"/>
    <s v="MD_06"/>
    <x v="0"/>
  </r>
  <r>
    <x v="1511"/>
    <x v="438"/>
    <x v="0"/>
    <x v="0"/>
    <x v="0"/>
    <n v="29.150872910001038"/>
    <b v="0"/>
    <s v="MD_15"/>
    <x v="0"/>
  </r>
  <r>
    <x v="1512"/>
    <x v="309"/>
    <x v="3"/>
    <x v="1"/>
    <x v="0"/>
    <n v="6.2267897882112688"/>
    <b v="0"/>
    <s v="MD_15"/>
    <x v="1"/>
  </r>
  <r>
    <x v="1513"/>
    <x v="276"/>
    <x v="1"/>
    <x v="2"/>
    <x v="0"/>
    <n v="9.069272801511751"/>
    <b v="0"/>
    <s v="MD_02"/>
    <x v="1"/>
  </r>
  <r>
    <x v="1514"/>
    <x v="61"/>
    <x v="0"/>
    <x v="1"/>
    <x v="0"/>
    <n v="7.7115989316773259"/>
    <b v="0"/>
    <s v="MD_11"/>
    <x v="1"/>
  </r>
  <r>
    <x v="1515"/>
    <x v="643"/>
    <x v="0"/>
    <x v="4"/>
    <x v="0"/>
    <n v="6.0940015968849854"/>
    <b v="0"/>
    <s v="MD_01"/>
    <x v="1"/>
  </r>
  <r>
    <x v="1516"/>
    <x v="644"/>
    <x v="2"/>
    <x v="4"/>
    <x v="0"/>
    <n v="5.8338736107553455"/>
    <b v="0"/>
    <s v="MD_14"/>
    <x v="1"/>
  </r>
  <r>
    <x v="1517"/>
    <x v="64"/>
    <x v="0"/>
    <x v="0"/>
    <x v="0"/>
    <n v="32.060859506366519"/>
    <b v="0"/>
    <s v="MD_16"/>
    <x v="0"/>
  </r>
  <r>
    <x v="1518"/>
    <x v="640"/>
    <x v="0"/>
    <x v="4"/>
    <x v="0"/>
    <n v="6.2158374447289475"/>
    <b v="0"/>
    <s v="MD_11"/>
    <x v="1"/>
  </r>
  <r>
    <x v="1519"/>
    <x v="579"/>
    <x v="1"/>
    <x v="0"/>
    <x v="0"/>
    <n v="7.0764808577414193"/>
    <b v="0"/>
    <s v="MD_08"/>
    <x v="1"/>
  </r>
  <r>
    <x v="1520"/>
    <x v="175"/>
    <x v="2"/>
    <x v="4"/>
    <x v="1"/>
    <n v="26.959456599094747"/>
    <b v="0"/>
    <s v="MD_11"/>
    <x v="0"/>
  </r>
  <r>
    <x v="1521"/>
    <x v="382"/>
    <x v="1"/>
    <x v="3"/>
    <x v="1"/>
    <n v="26.273967867357424"/>
    <b v="0"/>
    <s v="MD_15"/>
    <x v="0"/>
  </r>
  <r>
    <x v="1522"/>
    <x v="180"/>
    <x v="1"/>
    <x v="2"/>
    <x v="1"/>
    <n v="19.939147770017112"/>
    <b v="0"/>
    <s v="MD_10"/>
    <x v="0"/>
  </r>
  <r>
    <x v="1523"/>
    <x v="180"/>
    <x v="0"/>
    <x v="4"/>
    <x v="1"/>
    <n v="17.964621594789158"/>
    <b v="0"/>
    <s v="MD_01"/>
    <x v="0"/>
  </r>
  <r>
    <x v="1524"/>
    <x v="409"/>
    <x v="2"/>
    <x v="4"/>
    <x v="1"/>
    <n v="22.63000590321413"/>
    <b v="0"/>
    <s v="MD_13"/>
    <x v="0"/>
  </r>
  <r>
    <x v="1525"/>
    <x v="639"/>
    <x v="1"/>
    <x v="1"/>
    <x v="0"/>
    <n v="8.3302543705979932"/>
    <b v="0"/>
    <s v="MD_07"/>
    <x v="1"/>
  </r>
  <r>
    <x v="1526"/>
    <x v="484"/>
    <x v="3"/>
    <x v="2"/>
    <x v="1"/>
    <n v="14.917690695618655"/>
    <b v="0"/>
    <s v="MD_17"/>
    <x v="0"/>
  </r>
  <r>
    <x v="1527"/>
    <x v="107"/>
    <x v="0"/>
    <x v="2"/>
    <x v="1"/>
    <n v="20.876517715103137"/>
    <b v="0"/>
    <s v="MD_06"/>
    <x v="0"/>
  </r>
  <r>
    <x v="1528"/>
    <x v="645"/>
    <x v="0"/>
    <x v="1"/>
    <x v="0"/>
    <n v="5.754587319792658"/>
    <b v="0"/>
    <s v="MD_07"/>
    <x v="1"/>
  </r>
  <r>
    <x v="1529"/>
    <x v="59"/>
    <x v="1"/>
    <x v="4"/>
    <x v="0"/>
    <n v="17.209052137111662"/>
    <b v="0"/>
    <s v="MD_04"/>
    <x v="0"/>
  </r>
  <r>
    <x v="1530"/>
    <x v="646"/>
    <x v="0"/>
    <x v="1"/>
    <x v="1"/>
    <n v="20.82028805117702"/>
    <b v="0"/>
    <s v="MD_03"/>
    <x v="0"/>
  </r>
  <r>
    <x v="1531"/>
    <x v="372"/>
    <x v="0"/>
    <x v="4"/>
    <x v="0"/>
    <n v="4.7424639496044465"/>
    <b v="0"/>
    <s v="MD_12"/>
    <x v="1"/>
  </r>
  <r>
    <x v="1532"/>
    <x v="534"/>
    <x v="1"/>
    <x v="2"/>
    <x v="0"/>
    <n v="24.807233565109417"/>
    <b v="0"/>
    <s v="MD_09"/>
    <x v="0"/>
  </r>
  <r>
    <x v="1533"/>
    <x v="444"/>
    <x v="0"/>
    <x v="1"/>
    <x v="1"/>
    <n v="4.4887178641953511"/>
    <b v="0"/>
    <s v="MD_17"/>
    <x v="1"/>
  </r>
  <r>
    <x v="1534"/>
    <x v="643"/>
    <x v="2"/>
    <x v="2"/>
    <x v="0"/>
    <n v="27.166877670715657"/>
    <b v="0"/>
    <s v="MD_09"/>
    <x v="0"/>
  </r>
  <r>
    <x v="1535"/>
    <x v="230"/>
    <x v="1"/>
    <x v="4"/>
    <x v="0"/>
    <n v="5.3880966384058038"/>
    <b v="0"/>
    <s v="MD_14"/>
    <x v="1"/>
  </r>
  <r>
    <x v="1536"/>
    <x v="4"/>
    <x v="0"/>
    <x v="3"/>
    <x v="0"/>
    <n v="7.7945501732858977"/>
    <b v="0"/>
    <s v="MD_08"/>
    <x v="1"/>
  </r>
  <r>
    <x v="1537"/>
    <x v="367"/>
    <x v="0"/>
    <x v="3"/>
    <x v="0"/>
    <n v="8.3734870425731831"/>
    <b v="0"/>
    <s v="MD_16"/>
    <x v="1"/>
  </r>
  <r>
    <x v="1538"/>
    <x v="563"/>
    <x v="2"/>
    <x v="4"/>
    <x v="0"/>
    <n v="3.3122388068538764"/>
    <b v="0"/>
    <s v="MD_10"/>
    <x v="1"/>
  </r>
  <r>
    <x v="1539"/>
    <x v="29"/>
    <x v="3"/>
    <x v="3"/>
    <x v="0"/>
    <n v="19.207560083945332"/>
    <b v="0"/>
    <s v="MD_11"/>
    <x v="0"/>
  </r>
  <r>
    <x v="1540"/>
    <x v="302"/>
    <x v="3"/>
    <x v="3"/>
    <x v="1"/>
    <n v="14.517303927122684"/>
    <b v="0"/>
    <s v="MD_07"/>
    <x v="0"/>
  </r>
  <r>
    <x v="1541"/>
    <x v="570"/>
    <x v="1"/>
    <x v="3"/>
    <x v="1"/>
    <n v="23.007887095128552"/>
    <b v="0"/>
    <s v="MD_11"/>
    <x v="0"/>
  </r>
  <r>
    <x v="1542"/>
    <x v="407"/>
    <x v="0"/>
    <x v="3"/>
    <x v="1"/>
    <n v="10.423908150317271"/>
    <b v="0"/>
    <s v="MD_06"/>
    <x v="0"/>
  </r>
  <r>
    <x v="1543"/>
    <x v="408"/>
    <x v="1"/>
    <x v="4"/>
    <x v="1"/>
    <n v="27.802745557325178"/>
    <b v="0"/>
    <s v="MD_09"/>
    <x v="0"/>
  </r>
  <r>
    <x v="1544"/>
    <x v="297"/>
    <x v="2"/>
    <x v="3"/>
    <x v="0"/>
    <n v="5.4949208928456796"/>
    <b v="0"/>
    <s v="MD_07"/>
    <x v="1"/>
  </r>
  <r>
    <x v="1545"/>
    <x v="647"/>
    <x v="0"/>
    <x v="1"/>
    <x v="1"/>
    <n v="6.24171929004806"/>
    <b v="0"/>
    <s v="MD_07"/>
    <x v="1"/>
  </r>
  <r>
    <x v="1546"/>
    <x v="64"/>
    <x v="1"/>
    <x v="0"/>
    <x v="1"/>
    <n v="33.331021786154501"/>
    <b v="0"/>
    <s v="MD_07"/>
    <x v="0"/>
  </r>
  <r>
    <x v="1547"/>
    <x v="179"/>
    <x v="0"/>
    <x v="0"/>
    <x v="1"/>
    <n v="24.629989929027843"/>
    <b v="0"/>
    <s v="MD_10"/>
    <x v="0"/>
  </r>
  <r>
    <x v="1548"/>
    <x v="103"/>
    <x v="1"/>
    <x v="3"/>
    <x v="0"/>
    <n v="6.0477829566886259"/>
    <b v="0"/>
    <s v="MD_18"/>
    <x v="1"/>
  </r>
  <r>
    <x v="1549"/>
    <x v="84"/>
    <x v="3"/>
    <x v="0"/>
    <x v="1"/>
    <n v="23.684870966860455"/>
    <b v="0"/>
    <s v="MD_11"/>
    <x v="0"/>
  </r>
  <r>
    <x v="1550"/>
    <x v="506"/>
    <x v="1"/>
    <x v="1"/>
    <x v="1"/>
    <n v="34.053744218199569"/>
    <b v="0"/>
    <s v="MD_12"/>
    <x v="0"/>
  </r>
  <r>
    <x v="1551"/>
    <x v="111"/>
    <x v="0"/>
    <x v="0"/>
    <x v="0"/>
    <n v="3.5713525272856388"/>
    <b v="0"/>
    <s v="MD_12"/>
    <x v="1"/>
  </r>
  <r>
    <x v="1552"/>
    <x v="280"/>
    <x v="0"/>
    <x v="0"/>
    <x v="0"/>
    <n v="5.8511987499579217"/>
    <b v="0"/>
    <s v="MD_20"/>
    <x v="1"/>
  </r>
  <r>
    <x v="1553"/>
    <x v="16"/>
    <x v="3"/>
    <x v="1"/>
    <x v="0"/>
    <n v="7.0179439037956772"/>
    <b v="0"/>
    <s v="MD_16"/>
    <x v="1"/>
  </r>
  <r>
    <x v="1554"/>
    <x v="99"/>
    <x v="2"/>
    <x v="4"/>
    <x v="1"/>
    <n v="5.0282031807603689"/>
    <b v="0"/>
    <s v="MD_07"/>
    <x v="1"/>
  </r>
  <r>
    <x v="1555"/>
    <x v="301"/>
    <x v="3"/>
    <x v="2"/>
    <x v="1"/>
    <n v="20.992527182107992"/>
    <b v="0"/>
    <s v="MD_08"/>
    <x v="0"/>
  </r>
  <r>
    <x v="1556"/>
    <x v="290"/>
    <x v="0"/>
    <x v="0"/>
    <x v="1"/>
    <n v="17.275044430577118"/>
    <b v="0"/>
    <s v="MD_17"/>
    <x v="0"/>
  </r>
  <r>
    <x v="1557"/>
    <x v="648"/>
    <x v="2"/>
    <x v="4"/>
    <x v="1"/>
    <n v="23.283618563543971"/>
    <b v="0"/>
    <s v="MD_18"/>
    <x v="0"/>
  </r>
  <r>
    <x v="1558"/>
    <x v="577"/>
    <x v="3"/>
    <x v="3"/>
    <x v="1"/>
    <n v="26.327409677887218"/>
    <b v="0"/>
    <s v="MD_07"/>
    <x v="0"/>
  </r>
  <r>
    <x v="1559"/>
    <x v="315"/>
    <x v="2"/>
    <x v="3"/>
    <x v="0"/>
    <n v="5.7615742025645336"/>
    <b v="0"/>
    <s v="MD_01"/>
    <x v="2"/>
  </r>
  <r>
    <x v="1560"/>
    <x v="574"/>
    <x v="1"/>
    <x v="4"/>
    <x v="1"/>
    <n v="23.921144943981194"/>
    <b v="0"/>
    <s v="MD_06"/>
    <x v="0"/>
  </r>
  <r>
    <x v="1561"/>
    <x v="649"/>
    <x v="1"/>
    <x v="4"/>
    <x v="0"/>
    <n v="5.007678287794386"/>
    <b v="0"/>
    <s v="MD_08"/>
    <x v="1"/>
  </r>
  <r>
    <x v="1562"/>
    <x v="47"/>
    <x v="3"/>
    <x v="3"/>
    <x v="0"/>
    <n v="4.5767645166871045"/>
    <b v="0"/>
    <s v="MD_12"/>
    <x v="1"/>
  </r>
  <r>
    <x v="1563"/>
    <x v="650"/>
    <x v="3"/>
    <x v="4"/>
    <x v="1"/>
    <n v="17.641401481391213"/>
    <b v="0"/>
    <s v="MD_12"/>
    <x v="0"/>
  </r>
  <r>
    <x v="1564"/>
    <x v="541"/>
    <x v="0"/>
    <x v="4"/>
    <x v="0"/>
    <n v="24.504459305022863"/>
    <b v="0"/>
    <s v="MD_05"/>
    <x v="0"/>
  </r>
  <r>
    <x v="1565"/>
    <x v="47"/>
    <x v="2"/>
    <x v="4"/>
    <x v="0"/>
    <n v="6.246849893246079"/>
    <b v="0"/>
    <s v="MD_20"/>
    <x v="1"/>
  </r>
  <r>
    <x v="1566"/>
    <x v="377"/>
    <x v="2"/>
    <x v="4"/>
    <x v="0"/>
    <n v="8.1248517270228557"/>
    <b v="0"/>
    <s v="MD_06"/>
    <x v="1"/>
  </r>
  <r>
    <x v="1567"/>
    <x v="79"/>
    <x v="3"/>
    <x v="1"/>
    <x v="1"/>
    <n v="20.897558719002351"/>
    <b v="0"/>
    <s v="MD_10"/>
    <x v="0"/>
  </r>
  <r>
    <x v="1568"/>
    <x v="479"/>
    <x v="1"/>
    <x v="4"/>
    <x v="0"/>
    <n v="27.418244789845279"/>
    <b v="0"/>
    <s v="MD_07"/>
    <x v="0"/>
  </r>
  <r>
    <x v="1569"/>
    <x v="184"/>
    <x v="3"/>
    <x v="4"/>
    <x v="0"/>
    <n v="6.9241674223296794"/>
    <b v="0"/>
    <s v="MD_16"/>
    <x v="1"/>
  </r>
  <r>
    <x v="1570"/>
    <x v="249"/>
    <x v="2"/>
    <x v="4"/>
    <x v="1"/>
    <n v="28.189118582540885"/>
    <b v="0"/>
    <s v="MD_12"/>
    <x v="0"/>
  </r>
  <r>
    <x v="1571"/>
    <x v="179"/>
    <x v="1"/>
    <x v="1"/>
    <x v="1"/>
    <n v="15.649440312543151"/>
    <b v="0"/>
    <s v="MD_13"/>
    <x v="0"/>
  </r>
  <r>
    <x v="1572"/>
    <x v="89"/>
    <x v="2"/>
    <x v="4"/>
    <x v="0"/>
    <n v="6.6593203618185894"/>
    <b v="0"/>
    <s v="MD_11"/>
    <x v="1"/>
  </r>
  <r>
    <x v="1573"/>
    <x v="341"/>
    <x v="0"/>
    <x v="0"/>
    <x v="1"/>
    <n v="29.931265382004383"/>
    <b v="0"/>
    <s v="MD_11"/>
    <x v="0"/>
  </r>
  <r>
    <x v="1574"/>
    <x v="440"/>
    <x v="0"/>
    <x v="2"/>
    <x v="1"/>
    <n v="26.134723311618636"/>
    <b v="0"/>
    <s v="MD_14"/>
    <x v="0"/>
  </r>
  <r>
    <x v="1575"/>
    <x v="625"/>
    <x v="3"/>
    <x v="0"/>
    <x v="0"/>
    <n v="5.955251234477771"/>
    <b v="0"/>
    <s v="MD_12"/>
    <x v="1"/>
  </r>
  <r>
    <x v="1576"/>
    <x v="146"/>
    <x v="2"/>
    <x v="2"/>
    <x v="0"/>
    <n v="5.728315164500283"/>
    <b v="0"/>
    <s v="MD_03"/>
    <x v="1"/>
  </r>
  <r>
    <x v="1577"/>
    <x v="141"/>
    <x v="1"/>
    <x v="0"/>
    <x v="1"/>
    <n v="7.5297794808221603"/>
    <b v="0"/>
    <s v="MD_05"/>
    <x v="1"/>
  </r>
  <r>
    <x v="1578"/>
    <x v="651"/>
    <x v="3"/>
    <x v="0"/>
    <x v="1"/>
    <n v="26.731698172726926"/>
    <b v="0"/>
    <s v="MD_16"/>
    <x v="0"/>
  </r>
  <r>
    <x v="1579"/>
    <x v="160"/>
    <x v="2"/>
    <x v="1"/>
    <x v="1"/>
    <n v="22.766702051122362"/>
    <b v="0"/>
    <s v="MD_02"/>
    <x v="0"/>
  </r>
  <r>
    <x v="1580"/>
    <x v="376"/>
    <x v="1"/>
    <x v="0"/>
    <x v="1"/>
    <n v="19.635391324040462"/>
    <b v="0"/>
    <s v="MD_07"/>
    <x v="0"/>
  </r>
  <r>
    <x v="1581"/>
    <x v="652"/>
    <x v="0"/>
    <x v="1"/>
    <x v="1"/>
    <n v="8.1909421106307221"/>
    <b v="0"/>
    <s v="MD_04"/>
    <x v="1"/>
  </r>
  <r>
    <x v="1582"/>
    <x v="653"/>
    <x v="3"/>
    <x v="1"/>
    <x v="0"/>
    <n v="6.9562718999274349"/>
    <b v="0"/>
    <s v="MD_20"/>
    <x v="1"/>
  </r>
  <r>
    <x v="1583"/>
    <x v="219"/>
    <x v="2"/>
    <x v="3"/>
    <x v="0"/>
    <n v="21.546913961780049"/>
    <b v="0"/>
    <s v="MD_13"/>
    <x v="0"/>
  </r>
  <r>
    <x v="1584"/>
    <x v="136"/>
    <x v="1"/>
    <x v="3"/>
    <x v="1"/>
    <n v="6.6346284065708279"/>
    <b v="0"/>
    <s v="MD_13"/>
    <x v="1"/>
  </r>
  <r>
    <x v="1585"/>
    <x v="96"/>
    <x v="0"/>
    <x v="4"/>
    <x v="0"/>
    <n v="4.7364150692314455"/>
    <b v="0"/>
    <s v="MD_08"/>
    <x v="2"/>
  </r>
  <r>
    <x v="1586"/>
    <x v="654"/>
    <x v="0"/>
    <x v="1"/>
    <x v="0"/>
    <n v="20.338791001511598"/>
    <b v="0"/>
    <s v="MD_17"/>
    <x v="0"/>
  </r>
  <r>
    <x v="1587"/>
    <x v="28"/>
    <x v="0"/>
    <x v="3"/>
    <x v="0"/>
    <n v="4.2008498632406992"/>
    <b v="0"/>
    <s v="MD_17"/>
    <x v="1"/>
  </r>
  <r>
    <x v="1588"/>
    <x v="366"/>
    <x v="0"/>
    <x v="0"/>
    <x v="0"/>
    <n v="4.5244118034632352"/>
    <b v="0"/>
    <s v="MD_06"/>
    <x v="1"/>
  </r>
  <r>
    <x v="1589"/>
    <x v="189"/>
    <x v="2"/>
    <x v="2"/>
    <x v="1"/>
    <n v="8.6509982187217425"/>
    <b v="0"/>
    <s v="MD_04"/>
    <x v="1"/>
  </r>
  <r>
    <x v="1590"/>
    <x v="380"/>
    <x v="2"/>
    <x v="2"/>
    <x v="0"/>
    <n v="6.8699217567593136"/>
    <b v="0"/>
    <s v="MD_01"/>
    <x v="1"/>
  </r>
  <r>
    <x v="1591"/>
    <x v="478"/>
    <x v="0"/>
    <x v="2"/>
    <x v="1"/>
    <n v="17.967338882594362"/>
    <b v="0"/>
    <s v="MD_04"/>
    <x v="0"/>
  </r>
  <r>
    <x v="1592"/>
    <x v="592"/>
    <x v="3"/>
    <x v="4"/>
    <x v="0"/>
    <n v="8.1907182990120173"/>
    <b v="0"/>
    <s v="MD_04"/>
    <x v="1"/>
  </r>
  <r>
    <x v="1593"/>
    <x v="359"/>
    <x v="2"/>
    <x v="1"/>
    <x v="0"/>
    <n v="4.8858669400568662"/>
    <b v="0"/>
    <s v="MD_10"/>
    <x v="1"/>
  </r>
  <r>
    <x v="1594"/>
    <x v="408"/>
    <x v="2"/>
    <x v="0"/>
    <x v="1"/>
    <n v="37.676331105688448"/>
    <b v="0"/>
    <s v="MD_09"/>
    <x v="0"/>
  </r>
  <r>
    <x v="1595"/>
    <x v="175"/>
    <x v="0"/>
    <x v="3"/>
    <x v="1"/>
    <n v="28.45358608464295"/>
    <b v="0"/>
    <s v="MD_20"/>
    <x v="0"/>
  </r>
  <r>
    <x v="1596"/>
    <x v="217"/>
    <x v="1"/>
    <x v="1"/>
    <x v="0"/>
    <n v="8.3291899119447432"/>
    <b v="0"/>
    <s v="MD_05"/>
    <x v="1"/>
  </r>
  <r>
    <x v="1597"/>
    <x v="80"/>
    <x v="1"/>
    <x v="2"/>
    <x v="1"/>
    <n v="19.010770578350446"/>
    <b v="1"/>
    <s v="MD_10"/>
    <x v="0"/>
  </r>
  <r>
    <x v="1598"/>
    <x v="394"/>
    <x v="1"/>
    <x v="4"/>
    <x v="0"/>
    <n v="6.3666464319839386"/>
    <b v="0"/>
    <s v="MD_04"/>
    <x v="2"/>
  </r>
  <r>
    <x v="1599"/>
    <x v="145"/>
    <x v="1"/>
    <x v="2"/>
    <x v="1"/>
    <n v="29.072694505079024"/>
    <b v="1"/>
    <s v="MD_07"/>
    <x v="0"/>
  </r>
  <r>
    <x v="1600"/>
    <x v="200"/>
    <x v="1"/>
    <x v="0"/>
    <x v="0"/>
    <n v="8.4090850359125788"/>
    <b v="0"/>
    <s v="MD_02"/>
    <x v="1"/>
  </r>
  <r>
    <x v="1601"/>
    <x v="173"/>
    <x v="2"/>
    <x v="2"/>
    <x v="0"/>
    <n v="4.1643878838455421"/>
    <b v="0"/>
    <s v="MD_03"/>
    <x v="1"/>
  </r>
  <r>
    <x v="1602"/>
    <x v="153"/>
    <x v="0"/>
    <x v="0"/>
    <x v="0"/>
    <n v="4.8760586248311917"/>
    <b v="0"/>
    <s v="MD_07"/>
    <x v="1"/>
  </r>
  <r>
    <x v="1603"/>
    <x v="110"/>
    <x v="1"/>
    <x v="3"/>
    <x v="1"/>
    <n v="6.7976946997404912"/>
    <b v="0"/>
    <s v="MD_02"/>
    <x v="1"/>
  </r>
  <r>
    <x v="1604"/>
    <x v="292"/>
    <x v="3"/>
    <x v="0"/>
    <x v="1"/>
    <n v="38.658294358659781"/>
    <b v="0"/>
    <s v="MD_16"/>
    <x v="0"/>
  </r>
  <r>
    <x v="1605"/>
    <x v="655"/>
    <x v="2"/>
    <x v="4"/>
    <x v="1"/>
    <n v="24.283543950731595"/>
    <b v="0"/>
    <s v="MD_07"/>
    <x v="0"/>
  </r>
  <r>
    <x v="1606"/>
    <x v="474"/>
    <x v="2"/>
    <x v="2"/>
    <x v="0"/>
    <n v="31.060780102782505"/>
    <b v="0"/>
    <s v="MD_20"/>
    <x v="0"/>
  </r>
  <r>
    <x v="1607"/>
    <x v="428"/>
    <x v="3"/>
    <x v="3"/>
    <x v="1"/>
    <n v="35.923802843774546"/>
    <b v="0"/>
    <s v="MD_13"/>
    <x v="0"/>
  </r>
  <r>
    <x v="1608"/>
    <x v="332"/>
    <x v="3"/>
    <x v="2"/>
    <x v="0"/>
    <n v="7.1191110276919076"/>
    <b v="0"/>
    <s v="MD_07"/>
    <x v="1"/>
  </r>
  <r>
    <x v="1609"/>
    <x v="430"/>
    <x v="2"/>
    <x v="3"/>
    <x v="1"/>
    <n v="29.413072520054357"/>
    <b v="0"/>
    <s v="MD_14"/>
    <x v="0"/>
  </r>
  <r>
    <x v="1610"/>
    <x v="459"/>
    <x v="2"/>
    <x v="4"/>
    <x v="0"/>
    <n v="5.5333042435098578"/>
    <b v="0"/>
    <s v="MD_12"/>
    <x v="1"/>
  </r>
  <r>
    <x v="1611"/>
    <x v="28"/>
    <x v="3"/>
    <x v="4"/>
    <x v="1"/>
    <n v="4.2580111751974297"/>
    <b v="0"/>
    <s v="MD_10"/>
    <x v="2"/>
  </r>
  <r>
    <x v="1612"/>
    <x v="588"/>
    <x v="3"/>
    <x v="0"/>
    <x v="0"/>
    <n v="4.0849728539712808"/>
    <b v="0"/>
    <s v="MD_18"/>
    <x v="1"/>
  </r>
  <r>
    <x v="1613"/>
    <x v="656"/>
    <x v="3"/>
    <x v="0"/>
    <x v="1"/>
    <n v="4.0901297452322556"/>
    <b v="0"/>
    <s v="MD_02"/>
    <x v="1"/>
  </r>
  <r>
    <x v="1614"/>
    <x v="587"/>
    <x v="0"/>
    <x v="1"/>
    <x v="1"/>
    <n v="11.671259179349256"/>
    <b v="0"/>
    <s v="MD_16"/>
    <x v="0"/>
  </r>
  <r>
    <x v="1615"/>
    <x v="451"/>
    <x v="1"/>
    <x v="2"/>
    <x v="0"/>
    <n v="5.0986384129480582"/>
    <b v="0"/>
    <s v="MD_08"/>
    <x v="1"/>
  </r>
  <r>
    <x v="1616"/>
    <x v="71"/>
    <x v="3"/>
    <x v="3"/>
    <x v="0"/>
    <n v="5.3517700842225402"/>
    <b v="0"/>
    <s v="MD_04"/>
    <x v="1"/>
  </r>
  <r>
    <x v="1617"/>
    <x v="346"/>
    <x v="1"/>
    <x v="1"/>
    <x v="0"/>
    <n v="19.482919291192822"/>
    <b v="0"/>
    <s v="MD_17"/>
    <x v="0"/>
  </r>
  <r>
    <x v="1618"/>
    <x v="77"/>
    <x v="2"/>
    <x v="3"/>
    <x v="1"/>
    <n v="26.996829506580468"/>
    <b v="0"/>
    <s v="MD_04"/>
    <x v="0"/>
  </r>
  <r>
    <x v="1619"/>
    <x v="234"/>
    <x v="2"/>
    <x v="3"/>
    <x v="0"/>
    <n v="3.0075476700182362"/>
    <b v="0"/>
    <s v="MD_10"/>
    <x v="1"/>
  </r>
  <r>
    <x v="1620"/>
    <x v="549"/>
    <x v="1"/>
    <x v="1"/>
    <x v="0"/>
    <n v="8.7528789004759027"/>
    <b v="0"/>
    <s v="MD_04"/>
    <x v="1"/>
  </r>
  <r>
    <x v="1621"/>
    <x v="181"/>
    <x v="0"/>
    <x v="1"/>
    <x v="1"/>
    <n v="27.403949669480991"/>
    <b v="0"/>
    <s v="MD_05"/>
    <x v="0"/>
  </r>
  <r>
    <x v="1622"/>
    <x v="184"/>
    <x v="0"/>
    <x v="0"/>
    <x v="0"/>
    <n v="15.651700146182259"/>
    <b v="0"/>
    <s v="MD_06"/>
    <x v="0"/>
  </r>
  <r>
    <x v="1623"/>
    <x v="537"/>
    <x v="0"/>
    <x v="0"/>
    <x v="0"/>
    <n v="7.249503695417971"/>
    <b v="0"/>
    <s v="MD_08"/>
    <x v="1"/>
  </r>
  <r>
    <x v="1624"/>
    <x v="305"/>
    <x v="1"/>
    <x v="3"/>
    <x v="0"/>
    <n v="4.3519769979874017"/>
    <b v="0"/>
    <s v="MD_12"/>
    <x v="1"/>
  </r>
  <r>
    <x v="1625"/>
    <x v="509"/>
    <x v="0"/>
    <x v="4"/>
    <x v="1"/>
    <n v="4.0363845656188122"/>
    <b v="0"/>
    <s v="MD_02"/>
    <x v="1"/>
  </r>
  <r>
    <x v="1626"/>
    <x v="290"/>
    <x v="2"/>
    <x v="1"/>
    <x v="1"/>
    <n v="27.301667429970941"/>
    <b v="0"/>
    <s v="MD_05"/>
    <x v="0"/>
  </r>
  <r>
    <x v="1627"/>
    <x v="52"/>
    <x v="0"/>
    <x v="0"/>
    <x v="0"/>
    <n v="6.0525654364181367"/>
    <b v="0"/>
    <s v="MD_14"/>
    <x v="1"/>
  </r>
  <r>
    <x v="1628"/>
    <x v="199"/>
    <x v="0"/>
    <x v="4"/>
    <x v="1"/>
    <n v="3.0083426695120732"/>
    <b v="0"/>
    <s v="MD_07"/>
    <x v="1"/>
  </r>
  <r>
    <x v="1629"/>
    <x v="558"/>
    <x v="1"/>
    <x v="4"/>
    <x v="1"/>
    <n v="4.8394333336569035"/>
    <b v="0"/>
    <s v="MD_15"/>
    <x v="1"/>
  </r>
  <r>
    <x v="1630"/>
    <x v="100"/>
    <x v="2"/>
    <x v="2"/>
    <x v="1"/>
    <n v="11.355262610090007"/>
    <b v="0"/>
    <s v="MD_09"/>
    <x v="0"/>
  </r>
  <r>
    <x v="1631"/>
    <x v="152"/>
    <x v="1"/>
    <x v="3"/>
    <x v="1"/>
    <n v="29.261949960278649"/>
    <b v="0"/>
    <s v="MD_02"/>
    <x v="0"/>
  </r>
  <r>
    <x v="1632"/>
    <x v="657"/>
    <x v="1"/>
    <x v="4"/>
    <x v="1"/>
    <n v="31.030904064965036"/>
    <b v="0"/>
    <s v="MD_12"/>
    <x v="0"/>
  </r>
  <r>
    <x v="1633"/>
    <x v="236"/>
    <x v="1"/>
    <x v="2"/>
    <x v="1"/>
    <n v="19.432026626270645"/>
    <b v="0"/>
    <s v="MD_10"/>
    <x v="0"/>
  </r>
  <r>
    <x v="1634"/>
    <x v="333"/>
    <x v="1"/>
    <x v="4"/>
    <x v="1"/>
    <n v="11.305995233544369"/>
    <b v="0"/>
    <s v="MD_01"/>
    <x v="1"/>
  </r>
  <r>
    <x v="1635"/>
    <x v="79"/>
    <x v="1"/>
    <x v="4"/>
    <x v="1"/>
    <n v="32.17877485363497"/>
    <b v="0"/>
    <s v="MD_11"/>
    <x v="0"/>
  </r>
  <r>
    <x v="1636"/>
    <x v="168"/>
    <x v="1"/>
    <x v="3"/>
    <x v="1"/>
    <n v="24.774622161818645"/>
    <b v="0"/>
    <s v="MD_15"/>
    <x v="0"/>
  </r>
  <r>
    <x v="1637"/>
    <x v="638"/>
    <x v="0"/>
    <x v="1"/>
    <x v="1"/>
    <n v="6.1843200885625507"/>
    <b v="0"/>
    <s v="MD_03"/>
    <x v="1"/>
  </r>
  <r>
    <x v="1638"/>
    <x v="98"/>
    <x v="3"/>
    <x v="2"/>
    <x v="0"/>
    <n v="7.2426537970250271"/>
    <b v="0"/>
    <s v="MD_04"/>
    <x v="1"/>
  </r>
  <r>
    <x v="1639"/>
    <x v="505"/>
    <x v="2"/>
    <x v="0"/>
    <x v="0"/>
    <n v="2.6712987716708607"/>
    <b v="0"/>
    <s v="MD_18"/>
    <x v="1"/>
  </r>
  <r>
    <x v="1640"/>
    <x v="658"/>
    <x v="2"/>
    <x v="2"/>
    <x v="0"/>
    <n v="6.09769334913394"/>
    <b v="0"/>
    <s v="MD_14"/>
    <x v="1"/>
  </r>
  <r>
    <x v="1641"/>
    <x v="387"/>
    <x v="2"/>
    <x v="2"/>
    <x v="1"/>
    <n v="14.247494520997027"/>
    <b v="0"/>
    <s v="MD_08"/>
    <x v="0"/>
  </r>
  <r>
    <x v="1642"/>
    <x v="359"/>
    <x v="1"/>
    <x v="0"/>
    <x v="1"/>
    <n v="26.851660143802167"/>
    <b v="0"/>
    <s v="MD_15"/>
    <x v="0"/>
  </r>
  <r>
    <x v="1643"/>
    <x v="446"/>
    <x v="1"/>
    <x v="4"/>
    <x v="0"/>
    <n v="8.8866026650415968"/>
    <b v="0"/>
    <s v="MD_13"/>
    <x v="1"/>
  </r>
  <r>
    <x v="1644"/>
    <x v="275"/>
    <x v="3"/>
    <x v="3"/>
    <x v="1"/>
    <n v="20.55722521910317"/>
    <b v="0"/>
    <s v="MD_06"/>
    <x v="0"/>
  </r>
  <r>
    <x v="1645"/>
    <x v="203"/>
    <x v="2"/>
    <x v="0"/>
    <x v="0"/>
    <n v="1.5571538379178333"/>
    <b v="0"/>
    <s v="MD_16"/>
    <x v="2"/>
  </r>
  <r>
    <x v="1646"/>
    <x v="506"/>
    <x v="2"/>
    <x v="1"/>
    <x v="1"/>
    <n v="3.4306546761982148"/>
    <b v="0"/>
    <s v="MD_08"/>
    <x v="2"/>
  </r>
  <r>
    <x v="1647"/>
    <x v="474"/>
    <x v="3"/>
    <x v="0"/>
    <x v="1"/>
    <n v="21.994724082760264"/>
    <b v="0"/>
    <s v="MD_05"/>
    <x v="0"/>
  </r>
  <r>
    <x v="1648"/>
    <x v="174"/>
    <x v="3"/>
    <x v="2"/>
    <x v="1"/>
    <n v="18.242023661790142"/>
    <b v="0"/>
    <s v="MD_03"/>
    <x v="0"/>
  </r>
  <r>
    <x v="1649"/>
    <x v="616"/>
    <x v="3"/>
    <x v="4"/>
    <x v="1"/>
    <n v="43.099364179555749"/>
    <b v="0"/>
    <s v="MD_14"/>
    <x v="0"/>
  </r>
  <r>
    <x v="1650"/>
    <x v="218"/>
    <x v="0"/>
    <x v="0"/>
    <x v="0"/>
    <n v="20.253560263969437"/>
    <b v="0"/>
    <s v="MD_14"/>
    <x v="0"/>
  </r>
  <r>
    <x v="1651"/>
    <x v="239"/>
    <x v="0"/>
    <x v="4"/>
    <x v="0"/>
    <n v="13.12346901668799"/>
    <b v="0"/>
    <s v="MD_04"/>
    <x v="0"/>
  </r>
  <r>
    <x v="1652"/>
    <x v="281"/>
    <x v="3"/>
    <x v="4"/>
    <x v="0"/>
    <n v="6.5875546193962196"/>
    <b v="0"/>
    <s v="MD_19"/>
    <x v="1"/>
  </r>
  <r>
    <x v="1653"/>
    <x v="25"/>
    <x v="2"/>
    <x v="1"/>
    <x v="1"/>
    <n v="31.486661823500206"/>
    <b v="0"/>
    <s v="MD_07"/>
    <x v="0"/>
  </r>
  <r>
    <x v="1654"/>
    <x v="659"/>
    <x v="3"/>
    <x v="4"/>
    <x v="0"/>
    <n v="8.9020295810161656"/>
    <b v="0"/>
    <s v="MD_07"/>
    <x v="1"/>
  </r>
  <r>
    <x v="1655"/>
    <x v="476"/>
    <x v="0"/>
    <x v="0"/>
    <x v="1"/>
    <n v="3.7965990138493066"/>
    <b v="0"/>
    <s v="MD_05"/>
    <x v="1"/>
  </r>
  <r>
    <x v="1656"/>
    <x v="208"/>
    <x v="1"/>
    <x v="1"/>
    <x v="1"/>
    <n v="12.541035386001766"/>
    <b v="0"/>
    <s v="MD_06"/>
    <x v="0"/>
  </r>
  <r>
    <x v="1657"/>
    <x v="509"/>
    <x v="3"/>
    <x v="4"/>
    <x v="0"/>
    <n v="22.162946869125477"/>
    <b v="0"/>
    <s v="MD_18"/>
    <x v="0"/>
  </r>
  <r>
    <x v="1658"/>
    <x v="396"/>
    <x v="1"/>
    <x v="3"/>
    <x v="0"/>
    <n v="7.283008997532769"/>
    <b v="0"/>
    <s v="MD_05"/>
    <x v="1"/>
  </r>
  <r>
    <x v="1659"/>
    <x v="482"/>
    <x v="1"/>
    <x v="2"/>
    <x v="1"/>
    <n v="31.265481399155828"/>
    <b v="0"/>
    <s v="MD_05"/>
    <x v="0"/>
  </r>
  <r>
    <x v="1660"/>
    <x v="372"/>
    <x v="2"/>
    <x v="1"/>
    <x v="0"/>
    <n v="3.9895505417655075"/>
    <b v="0"/>
    <s v="MD_01"/>
    <x v="1"/>
  </r>
  <r>
    <x v="1661"/>
    <x v="579"/>
    <x v="1"/>
    <x v="4"/>
    <x v="0"/>
    <n v="4.4378628902859809"/>
    <b v="0"/>
    <s v="MD_14"/>
    <x v="1"/>
  </r>
  <r>
    <x v="1662"/>
    <x v="370"/>
    <x v="2"/>
    <x v="4"/>
    <x v="1"/>
    <n v="38.709037096234802"/>
    <b v="0"/>
    <s v="MD_19"/>
    <x v="0"/>
  </r>
  <r>
    <x v="1663"/>
    <x v="159"/>
    <x v="2"/>
    <x v="4"/>
    <x v="0"/>
    <n v="5.659804625412808"/>
    <b v="0"/>
    <s v="MD_10"/>
    <x v="1"/>
  </r>
  <r>
    <x v="1664"/>
    <x v="438"/>
    <x v="2"/>
    <x v="2"/>
    <x v="1"/>
    <n v="10.076951666505497"/>
    <b v="0"/>
    <s v="MD_09"/>
    <x v="1"/>
  </r>
  <r>
    <x v="1665"/>
    <x v="129"/>
    <x v="2"/>
    <x v="1"/>
    <x v="0"/>
    <n v="6.5349742078111577"/>
    <b v="0"/>
    <s v="MD_20"/>
    <x v="1"/>
  </r>
  <r>
    <x v="1666"/>
    <x v="535"/>
    <x v="2"/>
    <x v="0"/>
    <x v="0"/>
    <n v="7.0515305364279213"/>
    <b v="0"/>
    <s v="MD_12"/>
    <x v="1"/>
  </r>
  <r>
    <x v="1667"/>
    <x v="549"/>
    <x v="0"/>
    <x v="4"/>
    <x v="1"/>
    <n v="26.162317320681336"/>
    <b v="0"/>
    <s v="MD_01"/>
    <x v="0"/>
  </r>
  <r>
    <x v="1668"/>
    <x v="648"/>
    <x v="3"/>
    <x v="3"/>
    <x v="1"/>
    <n v="18.82182869251298"/>
    <b v="0"/>
    <s v="MD_11"/>
    <x v="0"/>
  </r>
  <r>
    <x v="1669"/>
    <x v="330"/>
    <x v="3"/>
    <x v="1"/>
    <x v="0"/>
    <n v="4.4820092215230716"/>
    <b v="0"/>
    <s v="MD_12"/>
    <x v="1"/>
  </r>
  <r>
    <x v="1670"/>
    <x v="258"/>
    <x v="0"/>
    <x v="1"/>
    <x v="0"/>
    <n v="6.1073463886124966"/>
    <b v="0"/>
    <s v="MD_01"/>
    <x v="1"/>
  </r>
  <r>
    <x v="1671"/>
    <x v="174"/>
    <x v="3"/>
    <x v="4"/>
    <x v="1"/>
    <n v="14.219592017874369"/>
    <b v="0"/>
    <s v="MD_16"/>
    <x v="0"/>
  </r>
  <r>
    <x v="1672"/>
    <x v="534"/>
    <x v="0"/>
    <x v="0"/>
    <x v="1"/>
    <n v="4.9370881050799582"/>
    <b v="0"/>
    <s v="MD_16"/>
    <x v="2"/>
  </r>
  <r>
    <x v="1673"/>
    <x v="334"/>
    <x v="3"/>
    <x v="1"/>
    <x v="1"/>
    <n v="19.372053795373002"/>
    <b v="0"/>
    <s v="MD_09"/>
    <x v="0"/>
  </r>
  <r>
    <x v="1674"/>
    <x v="51"/>
    <x v="1"/>
    <x v="4"/>
    <x v="0"/>
    <n v="6.3849673977807528"/>
    <b v="0"/>
    <s v="MD_07"/>
    <x v="2"/>
  </r>
  <r>
    <x v="1675"/>
    <x v="375"/>
    <x v="2"/>
    <x v="3"/>
    <x v="0"/>
    <n v="31.707076230216035"/>
    <b v="0"/>
    <s v="MD_16"/>
    <x v="0"/>
  </r>
  <r>
    <x v="1676"/>
    <x v="218"/>
    <x v="3"/>
    <x v="4"/>
    <x v="0"/>
    <n v="5.719763994279444"/>
    <b v="0"/>
    <s v="MD_01"/>
    <x v="1"/>
  </r>
  <r>
    <x v="1677"/>
    <x v="660"/>
    <x v="1"/>
    <x v="3"/>
    <x v="1"/>
    <n v="4.8246373358185179"/>
    <b v="0"/>
    <s v="MD_08"/>
    <x v="1"/>
  </r>
  <r>
    <x v="1678"/>
    <x v="457"/>
    <x v="0"/>
    <x v="0"/>
    <x v="1"/>
    <n v="6.3803496615578954"/>
    <b v="1"/>
    <s v="MD_18"/>
    <x v="1"/>
  </r>
  <r>
    <x v="1679"/>
    <x v="532"/>
    <x v="2"/>
    <x v="1"/>
    <x v="0"/>
    <n v="6.4023535191015428"/>
    <b v="0"/>
    <s v="MD_20"/>
    <x v="1"/>
  </r>
  <r>
    <x v="1680"/>
    <x v="117"/>
    <x v="3"/>
    <x v="3"/>
    <x v="1"/>
    <n v="25.800970238921778"/>
    <b v="0"/>
    <s v="MD_19"/>
    <x v="0"/>
  </r>
  <r>
    <x v="1681"/>
    <x v="352"/>
    <x v="2"/>
    <x v="3"/>
    <x v="0"/>
    <n v="4.8603412925731488"/>
    <b v="0"/>
    <s v="MD_02"/>
    <x v="1"/>
  </r>
  <r>
    <x v="1682"/>
    <x v="11"/>
    <x v="3"/>
    <x v="3"/>
    <x v="0"/>
    <n v="6.1902504575231392"/>
    <b v="0"/>
    <s v="MD_16"/>
    <x v="1"/>
  </r>
  <r>
    <x v="1683"/>
    <x v="110"/>
    <x v="3"/>
    <x v="1"/>
    <x v="0"/>
    <n v="4.24562117548159"/>
    <b v="0"/>
    <s v="MD_01"/>
    <x v="1"/>
  </r>
  <r>
    <x v="1684"/>
    <x v="661"/>
    <x v="1"/>
    <x v="0"/>
    <x v="1"/>
    <n v="26.474615017444119"/>
    <b v="0"/>
    <s v="MD_13"/>
    <x v="0"/>
  </r>
  <r>
    <x v="1685"/>
    <x v="548"/>
    <x v="2"/>
    <x v="1"/>
    <x v="1"/>
    <n v="22.516211578958302"/>
    <b v="0"/>
    <s v="MD_12"/>
    <x v="0"/>
  </r>
  <r>
    <x v="1686"/>
    <x v="128"/>
    <x v="3"/>
    <x v="0"/>
    <x v="1"/>
    <n v="15.542238311451651"/>
    <b v="0"/>
    <s v="MD_20"/>
    <x v="0"/>
  </r>
  <r>
    <x v="1687"/>
    <x v="106"/>
    <x v="1"/>
    <x v="3"/>
    <x v="0"/>
    <n v="5.9720505898010252"/>
    <b v="0"/>
    <s v="MD_08"/>
    <x v="1"/>
  </r>
  <r>
    <x v="1688"/>
    <x v="372"/>
    <x v="0"/>
    <x v="0"/>
    <x v="0"/>
    <n v="5.0884148113496126"/>
    <b v="0"/>
    <s v="MD_20"/>
    <x v="1"/>
  </r>
  <r>
    <x v="1689"/>
    <x v="215"/>
    <x v="3"/>
    <x v="1"/>
    <x v="0"/>
    <n v="5.0219699267113507"/>
    <b v="0"/>
    <s v="MD_19"/>
    <x v="1"/>
  </r>
  <r>
    <x v="1690"/>
    <x v="211"/>
    <x v="0"/>
    <x v="3"/>
    <x v="1"/>
    <n v="2.3346004721689244"/>
    <b v="0"/>
    <s v="MD_02"/>
    <x v="1"/>
  </r>
  <r>
    <x v="1691"/>
    <x v="468"/>
    <x v="0"/>
    <x v="0"/>
    <x v="0"/>
    <n v="5.9559411630730734"/>
    <b v="0"/>
    <s v="MD_02"/>
    <x v="1"/>
  </r>
  <r>
    <x v="1692"/>
    <x v="348"/>
    <x v="3"/>
    <x v="2"/>
    <x v="0"/>
    <n v="4.258623389678462"/>
    <b v="0"/>
    <s v="MD_08"/>
    <x v="1"/>
  </r>
  <r>
    <x v="1693"/>
    <x v="571"/>
    <x v="2"/>
    <x v="2"/>
    <x v="1"/>
    <n v="34.151037239146817"/>
    <b v="0"/>
    <s v="MD_15"/>
    <x v="0"/>
  </r>
  <r>
    <x v="1694"/>
    <x v="662"/>
    <x v="2"/>
    <x v="2"/>
    <x v="0"/>
    <n v="29.453973802694144"/>
    <b v="0"/>
    <s v="MD_18"/>
    <x v="0"/>
  </r>
  <r>
    <x v="1695"/>
    <x v="311"/>
    <x v="2"/>
    <x v="1"/>
    <x v="1"/>
    <n v="4.3596089791956487"/>
    <b v="0"/>
    <s v="MD_12"/>
    <x v="1"/>
  </r>
  <r>
    <x v="1696"/>
    <x v="663"/>
    <x v="0"/>
    <x v="2"/>
    <x v="1"/>
    <n v="21.219524992084356"/>
    <b v="0"/>
    <s v="MD_16"/>
    <x v="0"/>
  </r>
  <r>
    <x v="1697"/>
    <x v="452"/>
    <x v="1"/>
    <x v="0"/>
    <x v="0"/>
    <n v="9.4751836308985578"/>
    <b v="0"/>
    <s v="MD_03"/>
    <x v="1"/>
  </r>
  <r>
    <x v="1698"/>
    <x v="652"/>
    <x v="3"/>
    <x v="0"/>
    <x v="0"/>
    <n v="1.1503994656660472"/>
    <b v="0"/>
    <s v="MD_05"/>
    <x v="1"/>
  </r>
  <r>
    <x v="1699"/>
    <x v="35"/>
    <x v="2"/>
    <x v="2"/>
    <x v="0"/>
    <n v="3.8807578034149026"/>
    <b v="0"/>
    <s v="MD_03"/>
    <x v="1"/>
  </r>
  <r>
    <x v="1700"/>
    <x v="208"/>
    <x v="2"/>
    <x v="3"/>
    <x v="1"/>
    <n v="16.868749512978528"/>
    <b v="0"/>
    <s v="MD_19"/>
    <x v="0"/>
  </r>
  <r>
    <x v="1701"/>
    <x v="306"/>
    <x v="1"/>
    <x v="3"/>
    <x v="1"/>
    <n v="6.0356150398714545"/>
    <b v="0"/>
    <s v="MD_15"/>
    <x v="1"/>
  </r>
  <r>
    <x v="1702"/>
    <x v="586"/>
    <x v="0"/>
    <x v="1"/>
    <x v="0"/>
    <n v="7.669155258961819"/>
    <b v="0"/>
    <s v="MD_17"/>
    <x v="1"/>
  </r>
  <r>
    <x v="1703"/>
    <x v="225"/>
    <x v="3"/>
    <x v="4"/>
    <x v="0"/>
    <n v="4.2606791127686794"/>
    <b v="0"/>
    <s v="MD_17"/>
    <x v="1"/>
  </r>
  <r>
    <x v="1704"/>
    <x v="178"/>
    <x v="0"/>
    <x v="2"/>
    <x v="1"/>
    <n v="17.024049982806865"/>
    <b v="0"/>
    <s v="MD_02"/>
    <x v="0"/>
  </r>
  <r>
    <x v="1705"/>
    <x v="505"/>
    <x v="2"/>
    <x v="3"/>
    <x v="0"/>
    <n v="7.3354031398871342"/>
    <b v="0"/>
    <s v="MD_01"/>
    <x v="1"/>
  </r>
  <r>
    <x v="1706"/>
    <x v="616"/>
    <x v="1"/>
    <x v="2"/>
    <x v="1"/>
    <n v="16.096397160688007"/>
    <b v="0"/>
    <s v="MD_15"/>
    <x v="0"/>
  </r>
  <r>
    <x v="1707"/>
    <x v="301"/>
    <x v="3"/>
    <x v="0"/>
    <x v="1"/>
    <n v="8.305653141678853"/>
    <b v="0"/>
    <s v="MD_01"/>
    <x v="0"/>
  </r>
  <r>
    <x v="1708"/>
    <x v="39"/>
    <x v="0"/>
    <x v="4"/>
    <x v="0"/>
    <n v="11.22183386309962"/>
    <b v="0"/>
    <s v="MD_06"/>
    <x v="0"/>
  </r>
  <r>
    <x v="1709"/>
    <x v="630"/>
    <x v="2"/>
    <x v="2"/>
    <x v="0"/>
    <n v="4.8901685985229042"/>
    <b v="0"/>
    <s v="MD_13"/>
    <x v="1"/>
  </r>
  <r>
    <x v="1710"/>
    <x v="381"/>
    <x v="1"/>
    <x v="4"/>
    <x v="0"/>
    <n v="29.308582130295964"/>
    <b v="0"/>
    <s v="MD_13"/>
    <x v="0"/>
  </r>
  <r>
    <x v="1711"/>
    <x v="136"/>
    <x v="0"/>
    <x v="0"/>
    <x v="0"/>
    <n v="32.295456494399183"/>
    <b v="0"/>
    <s v="MD_12"/>
    <x v="0"/>
  </r>
  <r>
    <x v="1712"/>
    <x v="212"/>
    <x v="3"/>
    <x v="1"/>
    <x v="0"/>
    <n v="5.1290407312241024"/>
    <b v="0"/>
    <s v="MD_04"/>
    <x v="1"/>
  </r>
  <r>
    <x v="1713"/>
    <x v="390"/>
    <x v="2"/>
    <x v="2"/>
    <x v="1"/>
    <n v="23.793478622973261"/>
    <b v="0"/>
    <s v="MD_12"/>
    <x v="0"/>
  </r>
  <r>
    <x v="1714"/>
    <x v="201"/>
    <x v="3"/>
    <x v="3"/>
    <x v="0"/>
    <n v="7.8783962020992515"/>
    <b v="0"/>
    <s v="MD_03"/>
    <x v="1"/>
  </r>
  <r>
    <x v="1715"/>
    <x v="498"/>
    <x v="2"/>
    <x v="4"/>
    <x v="1"/>
    <n v="4.2492212488507768"/>
    <b v="0"/>
    <s v="MD_12"/>
    <x v="1"/>
  </r>
  <r>
    <x v="1716"/>
    <x v="104"/>
    <x v="1"/>
    <x v="2"/>
    <x v="0"/>
    <n v="7.0323086209529091"/>
    <b v="0"/>
    <s v="MD_15"/>
    <x v="1"/>
  </r>
  <r>
    <x v="1717"/>
    <x v="318"/>
    <x v="2"/>
    <x v="3"/>
    <x v="0"/>
    <n v="24.091635510458911"/>
    <b v="0"/>
    <s v="MD_03"/>
    <x v="0"/>
  </r>
  <r>
    <x v="1718"/>
    <x v="457"/>
    <x v="3"/>
    <x v="1"/>
    <x v="0"/>
    <n v="5.2091408282027727"/>
    <b v="0"/>
    <s v="MD_12"/>
    <x v="1"/>
  </r>
  <r>
    <x v="1719"/>
    <x v="130"/>
    <x v="1"/>
    <x v="2"/>
    <x v="1"/>
    <n v="29.859174742602566"/>
    <b v="0"/>
    <s v="MD_03"/>
    <x v="0"/>
  </r>
  <r>
    <x v="1720"/>
    <x v="253"/>
    <x v="1"/>
    <x v="2"/>
    <x v="1"/>
    <n v="6.8341863353083507"/>
    <b v="0"/>
    <s v="MD_03"/>
    <x v="1"/>
  </r>
  <r>
    <x v="1721"/>
    <x v="305"/>
    <x v="2"/>
    <x v="0"/>
    <x v="0"/>
    <n v="16.943210004821513"/>
    <b v="0"/>
    <s v="MD_11"/>
    <x v="0"/>
  </r>
  <r>
    <x v="1722"/>
    <x v="108"/>
    <x v="2"/>
    <x v="0"/>
    <x v="0"/>
    <n v="16.29195142319697"/>
    <b v="0"/>
    <s v="MD_12"/>
    <x v="0"/>
  </r>
  <r>
    <x v="1723"/>
    <x v="220"/>
    <x v="0"/>
    <x v="0"/>
    <x v="0"/>
    <n v="15.992826399217202"/>
    <b v="0"/>
    <s v="MD_10"/>
    <x v="0"/>
  </r>
  <r>
    <x v="1724"/>
    <x v="244"/>
    <x v="0"/>
    <x v="2"/>
    <x v="0"/>
    <n v="16.746779473314806"/>
    <b v="0"/>
    <s v="MD_07"/>
    <x v="0"/>
  </r>
  <r>
    <x v="1725"/>
    <x v="414"/>
    <x v="1"/>
    <x v="4"/>
    <x v="1"/>
    <n v="18.229313121520143"/>
    <b v="0"/>
    <s v="MD_07"/>
    <x v="0"/>
  </r>
  <r>
    <x v="1726"/>
    <x v="319"/>
    <x v="1"/>
    <x v="4"/>
    <x v="1"/>
    <n v="5.4129833663698719"/>
    <b v="0"/>
    <s v="MD_14"/>
    <x v="1"/>
  </r>
  <r>
    <x v="1727"/>
    <x v="348"/>
    <x v="1"/>
    <x v="4"/>
    <x v="0"/>
    <n v="1.1124714519313939"/>
    <b v="0"/>
    <s v="MD_05"/>
    <x v="1"/>
  </r>
  <r>
    <x v="1728"/>
    <x v="280"/>
    <x v="3"/>
    <x v="4"/>
    <x v="1"/>
    <n v="7.1611480556178684"/>
    <b v="0"/>
    <s v="MD_20"/>
    <x v="1"/>
  </r>
  <r>
    <x v="1729"/>
    <x v="664"/>
    <x v="3"/>
    <x v="1"/>
    <x v="1"/>
    <n v="16.239380938264755"/>
    <b v="0"/>
    <s v="MD_10"/>
    <x v="0"/>
  </r>
  <r>
    <x v="1730"/>
    <x v="326"/>
    <x v="0"/>
    <x v="3"/>
    <x v="1"/>
    <n v="5.6778290772629463"/>
    <b v="0"/>
    <s v="MD_03"/>
    <x v="1"/>
  </r>
  <r>
    <x v="1731"/>
    <x v="599"/>
    <x v="1"/>
    <x v="1"/>
    <x v="1"/>
    <n v="2.0189928125563306"/>
    <b v="0"/>
    <s v="MD_13"/>
    <x v="0"/>
  </r>
  <r>
    <x v="1732"/>
    <x v="159"/>
    <x v="0"/>
    <x v="4"/>
    <x v="0"/>
    <n v="5.2532316213164796"/>
    <b v="0"/>
    <s v="MD_05"/>
    <x v="1"/>
  </r>
  <r>
    <x v="1733"/>
    <x v="66"/>
    <x v="3"/>
    <x v="0"/>
    <x v="0"/>
    <n v="7.3871112067065745"/>
    <b v="0"/>
    <s v="MD_13"/>
    <x v="1"/>
  </r>
  <r>
    <x v="1734"/>
    <x v="477"/>
    <x v="3"/>
    <x v="1"/>
    <x v="1"/>
    <n v="18.50233734852651"/>
    <b v="0"/>
    <s v="MD_02"/>
    <x v="0"/>
  </r>
  <r>
    <x v="1735"/>
    <x v="277"/>
    <x v="0"/>
    <x v="3"/>
    <x v="0"/>
    <n v="4.6523032026192377"/>
    <b v="0"/>
    <s v="MD_05"/>
    <x v="1"/>
  </r>
  <r>
    <x v="1736"/>
    <x v="77"/>
    <x v="3"/>
    <x v="2"/>
    <x v="0"/>
    <n v="13.380622597445587"/>
    <b v="0"/>
    <s v="MD_20"/>
    <x v="0"/>
  </r>
  <r>
    <x v="1737"/>
    <x v="556"/>
    <x v="1"/>
    <x v="1"/>
    <x v="0"/>
    <n v="2.568685541847584"/>
    <b v="0"/>
    <s v="MD_13"/>
    <x v="1"/>
  </r>
  <r>
    <x v="1738"/>
    <x v="72"/>
    <x v="2"/>
    <x v="1"/>
    <x v="1"/>
    <n v="17.595313963052028"/>
    <b v="0"/>
    <s v="MD_05"/>
    <x v="0"/>
  </r>
  <r>
    <x v="1739"/>
    <x v="546"/>
    <x v="1"/>
    <x v="3"/>
    <x v="0"/>
    <n v="26.187077574008256"/>
    <b v="0"/>
    <s v="MD_06"/>
    <x v="0"/>
  </r>
  <r>
    <x v="1740"/>
    <x v="599"/>
    <x v="3"/>
    <x v="0"/>
    <x v="1"/>
    <n v="25.512872203201017"/>
    <b v="0"/>
    <s v="MD_02"/>
    <x v="0"/>
  </r>
  <r>
    <x v="1741"/>
    <x v="101"/>
    <x v="3"/>
    <x v="2"/>
    <x v="1"/>
    <n v="22.78593513781524"/>
    <b v="0"/>
    <s v="MD_18"/>
    <x v="0"/>
  </r>
  <r>
    <x v="1742"/>
    <x v="665"/>
    <x v="2"/>
    <x v="3"/>
    <x v="0"/>
    <n v="20.922675864517771"/>
    <b v="0"/>
    <s v="MD_19"/>
    <x v="0"/>
  </r>
  <r>
    <x v="1743"/>
    <x v="124"/>
    <x v="3"/>
    <x v="4"/>
    <x v="0"/>
    <n v="6.0620384767879028"/>
    <b v="0"/>
    <s v="MD_02"/>
    <x v="1"/>
  </r>
  <r>
    <x v="1744"/>
    <x v="364"/>
    <x v="0"/>
    <x v="4"/>
    <x v="0"/>
    <n v="8.753160385905991"/>
    <b v="0"/>
    <s v="MD_01"/>
    <x v="1"/>
  </r>
  <r>
    <x v="1745"/>
    <x v="145"/>
    <x v="2"/>
    <x v="1"/>
    <x v="1"/>
    <n v="31.919365157676136"/>
    <b v="0"/>
    <s v="MD_04"/>
    <x v="0"/>
  </r>
  <r>
    <x v="1746"/>
    <x v="471"/>
    <x v="3"/>
    <x v="4"/>
    <x v="1"/>
    <n v="27.442381665984882"/>
    <b v="0"/>
    <s v="MD_18"/>
    <x v="0"/>
  </r>
  <r>
    <x v="1747"/>
    <x v="622"/>
    <x v="0"/>
    <x v="0"/>
    <x v="0"/>
    <n v="1.9983377355603329"/>
    <b v="0"/>
    <s v="MD_10"/>
    <x v="1"/>
  </r>
  <r>
    <x v="1748"/>
    <x v="658"/>
    <x v="2"/>
    <x v="2"/>
    <x v="0"/>
    <n v="8.9467555966155885"/>
    <b v="0"/>
    <s v="MD_18"/>
    <x v="1"/>
  </r>
  <r>
    <x v="1749"/>
    <x v="666"/>
    <x v="1"/>
    <x v="1"/>
    <x v="0"/>
    <n v="17.553597516614659"/>
    <b v="0"/>
    <s v="MD_19"/>
    <x v="0"/>
  </r>
  <r>
    <x v="1750"/>
    <x v="663"/>
    <x v="3"/>
    <x v="0"/>
    <x v="1"/>
    <n v="9.706376143353749"/>
    <b v="0"/>
    <s v="MD_08"/>
    <x v="0"/>
  </r>
  <r>
    <x v="1751"/>
    <x v="201"/>
    <x v="0"/>
    <x v="3"/>
    <x v="0"/>
    <n v="3.2216216575381647"/>
    <b v="0"/>
    <s v="MD_20"/>
    <x v="1"/>
  </r>
  <r>
    <x v="1752"/>
    <x v="635"/>
    <x v="2"/>
    <x v="2"/>
    <x v="1"/>
    <n v="11.591353242500361"/>
    <b v="0"/>
    <s v="MD_10"/>
    <x v="0"/>
  </r>
  <r>
    <x v="1753"/>
    <x v="453"/>
    <x v="2"/>
    <x v="0"/>
    <x v="0"/>
    <n v="2.2429752914920482"/>
    <b v="0"/>
    <s v="MD_03"/>
    <x v="1"/>
  </r>
  <r>
    <x v="1754"/>
    <x v="620"/>
    <x v="0"/>
    <x v="2"/>
    <x v="0"/>
    <n v="4.9105535145901813"/>
    <b v="0"/>
    <s v="MD_16"/>
    <x v="1"/>
  </r>
  <r>
    <x v="1755"/>
    <x v="381"/>
    <x v="3"/>
    <x v="0"/>
    <x v="1"/>
    <n v="34.825021381428265"/>
    <b v="0"/>
    <s v="MD_04"/>
    <x v="0"/>
  </r>
  <r>
    <x v="1756"/>
    <x v="96"/>
    <x v="2"/>
    <x v="2"/>
    <x v="1"/>
    <n v="5.176636462756572"/>
    <b v="0"/>
    <s v="MD_17"/>
    <x v="1"/>
  </r>
  <r>
    <x v="1757"/>
    <x v="436"/>
    <x v="0"/>
    <x v="2"/>
    <x v="0"/>
    <n v="22.885582132522195"/>
    <b v="0"/>
    <s v="MD_02"/>
    <x v="0"/>
  </r>
  <r>
    <x v="1758"/>
    <x v="377"/>
    <x v="1"/>
    <x v="1"/>
    <x v="0"/>
    <n v="8.8050217298283222"/>
    <b v="0"/>
    <s v="MD_18"/>
    <x v="1"/>
  </r>
  <r>
    <x v="1759"/>
    <x v="358"/>
    <x v="1"/>
    <x v="2"/>
    <x v="0"/>
    <n v="4.5074388196879536"/>
    <b v="0"/>
    <s v="MD_02"/>
    <x v="1"/>
  </r>
  <r>
    <x v="1760"/>
    <x v="635"/>
    <x v="2"/>
    <x v="2"/>
    <x v="0"/>
    <n v="7.6298156097929013"/>
    <b v="0"/>
    <s v="MD_19"/>
    <x v="1"/>
  </r>
  <r>
    <x v="1761"/>
    <x v="488"/>
    <x v="1"/>
    <x v="1"/>
    <x v="0"/>
    <n v="23.394143344787093"/>
    <b v="0"/>
    <s v="MD_10"/>
    <x v="0"/>
  </r>
  <r>
    <x v="1762"/>
    <x v="328"/>
    <x v="1"/>
    <x v="4"/>
    <x v="1"/>
    <n v="7.1321900532109783"/>
    <b v="0"/>
    <s v="MD_16"/>
    <x v="1"/>
  </r>
  <r>
    <x v="1763"/>
    <x v="462"/>
    <x v="2"/>
    <x v="1"/>
    <x v="0"/>
    <n v="4.2106310044524333"/>
    <b v="0"/>
    <s v="MD_07"/>
    <x v="1"/>
  </r>
  <r>
    <x v="1764"/>
    <x v="325"/>
    <x v="2"/>
    <x v="0"/>
    <x v="0"/>
    <n v="6.0851925579620181"/>
    <b v="0"/>
    <s v="MD_02"/>
    <x v="1"/>
  </r>
  <r>
    <x v="1765"/>
    <x v="303"/>
    <x v="2"/>
    <x v="4"/>
    <x v="0"/>
    <n v="4.1313797195093649E-2"/>
    <b v="0"/>
    <s v="MD_08"/>
    <x v="1"/>
  </r>
  <r>
    <x v="1766"/>
    <x v="316"/>
    <x v="0"/>
    <x v="2"/>
    <x v="0"/>
    <n v="8.5273325731717922"/>
    <b v="0"/>
    <s v="MD_16"/>
    <x v="1"/>
  </r>
  <r>
    <x v="1767"/>
    <x v="645"/>
    <x v="3"/>
    <x v="2"/>
    <x v="0"/>
    <n v="9.0142943275055849"/>
    <b v="0"/>
    <s v="MD_01"/>
    <x v="1"/>
  </r>
  <r>
    <x v="1768"/>
    <x v="189"/>
    <x v="1"/>
    <x v="3"/>
    <x v="0"/>
    <n v="7.1279436138911478"/>
    <b v="0"/>
    <s v="MD_05"/>
    <x v="1"/>
  </r>
  <r>
    <x v="1769"/>
    <x v="571"/>
    <x v="3"/>
    <x v="0"/>
    <x v="1"/>
    <n v="13.630554051574396"/>
    <b v="0"/>
    <s v="MD_03"/>
    <x v="0"/>
  </r>
  <r>
    <x v="1770"/>
    <x v="65"/>
    <x v="2"/>
    <x v="4"/>
    <x v="1"/>
    <n v="20.189136864693751"/>
    <b v="0"/>
    <s v="MD_03"/>
    <x v="0"/>
  </r>
  <r>
    <x v="1771"/>
    <x v="231"/>
    <x v="1"/>
    <x v="0"/>
    <x v="1"/>
    <n v="24.606026147113194"/>
    <b v="0"/>
    <s v="MD_03"/>
    <x v="0"/>
  </r>
  <r>
    <x v="1772"/>
    <x v="306"/>
    <x v="0"/>
    <x v="3"/>
    <x v="0"/>
    <n v="11.74531749424996"/>
    <b v="0"/>
    <s v="MD_12"/>
    <x v="1"/>
  </r>
  <r>
    <x v="1773"/>
    <x v="540"/>
    <x v="2"/>
    <x v="3"/>
    <x v="0"/>
    <n v="5.7441951450384794"/>
    <b v="0"/>
    <s v="MD_06"/>
    <x v="1"/>
  </r>
  <r>
    <x v="1774"/>
    <x v="117"/>
    <x v="3"/>
    <x v="0"/>
    <x v="1"/>
    <n v="38.510125166182533"/>
    <b v="0"/>
    <s v="MD_12"/>
    <x v="0"/>
  </r>
  <r>
    <x v="1775"/>
    <x v="461"/>
    <x v="1"/>
    <x v="3"/>
    <x v="0"/>
    <n v="12.667881173933198"/>
    <b v="0"/>
    <s v="MD_05"/>
    <x v="0"/>
  </r>
  <r>
    <x v="1776"/>
    <x v="444"/>
    <x v="2"/>
    <x v="1"/>
    <x v="0"/>
    <n v="5.9876364387690453"/>
    <b v="0"/>
    <s v="MD_02"/>
    <x v="1"/>
  </r>
  <r>
    <x v="1777"/>
    <x v="519"/>
    <x v="1"/>
    <x v="1"/>
    <x v="1"/>
    <n v="28.209255206489232"/>
    <b v="0"/>
    <s v="MD_19"/>
    <x v="0"/>
  </r>
  <r>
    <x v="1778"/>
    <x v="59"/>
    <x v="2"/>
    <x v="0"/>
    <x v="1"/>
    <n v="7.0732466479583973"/>
    <b v="0"/>
    <s v="MD_06"/>
    <x v="1"/>
  </r>
  <r>
    <x v="1779"/>
    <x v="135"/>
    <x v="0"/>
    <x v="2"/>
    <x v="0"/>
    <n v="4.2312260786520151"/>
    <b v="0"/>
    <s v="MD_16"/>
    <x v="1"/>
  </r>
  <r>
    <x v="1780"/>
    <x v="247"/>
    <x v="2"/>
    <x v="0"/>
    <x v="0"/>
    <n v="8.1887993325663437"/>
    <b v="0"/>
    <s v="MD_18"/>
    <x v="1"/>
  </r>
  <r>
    <x v="1781"/>
    <x v="246"/>
    <x v="3"/>
    <x v="3"/>
    <x v="0"/>
    <n v="28.351274343981057"/>
    <b v="0"/>
    <s v="MD_04"/>
    <x v="0"/>
  </r>
  <r>
    <x v="1782"/>
    <x v="512"/>
    <x v="3"/>
    <x v="4"/>
    <x v="1"/>
    <n v="23.257867184599629"/>
    <b v="1"/>
    <s v="MD_09"/>
    <x v="0"/>
  </r>
  <r>
    <x v="1783"/>
    <x v="619"/>
    <x v="3"/>
    <x v="2"/>
    <x v="1"/>
    <n v="5.6362323487889769"/>
    <b v="0"/>
    <s v="MD_08"/>
    <x v="1"/>
  </r>
  <r>
    <x v="1784"/>
    <x v="667"/>
    <x v="0"/>
    <x v="3"/>
    <x v="1"/>
    <n v="6.8173506821204839"/>
    <b v="0"/>
    <s v="MD_19"/>
    <x v="1"/>
  </r>
  <r>
    <x v="1785"/>
    <x v="161"/>
    <x v="0"/>
    <x v="3"/>
    <x v="1"/>
    <n v="23.929660623950458"/>
    <b v="0"/>
    <s v="MD_08"/>
    <x v="0"/>
  </r>
  <r>
    <x v="1786"/>
    <x v="339"/>
    <x v="0"/>
    <x v="1"/>
    <x v="0"/>
    <n v="5.1351715458709997"/>
    <b v="0"/>
    <s v="MD_04"/>
    <x v="1"/>
  </r>
  <r>
    <x v="1787"/>
    <x v="653"/>
    <x v="2"/>
    <x v="2"/>
    <x v="1"/>
    <n v="6.8115561997366232"/>
    <b v="0"/>
    <s v="MD_02"/>
    <x v="1"/>
  </r>
  <r>
    <x v="1788"/>
    <x v="57"/>
    <x v="3"/>
    <x v="4"/>
    <x v="0"/>
    <n v="9.3753079970887807"/>
    <b v="0"/>
    <s v="MD_09"/>
    <x v="2"/>
  </r>
  <r>
    <x v="1789"/>
    <x v="18"/>
    <x v="0"/>
    <x v="3"/>
    <x v="1"/>
    <n v="23.318529762296848"/>
    <b v="0"/>
    <s v="MD_05"/>
    <x v="0"/>
  </r>
  <r>
    <x v="1790"/>
    <x v="357"/>
    <x v="2"/>
    <x v="2"/>
    <x v="1"/>
    <n v="25.421448787991807"/>
    <b v="0"/>
    <s v="MD_20"/>
    <x v="0"/>
  </r>
  <r>
    <x v="1791"/>
    <x v="238"/>
    <x v="2"/>
    <x v="4"/>
    <x v="0"/>
    <n v="6.4111412793624147"/>
    <b v="0"/>
    <s v="MD_05"/>
    <x v="1"/>
  </r>
  <r>
    <x v="1792"/>
    <x v="397"/>
    <x v="1"/>
    <x v="4"/>
    <x v="0"/>
    <n v="6.6682073186053472"/>
    <b v="0"/>
    <s v="MD_02"/>
    <x v="1"/>
  </r>
  <r>
    <x v="1793"/>
    <x v="362"/>
    <x v="3"/>
    <x v="1"/>
    <x v="1"/>
    <n v="32.578736039203946"/>
    <b v="0"/>
    <s v="MD_05"/>
    <x v="0"/>
  </r>
  <r>
    <x v="1794"/>
    <x v="134"/>
    <x v="3"/>
    <x v="4"/>
    <x v="1"/>
    <n v="18.311772358920823"/>
    <b v="0"/>
    <s v="MD_17"/>
    <x v="0"/>
  </r>
  <r>
    <x v="1795"/>
    <x v="349"/>
    <x v="3"/>
    <x v="0"/>
    <x v="0"/>
    <n v="3.558292943593385"/>
    <b v="0"/>
    <s v="MD_18"/>
    <x v="1"/>
  </r>
  <r>
    <x v="1796"/>
    <x v="194"/>
    <x v="1"/>
    <x v="0"/>
    <x v="1"/>
    <n v="21.375698868703587"/>
    <b v="0"/>
    <s v="MD_15"/>
    <x v="0"/>
  </r>
  <r>
    <x v="1797"/>
    <x v="330"/>
    <x v="2"/>
    <x v="0"/>
    <x v="0"/>
    <n v="8.2897687040135963"/>
    <b v="0"/>
    <s v="MD_19"/>
    <x v="1"/>
  </r>
  <r>
    <x v="1798"/>
    <x v="176"/>
    <x v="3"/>
    <x v="1"/>
    <x v="0"/>
    <n v="5.723812281544773"/>
    <b v="0"/>
    <s v="MD_10"/>
    <x v="2"/>
  </r>
  <r>
    <x v="1799"/>
    <x v="289"/>
    <x v="3"/>
    <x v="2"/>
    <x v="0"/>
    <n v="9.7663964405106274"/>
    <b v="0"/>
    <s v="MD_11"/>
    <x v="1"/>
  </r>
  <r>
    <x v="1800"/>
    <x v="496"/>
    <x v="1"/>
    <x v="3"/>
    <x v="0"/>
    <n v="7.9306076072341867"/>
    <b v="0"/>
    <s v="MD_11"/>
    <x v="1"/>
  </r>
  <r>
    <x v="1801"/>
    <x v="668"/>
    <x v="3"/>
    <x v="3"/>
    <x v="1"/>
    <n v="8.1063799778693895"/>
    <b v="0"/>
    <s v="MD_15"/>
    <x v="1"/>
  </r>
  <r>
    <x v="1802"/>
    <x v="462"/>
    <x v="2"/>
    <x v="4"/>
    <x v="1"/>
    <n v="4.5929580188953558"/>
    <b v="0"/>
    <s v="MD_09"/>
    <x v="1"/>
  </r>
  <r>
    <x v="1803"/>
    <x v="536"/>
    <x v="0"/>
    <x v="3"/>
    <x v="0"/>
    <n v="2.4074068347837159"/>
    <b v="0"/>
    <s v="MD_07"/>
    <x v="1"/>
  </r>
  <r>
    <x v="1804"/>
    <x v="669"/>
    <x v="2"/>
    <x v="3"/>
    <x v="1"/>
    <n v="4.9778269429803608"/>
    <b v="0"/>
    <s v="MD_14"/>
    <x v="0"/>
  </r>
  <r>
    <x v="1805"/>
    <x v="670"/>
    <x v="0"/>
    <x v="4"/>
    <x v="0"/>
    <n v="5.2577729938533917"/>
    <b v="0"/>
    <s v="MD_03"/>
    <x v="1"/>
  </r>
  <r>
    <x v="1806"/>
    <x v="620"/>
    <x v="0"/>
    <x v="4"/>
    <x v="0"/>
    <n v="7.8111825227671368"/>
    <b v="0"/>
    <s v="MD_02"/>
    <x v="2"/>
  </r>
  <r>
    <x v="1807"/>
    <x v="528"/>
    <x v="2"/>
    <x v="4"/>
    <x v="0"/>
    <n v="19.083485825979803"/>
    <b v="0"/>
    <s v="MD_05"/>
    <x v="0"/>
  </r>
  <r>
    <x v="1808"/>
    <x v="222"/>
    <x v="0"/>
    <x v="3"/>
    <x v="1"/>
    <n v="21.192756444112746"/>
    <b v="0"/>
    <s v="MD_17"/>
    <x v="0"/>
  </r>
  <r>
    <x v="1809"/>
    <x v="523"/>
    <x v="1"/>
    <x v="2"/>
    <x v="0"/>
    <n v="5.591767515842653"/>
    <b v="0"/>
    <s v="MD_19"/>
    <x v="1"/>
  </r>
  <r>
    <x v="1810"/>
    <x v="671"/>
    <x v="2"/>
    <x v="0"/>
    <x v="1"/>
    <n v="33.44373523770782"/>
    <b v="0"/>
    <s v="MD_20"/>
    <x v="0"/>
  </r>
  <r>
    <x v="1811"/>
    <x v="625"/>
    <x v="0"/>
    <x v="0"/>
    <x v="0"/>
    <n v="5.4249093236593877"/>
    <b v="0"/>
    <s v="MD_20"/>
    <x v="1"/>
  </r>
  <r>
    <x v="1812"/>
    <x v="672"/>
    <x v="3"/>
    <x v="4"/>
    <x v="1"/>
    <n v="21.795624944337739"/>
    <b v="0"/>
    <s v="MD_19"/>
    <x v="0"/>
  </r>
  <r>
    <x v="1813"/>
    <x v="172"/>
    <x v="3"/>
    <x v="0"/>
    <x v="0"/>
    <n v="7.2784953746953143"/>
    <b v="0"/>
    <s v="MD_15"/>
    <x v="1"/>
  </r>
  <r>
    <x v="1814"/>
    <x v="352"/>
    <x v="2"/>
    <x v="1"/>
    <x v="0"/>
    <n v="4.9386749300425192"/>
    <b v="0"/>
    <s v="MD_02"/>
    <x v="1"/>
  </r>
  <r>
    <x v="1815"/>
    <x v="658"/>
    <x v="3"/>
    <x v="4"/>
    <x v="0"/>
    <n v="7.8476629963126925"/>
    <b v="0"/>
    <s v="MD_13"/>
    <x v="1"/>
  </r>
  <r>
    <x v="1816"/>
    <x v="320"/>
    <x v="1"/>
    <x v="3"/>
    <x v="0"/>
    <n v="5.6878145239163267"/>
    <b v="0"/>
    <s v="MD_05"/>
    <x v="1"/>
  </r>
  <r>
    <x v="1817"/>
    <x v="359"/>
    <x v="3"/>
    <x v="1"/>
    <x v="1"/>
    <n v="14.578401745990195"/>
    <b v="0"/>
    <s v="MD_16"/>
    <x v="0"/>
  </r>
  <r>
    <x v="1818"/>
    <x v="673"/>
    <x v="3"/>
    <x v="0"/>
    <x v="0"/>
    <n v="4.8552030654079008"/>
    <b v="0"/>
    <s v="MD_19"/>
    <x v="1"/>
  </r>
  <r>
    <x v="1819"/>
    <x v="88"/>
    <x v="1"/>
    <x v="0"/>
    <x v="1"/>
    <n v="9.3554762104954534"/>
    <b v="0"/>
    <s v="MD_01"/>
    <x v="1"/>
  </r>
  <r>
    <x v="1820"/>
    <x v="72"/>
    <x v="1"/>
    <x v="4"/>
    <x v="1"/>
    <n v="39.302536089897231"/>
    <b v="0"/>
    <s v="MD_06"/>
    <x v="0"/>
  </r>
  <r>
    <x v="1821"/>
    <x v="295"/>
    <x v="1"/>
    <x v="3"/>
    <x v="1"/>
    <n v="25.000170010279021"/>
    <b v="0"/>
    <s v="MD_01"/>
    <x v="0"/>
  </r>
  <r>
    <x v="1822"/>
    <x v="127"/>
    <x v="1"/>
    <x v="0"/>
    <x v="1"/>
    <n v="27.023968183899058"/>
    <b v="0"/>
    <s v="MD_04"/>
    <x v="0"/>
  </r>
  <r>
    <x v="1823"/>
    <x v="28"/>
    <x v="2"/>
    <x v="3"/>
    <x v="0"/>
    <n v="3.1361497943537326"/>
    <b v="0"/>
    <s v="MD_07"/>
    <x v="1"/>
  </r>
  <r>
    <x v="1824"/>
    <x v="450"/>
    <x v="0"/>
    <x v="4"/>
    <x v="0"/>
    <n v="3.3457237051677784"/>
    <b v="0"/>
    <s v="MD_04"/>
    <x v="1"/>
  </r>
  <r>
    <x v="1825"/>
    <x v="451"/>
    <x v="2"/>
    <x v="4"/>
    <x v="0"/>
    <n v="2.5521330009700125"/>
    <b v="0"/>
    <s v="MD_08"/>
    <x v="1"/>
  </r>
  <r>
    <x v="1826"/>
    <x v="103"/>
    <x v="2"/>
    <x v="3"/>
    <x v="0"/>
    <n v="10.693018756204927"/>
    <b v="0"/>
    <s v="MD_13"/>
    <x v="1"/>
  </r>
  <r>
    <x v="1827"/>
    <x v="231"/>
    <x v="0"/>
    <x v="3"/>
    <x v="1"/>
    <n v="31.651204242204031"/>
    <b v="0"/>
    <s v="MD_02"/>
    <x v="0"/>
  </r>
  <r>
    <x v="1828"/>
    <x v="52"/>
    <x v="1"/>
    <x v="4"/>
    <x v="0"/>
    <n v="23.691308186112359"/>
    <b v="0"/>
    <s v="MD_15"/>
    <x v="0"/>
  </r>
  <r>
    <x v="1829"/>
    <x v="53"/>
    <x v="2"/>
    <x v="2"/>
    <x v="0"/>
    <n v="28.182860044643256"/>
    <b v="0"/>
    <s v="MD_05"/>
    <x v="0"/>
  </r>
  <r>
    <x v="1830"/>
    <x v="518"/>
    <x v="3"/>
    <x v="1"/>
    <x v="1"/>
    <n v="6.2781450327800865"/>
    <b v="0"/>
    <s v="MD_14"/>
    <x v="1"/>
  </r>
  <r>
    <x v="1831"/>
    <x v="674"/>
    <x v="1"/>
    <x v="0"/>
    <x v="1"/>
    <n v="14.162807844480966"/>
    <b v="0"/>
    <s v="MD_03"/>
    <x v="0"/>
  </r>
  <r>
    <x v="1832"/>
    <x v="198"/>
    <x v="2"/>
    <x v="0"/>
    <x v="1"/>
    <n v="8.6941909238031023"/>
    <b v="0"/>
    <s v="MD_15"/>
    <x v="0"/>
  </r>
  <r>
    <x v="1833"/>
    <x v="251"/>
    <x v="3"/>
    <x v="3"/>
    <x v="0"/>
    <n v="1.1192273846699212"/>
    <b v="0"/>
    <s v="MD_17"/>
    <x v="2"/>
  </r>
  <r>
    <x v="1834"/>
    <x v="262"/>
    <x v="3"/>
    <x v="2"/>
    <x v="1"/>
    <n v="27.157737630322984"/>
    <b v="0"/>
    <s v="MD_13"/>
    <x v="0"/>
  </r>
  <r>
    <x v="1835"/>
    <x v="128"/>
    <x v="0"/>
    <x v="0"/>
    <x v="1"/>
    <n v="28.239676963797649"/>
    <b v="0"/>
    <s v="MD_02"/>
    <x v="0"/>
  </r>
  <r>
    <x v="1836"/>
    <x v="19"/>
    <x v="0"/>
    <x v="0"/>
    <x v="0"/>
    <n v="22.065992460378489"/>
    <b v="0"/>
    <s v="MD_01"/>
    <x v="0"/>
  </r>
  <r>
    <x v="1837"/>
    <x v="333"/>
    <x v="2"/>
    <x v="0"/>
    <x v="0"/>
    <n v="6.3162463297974121"/>
    <b v="0"/>
    <s v="MD_03"/>
    <x v="1"/>
  </r>
  <r>
    <x v="1838"/>
    <x v="208"/>
    <x v="3"/>
    <x v="2"/>
    <x v="1"/>
    <n v="-1.3524809614280713"/>
    <b v="0"/>
    <s v="MD_14"/>
    <x v="0"/>
  </r>
  <r>
    <x v="1839"/>
    <x v="491"/>
    <x v="0"/>
    <x v="3"/>
    <x v="1"/>
    <n v="4.4602140197323052"/>
    <b v="0"/>
    <s v="MD_01"/>
    <x v="1"/>
  </r>
  <r>
    <x v="1840"/>
    <x v="345"/>
    <x v="1"/>
    <x v="1"/>
    <x v="0"/>
    <n v="0.31990968797756558"/>
    <b v="0"/>
    <s v="MD_03"/>
    <x v="2"/>
  </r>
  <r>
    <x v="1841"/>
    <x v="347"/>
    <x v="3"/>
    <x v="1"/>
    <x v="0"/>
    <n v="7.5462990414807525"/>
    <b v="0"/>
    <s v="MD_20"/>
    <x v="1"/>
  </r>
  <r>
    <x v="1842"/>
    <x v="454"/>
    <x v="1"/>
    <x v="3"/>
    <x v="1"/>
    <n v="37.929330222752611"/>
    <b v="0"/>
    <s v="MD_06"/>
    <x v="0"/>
  </r>
  <r>
    <x v="1843"/>
    <x v="106"/>
    <x v="1"/>
    <x v="4"/>
    <x v="0"/>
    <n v="5.6044924372238052"/>
    <b v="0"/>
    <s v="MD_01"/>
    <x v="1"/>
  </r>
  <r>
    <x v="1844"/>
    <x v="217"/>
    <x v="3"/>
    <x v="1"/>
    <x v="0"/>
    <n v="8.4575624546144681"/>
    <b v="0"/>
    <s v="MD_15"/>
    <x v="1"/>
  </r>
  <r>
    <x v="1845"/>
    <x v="584"/>
    <x v="3"/>
    <x v="4"/>
    <x v="1"/>
    <n v="20.348560648963982"/>
    <b v="0"/>
    <s v="MD_03"/>
    <x v="0"/>
  </r>
  <r>
    <x v="1846"/>
    <x v="553"/>
    <x v="1"/>
    <x v="2"/>
    <x v="1"/>
    <n v="9.5244722064038214"/>
    <b v="1"/>
    <s v="MD_13"/>
    <x v="0"/>
  </r>
  <r>
    <x v="1847"/>
    <x v="112"/>
    <x v="3"/>
    <x v="4"/>
    <x v="0"/>
    <n v="26.977676577934535"/>
    <b v="0"/>
    <s v="MD_07"/>
    <x v="0"/>
  </r>
  <r>
    <x v="1848"/>
    <x v="379"/>
    <x v="3"/>
    <x v="4"/>
    <x v="1"/>
    <n v="24.163864106884937"/>
    <b v="0"/>
    <s v="MD_08"/>
    <x v="0"/>
  </r>
  <r>
    <x v="1849"/>
    <x v="473"/>
    <x v="1"/>
    <x v="1"/>
    <x v="0"/>
    <n v="3.6604138296993023"/>
    <b v="0"/>
    <s v="MD_01"/>
    <x v="1"/>
  </r>
  <r>
    <x v="1850"/>
    <x v="526"/>
    <x v="3"/>
    <x v="0"/>
    <x v="1"/>
    <n v="17.870400814523528"/>
    <b v="0"/>
    <s v="MD_07"/>
    <x v="0"/>
  </r>
  <r>
    <x v="1851"/>
    <x v="567"/>
    <x v="3"/>
    <x v="3"/>
    <x v="1"/>
    <n v="29.648142498892067"/>
    <b v="0"/>
    <s v="MD_13"/>
    <x v="0"/>
  </r>
  <r>
    <x v="1852"/>
    <x v="260"/>
    <x v="0"/>
    <x v="0"/>
    <x v="1"/>
    <n v="20.865121825519591"/>
    <b v="1"/>
    <s v="MD_08"/>
    <x v="0"/>
  </r>
  <r>
    <x v="1853"/>
    <x v="397"/>
    <x v="3"/>
    <x v="0"/>
    <x v="0"/>
    <n v="3.6055011987371719"/>
    <b v="0"/>
    <s v="MD_05"/>
    <x v="1"/>
  </r>
  <r>
    <x v="1854"/>
    <x v="93"/>
    <x v="0"/>
    <x v="3"/>
    <x v="1"/>
    <n v="23.281660739395058"/>
    <b v="0"/>
    <s v="MD_12"/>
    <x v="0"/>
  </r>
  <r>
    <x v="1855"/>
    <x v="555"/>
    <x v="3"/>
    <x v="0"/>
    <x v="0"/>
    <n v="9.2761286803822678"/>
    <b v="0"/>
    <s v="MD_19"/>
    <x v="1"/>
  </r>
  <r>
    <x v="1856"/>
    <x v="426"/>
    <x v="1"/>
    <x v="4"/>
    <x v="1"/>
    <n v="10.745584532484322"/>
    <b v="0"/>
    <s v="MD_10"/>
    <x v="0"/>
  </r>
  <r>
    <x v="1857"/>
    <x v="138"/>
    <x v="3"/>
    <x v="2"/>
    <x v="1"/>
    <n v="4.1233538930287388"/>
    <b v="0"/>
    <s v="MD_05"/>
    <x v="1"/>
  </r>
  <r>
    <x v="1858"/>
    <x v="295"/>
    <x v="2"/>
    <x v="3"/>
    <x v="1"/>
    <n v="32.416837685809796"/>
    <b v="0"/>
    <s v="MD_07"/>
    <x v="0"/>
  </r>
  <r>
    <x v="1859"/>
    <x v="547"/>
    <x v="2"/>
    <x v="1"/>
    <x v="0"/>
    <n v="9.3863502376580339"/>
    <b v="0"/>
    <s v="MD_05"/>
    <x v="1"/>
  </r>
  <r>
    <x v="1860"/>
    <x v="568"/>
    <x v="0"/>
    <x v="0"/>
    <x v="1"/>
    <n v="33.05753102570673"/>
    <b v="1"/>
    <s v="MD_18"/>
    <x v="0"/>
  </r>
  <r>
    <x v="1861"/>
    <x v="484"/>
    <x v="3"/>
    <x v="4"/>
    <x v="1"/>
    <n v="30.61463458066256"/>
    <b v="0"/>
    <s v="MD_20"/>
    <x v="0"/>
  </r>
  <r>
    <x v="1862"/>
    <x v="416"/>
    <x v="3"/>
    <x v="3"/>
    <x v="1"/>
    <n v="26.806624734217831"/>
    <b v="0"/>
    <s v="MD_08"/>
    <x v="0"/>
  </r>
  <r>
    <x v="1863"/>
    <x v="652"/>
    <x v="0"/>
    <x v="3"/>
    <x v="1"/>
    <n v="5.191654130696862"/>
    <b v="0"/>
    <s v="MD_16"/>
    <x v="1"/>
  </r>
  <r>
    <x v="1864"/>
    <x v="134"/>
    <x v="3"/>
    <x v="1"/>
    <x v="1"/>
    <n v="27.598311566774104"/>
    <b v="0"/>
    <s v="MD_12"/>
    <x v="0"/>
  </r>
  <r>
    <x v="1865"/>
    <x v="536"/>
    <x v="3"/>
    <x v="2"/>
    <x v="1"/>
    <n v="24.970853688314623"/>
    <b v="0"/>
    <s v="MD_20"/>
    <x v="0"/>
  </r>
  <r>
    <x v="1866"/>
    <x v="262"/>
    <x v="2"/>
    <x v="2"/>
    <x v="1"/>
    <n v="17.204113984724803"/>
    <b v="0"/>
    <s v="MD_01"/>
    <x v="0"/>
  </r>
  <r>
    <x v="1867"/>
    <x v="254"/>
    <x v="3"/>
    <x v="2"/>
    <x v="0"/>
    <n v="21.530406648275548"/>
    <b v="0"/>
    <s v="MD_06"/>
    <x v="0"/>
  </r>
  <r>
    <x v="1868"/>
    <x v="345"/>
    <x v="0"/>
    <x v="1"/>
    <x v="1"/>
    <n v="7.2454991767967432"/>
    <b v="0"/>
    <s v="MD_07"/>
    <x v="1"/>
  </r>
  <r>
    <x v="1869"/>
    <x v="102"/>
    <x v="3"/>
    <x v="0"/>
    <x v="1"/>
    <n v="15.947744948793702"/>
    <b v="1"/>
    <s v="MD_19"/>
    <x v="0"/>
  </r>
  <r>
    <x v="1870"/>
    <x v="584"/>
    <x v="2"/>
    <x v="0"/>
    <x v="1"/>
    <n v="9.3872765906633635"/>
    <b v="0"/>
    <s v="MD_09"/>
    <x v="0"/>
  </r>
  <r>
    <x v="1871"/>
    <x v="50"/>
    <x v="3"/>
    <x v="1"/>
    <x v="1"/>
    <n v="16.697798457608378"/>
    <b v="0"/>
    <s v="MD_20"/>
    <x v="0"/>
  </r>
  <r>
    <x v="1872"/>
    <x v="344"/>
    <x v="0"/>
    <x v="3"/>
    <x v="0"/>
    <n v="32.996186668149257"/>
    <b v="0"/>
    <s v="MD_19"/>
    <x v="0"/>
  </r>
  <r>
    <x v="1873"/>
    <x v="342"/>
    <x v="3"/>
    <x v="1"/>
    <x v="0"/>
    <n v="6.8996725373469747"/>
    <b v="0"/>
    <s v="MD_09"/>
    <x v="1"/>
  </r>
  <r>
    <x v="1874"/>
    <x v="622"/>
    <x v="2"/>
    <x v="3"/>
    <x v="0"/>
    <n v="5.9062306202546679"/>
    <b v="0"/>
    <s v="MD_09"/>
    <x v="1"/>
  </r>
  <r>
    <x v="1875"/>
    <x v="374"/>
    <x v="3"/>
    <x v="2"/>
    <x v="0"/>
    <n v="29.172710570442611"/>
    <b v="0"/>
    <s v="MD_11"/>
    <x v="0"/>
  </r>
  <r>
    <x v="1876"/>
    <x v="409"/>
    <x v="1"/>
    <x v="3"/>
    <x v="1"/>
    <n v="28.276392489915768"/>
    <b v="0"/>
    <s v="MD_19"/>
    <x v="0"/>
  </r>
  <r>
    <x v="1877"/>
    <x v="287"/>
    <x v="3"/>
    <x v="4"/>
    <x v="1"/>
    <n v="3.9412332170670203"/>
    <b v="0"/>
    <s v="MD_15"/>
    <x v="1"/>
  </r>
  <r>
    <x v="1878"/>
    <x v="294"/>
    <x v="1"/>
    <x v="1"/>
    <x v="0"/>
    <n v="6.8895362568932699"/>
    <b v="0"/>
    <s v="MD_15"/>
    <x v="1"/>
  </r>
  <r>
    <x v="1879"/>
    <x v="491"/>
    <x v="1"/>
    <x v="1"/>
    <x v="0"/>
    <n v="5.5000713280995273"/>
    <b v="0"/>
    <s v="MD_15"/>
    <x v="1"/>
  </r>
  <r>
    <x v="1880"/>
    <x v="456"/>
    <x v="3"/>
    <x v="4"/>
    <x v="1"/>
    <n v="0.85310896630459609"/>
    <b v="0"/>
    <s v="MD_20"/>
    <x v="0"/>
  </r>
  <r>
    <x v="1881"/>
    <x v="16"/>
    <x v="3"/>
    <x v="2"/>
    <x v="0"/>
    <n v="3.2705257540672954"/>
    <b v="0"/>
    <s v="MD_03"/>
    <x v="2"/>
  </r>
  <r>
    <x v="1882"/>
    <x v="643"/>
    <x v="3"/>
    <x v="4"/>
    <x v="1"/>
    <n v="5.5683093210575985"/>
    <b v="0"/>
    <s v="MD_08"/>
    <x v="1"/>
  </r>
  <r>
    <x v="1883"/>
    <x v="296"/>
    <x v="1"/>
    <x v="1"/>
    <x v="0"/>
    <n v="5.1326678637333885"/>
    <b v="0"/>
    <s v="MD_05"/>
    <x v="1"/>
  </r>
  <r>
    <x v="1884"/>
    <x v="313"/>
    <x v="0"/>
    <x v="3"/>
    <x v="0"/>
    <n v="4.3090140041879863"/>
    <b v="0"/>
    <s v="MD_18"/>
    <x v="1"/>
  </r>
  <r>
    <x v="1885"/>
    <x v="182"/>
    <x v="0"/>
    <x v="0"/>
    <x v="0"/>
    <n v="2.4845912137059067"/>
    <b v="0"/>
    <s v="MD_16"/>
    <x v="1"/>
  </r>
  <r>
    <x v="1886"/>
    <x v="148"/>
    <x v="0"/>
    <x v="0"/>
    <x v="1"/>
    <n v="5.5281060632487877"/>
    <b v="0"/>
    <s v="MD_18"/>
    <x v="1"/>
  </r>
  <r>
    <x v="1887"/>
    <x v="609"/>
    <x v="3"/>
    <x v="0"/>
    <x v="1"/>
    <n v="21.234684353552947"/>
    <b v="0"/>
    <s v="MD_18"/>
    <x v="0"/>
  </r>
  <r>
    <x v="1888"/>
    <x v="675"/>
    <x v="2"/>
    <x v="1"/>
    <x v="0"/>
    <n v="37.298890989479609"/>
    <b v="0"/>
    <s v="MD_14"/>
    <x v="0"/>
  </r>
  <r>
    <x v="1889"/>
    <x v="422"/>
    <x v="3"/>
    <x v="2"/>
    <x v="0"/>
    <n v="6.1841032663460345"/>
    <b v="0"/>
    <s v="MD_15"/>
    <x v="1"/>
  </r>
  <r>
    <x v="1890"/>
    <x v="588"/>
    <x v="3"/>
    <x v="2"/>
    <x v="0"/>
    <n v="4.3312824580411728"/>
    <b v="0"/>
    <s v="MD_12"/>
    <x v="1"/>
  </r>
  <r>
    <x v="1891"/>
    <x v="409"/>
    <x v="2"/>
    <x v="4"/>
    <x v="1"/>
    <n v="22.213962438313185"/>
    <b v="0"/>
    <s v="MD_10"/>
    <x v="0"/>
  </r>
  <r>
    <x v="1892"/>
    <x v="481"/>
    <x v="0"/>
    <x v="1"/>
    <x v="1"/>
    <n v="24.314190778684218"/>
    <b v="0"/>
    <s v="MD_07"/>
    <x v="0"/>
  </r>
  <r>
    <x v="1893"/>
    <x v="168"/>
    <x v="2"/>
    <x v="4"/>
    <x v="1"/>
    <n v="19.845195349829286"/>
    <b v="0"/>
    <s v="MD_03"/>
    <x v="0"/>
  </r>
  <r>
    <x v="1894"/>
    <x v="636"/>
    <x v="3"/>
    <x v="0"/>
    <x v="0"/>
    <n v="5.5923772437990884"/>
    <b v="0"/>
    <s v="MD_07"/>
    <x v="1"/>
  </r>
  <r>
    <x v="1895"/>
    <x v="247"/>
    <x v="1"/>
    <x v="4"/>
    <x v="0"/>
    <n v="5.3636397812643883"/>
    <b v="0"/>
    <s v="MD_20"/>
    <x v="1"/>
  </r>
  <r>
    <x v="1896"/>
    <x v="2"/>
    <x v="1"/>
    <x v="0"/>
    <x v="0"/>
    <n v="8.0931916035639677"/>
    <b v="1"/>
    <s v="MD_19"/>
    <x v="1"/>
  </r>
  <r>
    <x v="1897"/>
    <x v="427"/>
    <x v="1"/>
    <x v="1"/>
    <x v="1"/>
    <n v="11.248054213897205"/>
    <b v="0"/>
    <s v="MD_11"/>
    <x v="1"/>
  </r>
  <r>
    <x v="1898"/>
    <x v="164"/>
    <x v="3"/>
    <x v="0"/>
    <x v="0"/>
    <n v="5.0711786364197797"/>
    <b v="0"/>
    <s v="MD_16"/>
    <x v="1"/>
  </r>
  <r>
    <x v="1899"/>
    <x v="452"/>
    <x v="1"/>
    <x v="1"/>
    <x v="1"/>
    <n v="3.670229235406596"/>
    <b v="0"/>
    <s v="MD_05"/>
    <x v="1"/>
  </r>
  <r>
    <x v="1900"/>
    <x v="496"/>
    <x v="1"/>
    <x v="2"/>
    <x v="1"/>
    <n v="18.354572677571639"/>
    <b v="0"/>
    <s v="MD_19"/>
    <x v="0"/>
  </r>
  <r>
    <x v="1901"/>
    <x v="268"/>
    <x v="3"/>
    <x v="4"/>
    <x v="0"/>
    <n v="5.0151224823505816"/>
    <b v="0"/>
    <s v="MD_01"/>
    <x v="1"/>
  </r>
  <r>
    <x v="1902"/>
    <x v="267"/>
    <x v="3"/>
    <x v="4"/>
    <x v="0"/>
    <n v="6.2384163270325388"/>
    <b v="0"/>
    <s v="MD_04"/>
    <x v="1"/>
  </r>
  <r>
    <x v="1903"/>
    <x v="176"/>
    <x v="2"/>
    <x v="0"/>
    <x v="0"/>
    <n v="5.7046217362955218"/>
    <b v="1"/>
    <s v="MD_13"/>
    <x v="1"/>
  </r>
  <r>
    <x v="1904"/>
    <x v="490"/>
    <x v="0"/>
    <x v="2"/>
    <x v="0"/>
    <n v="6.9136829528069876"/>
    <b v="0"/>
    <s v="MD_16"/>
    <x v="1"/>
  </r>
  <r>
    <x v="1905"/>
    <x v="357"/>
    <x v="2"/>
    <x v="3"/>
    <x v="1"/>
    <n v="33.848601153558519"/>
    <b v="0"/>
    <s v="MD_15"/>
    <x v="0"/>
  </r>
  <r>
    <x v="1906"/>
    <x v="14"/>
    <x v="2"/>
    <x v="0"/>
    <x v="1"/>
    <n v="23.823278944350413"/>
    <b v="0"/>
    <s v="MD_11"/>
    <x v="0"/>
  </r>
  <r>
    <x v="1907"/>
    <x v="583"/>
    <x v="1"/>
    <x v="3"/>
    <x v="0"/>
    <n v="6.6152976330618785"/>
    <b v="0"/>
    <s v="MD_14"/>
    <x v="1"/>
  </r>
  <r>
    <x v="1908"/>
    <x v="596"/>
    <x v="3"/>
    <x v="4"/>
    <x v="1"/>
    <n v="26.587223372722072"/>
    <b v="0"/>
    <s v="MD_15"/>
    <x v="0"/>
  </r>
  <r>
    <x v="1909"/>
    <x v="417"/>
    <x v="3"/>
    <x v="1"/>
    <x v="1"/>
    <n v="12.820261274647086"/>
    <b v="0"/>
    <s v="MD_08"/>
    <x v="0"/>
  </r>
  <r>
    <x v="1910"/>
    <x v="430"/>
    <x v="0"/>
    <x v="2"/>
    <x v="1"/>
    <n v="21.824854827401232"/>
    <b v="0"/>
    <s v="MD_18"/>
    <x v="0"/>
  </r>
  <r>
    <x v="1911"/>
    <x v="676"/>
    <x v="0"/>
    <x v="0"/>
    <x v="0"/>
    <n v="7.0216687514465397"/>
    <b v="0"/>
    <s v="MD_12"/>
    <x v="1"/>
  </r>
  <r>
    <x v="1912"/>
    <x v="162"/>
    <x v="1"/>
    <x v="3"/>
    <x v="0"/>
    <n v="7.607256528528108"/>
    <b v="0"/>
    <s v="MD_02"/>
    <x v="1"/>
  </r>
  <r>
    <x v="1913"/>
    <x v="283"/>
    <x v="0"/>
    <x v="0"/>
    <x v="0"/>
    <n v="5.1268332223265976"/>
    <b v="0"/>
    <s v="MD_02"/>
    <x v="1"/>
  </r>
  <r>
    <x v="1914"/>
    <x v="499"/>
    <x v="3"/>
    <x v="1"/>
    <x v="0"/>
    <n v="6.9506187023584776"/>
    <b v="0"/>
    <s v="MD_08"/>
    <x v="1"/>
  </r>
  <r>
    <x v="1915"/>
    <x v="535"/>
    <x v="0"/>
    <x v="1"/>
    <x v="0"/>
    <n v="4.9489304777569183"/>
    <b v="0"/>
    <s v="MD_16"/>
    <x v="1"/>
  </r>
  <r>
    <x v="1916"/>
    <x v="208"/>
    <x v="1"/>
    <x v="2"/>
    <x v="1"/>
    <n v="21.129968654424001"/>
    <b v="1"/>
    <s v="MD_09"/>
    <x v="0"/>
  </r>
  <r>
    <x v="1917"/>
    <x v="355"/>
    <x v="1"/>
    <x v="4"/>
    <x v="0"/>
    <n v="2.5303307840342608"/>
    <b v="0"/>
    <s v="MD_05"/>
    <x v="1"/>
  </r>
  <r>
    <x v="1918"/>
    <x v="475"/>
    <x v="2"/>
    <x v="4"/>
    <x v="1"/>
    <n v="24.84055984696235"/>
    <b v="0"/>
    <s v="MD_06"/>
    <x v="0"/>
  </r>
  <r>
    <x v="1919"/>
    <x v="359"/>
    <x v="2"/>
    <x v="4"/>
    <x v="0"/>
    <n v="4.5709762497660247"/>
    <b v="0"/>
    <s v="MD_02"/>
    <x v="1"/>
  </r>
  <r>
    <x v="1920"/>
    <x v="286"/>
    <x v="0"/>
    <x v="4"/>
    <x v="0"/>
    <n v="5.5836565056983076"/>
    <b v="0"/>
    <s v="MD_19"/>
    <x v="1"/>
  </r>
  <r>
    <x v="1921"/>
    <x v="415"/>
    <x v="2"/>
    <x v="1"/>
    <x v="0"/>
    <n v="24.833647837185474"/>
    <b v="0"/>
    <s v="MD_03"/>
    <x v="0"/>
  </r>
  <r>
    <x v="1922"/>
    <x v="110"/>
    <x v="0"/>
    <x v="0"/>
    <x v="0"/>
    <n v="9.942843685109926"/>
    <b v="0"/>
    <s v="MD_05"/>
    <x v="1"/>
  </r>
  <r>
    <x v="1923"/>
    <x v="527"/>
    <x v="2"/>
    <x v="3"/>
    <x v="1"/>
    <n v="17.399859650909089"/>
    <b v="0"/>
    <s v="MD_11"/>
    <x v="0"/>
  </r>
  <r>
    <x v="1924"/>
    <x v="41"/>
    <x v="0"/>
    <x v="2"/>
    <x v="0"/>
    <n v="6.9063595658671497"/>
    <b v="0"/>
    <s v="MD_05"/>
    <x v="1"/>
  </r>
  <r>
    <x v="1925"/>
    <x v="24"/>
    <x v="2"/>
    <x v="3"/>
    <x v="1"/>
    <n v="11.477411149640799"/>
    <b v="0"/>
    <s v="MD_02"/>
    <x v="1"/>
  </r>
  <r>
    <x v="1926"/>
    <x v="506"/>
    <x v="3"/>
    <x v="1"/>
    <x v="0"/>
    <n v="4.4641327192675089"/>
    <b v="0"/>
    <s v="MD_18"/>
    <x v="1"/>
  </r>
  <r>
    <x v="1927"/>
    <x v="68"/>
    <x v="3"/>
    <x v="3"/>
    <x v="1"/>
    <n v="6.9968520334831208"/>
    <b v="0"/>
    <s v="MD_04"/>
    <x v="1"/>
  </r>
  <r>
    <x v="1928"/>
    <x v="569"/>
    <x v="1"/>
    <x v="3"/>
    <x v="0"/>
    <n v="9.9113598017107396"/>
    <b v="0"/>
    <s v="MD_07"/>
    <x v="1"/>
  </r>
  <r>
    <x v="1929"/>
    <x v="249"/>
    <x v="0"/>
    <x v="4"/>
    <x v="0"/>
    <n v="5.3751320010651495"/>
    <b v="0"/>
    <s v="MD_04"/>
    <x v="1"/>
  </r>
  <r>
    <x v="1930"/>
    <x v="530"/>
    <x v="1"/>
    <x v="3"/>
    <x v="0"/>
    <n v="3.3773464578734953"/>
    <b v="0"/>
    <s v="MD_18"/>
    <x v="1"/>
  </r>
  <r>
    <x v="1931"/>
    <x v="442"/>
    <x v="2"/>
    <x v="2"/>
    <x v="0"/>
    <n v="2.6631951241049103"/>
    <b v="0"/>
    <s v="MD_19"/>
    <x v="1"/>
  </r>
  <r>
    <x v="1932"/>
    <x v="324"/>
    <x v="1"/>
    <x v="3"/>
    <x v="0"/>
    <n v="6.0852622246777859"/>
    <b v="0"/>
    <s v="MD_04"/>
    <x v="1"/>
  </r>
  <r>
    <x v="1933"/>
    <x v="626"/>
    <x v="1"/>
    <x v="3"/>
    <x v="1"/>
    <n v="19.486581159475502"/>
    <b v="0"/>
    <s v="MD_09"/>
    <x v="0"/>
  </r>
  <r>
    <x v="1934"/>
    <x v="150"/>
    <x v="0"/>
    <x v="3"/>
    <x v="0"/>
    <n v="12.873898911968059"/>
    <b v="0"/>
    <s v="MD_10"/>
    <x v="0"/>
  </r>
  <r>
    <x v="1935"/>
    <x v="151"/>
    <x v="0"/>
    <x v="0"/>
    <x v="0"/>
    <n v="4.7024758908726962"/>
    <b v="0"/>
    <s v="MD_07"/>
    <x v="1"/>
  </r>
  <r>
    <x v="1936"/>
    <x v="459"/>
    <x v="1"/>
    <x v="2"/>
    <x v="0"/>
    <n v="8.1251545657785744"/>
    <b v="0"/>
    <s v="MD_13"/>
    <x v="1"/>
  </r>
  <r>
    <x v="1937"/>
    <x v="659"/>
    <x v="0"/>
    <x v="4"/>
    <x v="0"/>
    <n v="7.2440874955167684"/>
    <b v="0"/>
    <s v="MD_04"/>
    <x v="2"/>
  </r>
  <r>
    <x v="1938"/>
    <x v="334"/>
    <x v="3"/>
    <x v="1"/>
    <x v="1"/>
    <n v="37.744254665190859"/>
    <b v="0"/>
    <s v="MD_09"/>
    <x v="0"/>
  </r>
  <r>
    <x v="1939"/>
    <x v="296"/>
    <x v="2"/>
    <x v="4"/>
    <x v="0"/>
    <n v="6.9853037493500452"/>
    <b v="0"/>
    <s v="MD_14"/>
    <x v="1"/>
  </r>
  <r>
    <x v="1940"/>
    <x v="274"/>
    <x v="3"/>
    <x v="0"/>
    <x v="1"/>
    <n v="16.517395764816811"/>
    <b v="0"/>
    <s v="MD_16"/>
    <x v="0"/>
  </r>
  <r>
    <x v="1941"/>
    <x v="153"/>
    <x v="0"/>
    <x v="0"/>
    <x v="1"/>
    <n v="24.511560854525353"/>
    <b v="0"/>
    <s v="MD_04"/>
    <x v="0"/>
  </r>
  <r>
    <x v="1942"/>
    <x v="524"/>
    <x v="1"/>
    <x v="3"/>
    <x v="0"/>
    <n v="5.237397258052698"/>
    <b v="0"/>
    <s v="MD_12"/>
    <x v="1"/>
  </r>
  <r>
    <x v="1943"/>
    <x v="286"/>
    <x v="3"/>
    <x v="1"/>
    <x v="1"/>
    <n v="9.6484010216929228"/>
    <b v="0"/>
    <s v="MD_09"/>
    <x v="1"/>
  </r>
  <r>
    <x v="1944"/>
    <x v="72"/>
    <x v="1"/>
    <x v="1"/>
    <x v="1"/>
    <n v="38.298285883343809"/>
    <b v="0"/>
    <s v="MD_11"/>
    <x v="0"/>
  </r>
  <r>
    <x v="1945"/>
    <x v="471"/>
    <x v="2"/>
    <x v="2"/>
    <x v="1"/>
    <n v="24.122130071986163"/>
    <b v="0"/>
    <s v="MD_15"/>
    <x v="0"/>
  </r>
  <r>
    <x v="1946"/>
    <x v="520"/>
    <x v="2"/>
    <x v="0"/>
    <x v="0"/>
    <n v="5.0250322174877056"/>
    <b v="0"/>
    <s v="MD_06"/>
    <x v="1"/>
  </r>
  <r>
    <x v="1947"/>
    <x v="129"/>
    <x v="1"/>
    <x v="2"/>
    <x v="0"/>
    <n v="5.8510658855889668"/>
    <b v="0"/>
    <s v="MD_12"/>
    <x v="1"/>
  </r>
  <r>
    <x v="1948"/>
    <x v="657"/>
    <x v="0"/>
    <x v="1"/>
    <x v="1"/>
    <n v="17.425284576202799"/>
    <b v="0"/>
    <s v="MD_08"/>
    <x v="0"/>
  </r>
  <r>
    <x v="1949"/>
    <x v="614"/>
    <x v="1"/>
    <x v="1"/>
    <x v="0"/>
    <n v="5.5069438619134345"/>
    <b v="0"/>
    <s v="MD_10"/>
    <x v="1"/>
  </r>
  <r>
    <x v="1950"/>
    <x v="639"/>
    <x v="2"/>
    <x v="2"/>
    <x v="0"/>
    <n v="8.2100879052251372"/>
    <b v="0"/>
    <s v="MD_09"/>
    <x v="1"/>
  </r>
  <r>
    <x v="1951"/>
    <x v="262"/>
    <x v="2"/>
    <x v="2"/>
    <x v="1"/>
    <n v="15.072693425784539"/>
    <b v="0"/>
    <s v="MD_01"/>
    <x v="0"/>
  </r>
  <r>
    <x v="1952"/>
    <x v="369"/>
    <x v="1"/>
    <x v="0"/>
    <x v="0"/>
    <n v="2.0924105502619463"/>
    <b v="0"/>
    <s v="MD_18"/>
    <x v="1"/>
  </r>
  <r>
    <x v="1953"/>
    <x v="475"/>
    <x v="1"/>
    <x v="2"/>
    <x v="0"/>
    <n v="30.134071665780397"/>
    <b v="0"/>
    <s v="MD_17"/>
    <x v="0"/>
  </r>
  <r>
    <x v="1954"/>
    <x v="515"/>
    <x v="0"/>
    <x v="4"/>
    <x v="0"/>
    <n v="7.0372382758171703"/>
    <b v="0"/>
    <s v="MD_15"/>
    <x v="1"/>
  </r>
  <r>
    <x v="1955"/>
    <x v="446"/>
    <x v="3"/>
    <x v="0"/>
    <x v="0"/>
    <n v="8.1466695342241877"/>
    <b v="0"/>
    <s v="MD_13"/>
    <x v="1"/>
  </r>
  <r>
    <x v="1956"/>
    <x v="622"/>
    <x v="3"/>
    <x v="4"/>
    <x v="0"/>
    <n v="4.1260304849218112"/>
    <b v="0"/>
    <s v="MD_03"/>
    <x v="1"/>
  </r>
  <r>
    <x v="1957"/>
    <x v="234"/>
    <x v="3"/>
    <x v="3"/>
    <x v="0"/>
    <n v="5.4260038906662968"/>
    <b v="0"/>
    <s v="MD_18"/>
    <x v="1"/>
  </r>
  <r>
    <x v="1958"/>
    <x v="396"/>
    <x v="3"/>
    <x v="2"/>
    <x v="0"/>
    <n v="8.3719931424879839"/>
    <b v="0"/>
    <s v="MD_05"/>
    <x v="1"/>
  </r>
  <r>
    <x v="1959"/>
    <x v="402"/>
    <x v="2"/>
    <x v="4"/>
    <x v="0"/>
    <n v="8.1164655896785458"/>
    <b v="0"/>
    <s v="MD_03"/>
    <x v="1"/>
  </r>
  <r>
    <x v="1960"/>
    <x v="187"/>
    <x v="1"/>
    <x v="1"/>
    <x v="1"/>
    <n v="17.297416624912305"/>
    <b v="0"/>
    <s v="MD_15"/>
    <x v="0"/>
  </r>
  <r>
    <x v="1961"/>
    <x v="157"/>
    <x v="0"/>
    <x v="3"/>
    <x v="0"/>
    <n v="4.6927885753613943"/>
    <b v="0"/>
    <s v="MD_16"/>
    <x v="1"/>
  </r>
  <r>
    <x v="1962"/>
    <x v="538"/>
    <x v="1"/>
    <x v="2"/>
    <x v="0"/>
    <n v="4.2948722036924272"/>
    <b v="0"/>
    <s v="MD_06"/>
    <x v="2"/>
  </r>
  <r>
    <x v="1963"/>
    <x v="667"/>
    <x v="2"/>
    <x v="1"/>
    <x v="0"/>
    <n v="6.4062946722572525"/>
    <b v="0"/>
    <s v="MD_08"/>
    <x v="1"/>
  </r>
  <r>
    <x v="1964"/>
    <x v="14"/>
    <x v="3"/>
    <x v="0"/>
    <x v="1"/>
    <n v="21.059372522455035"/>
    <b v="0"/>
    <s v="MD_18"/>
    <x v="0"/>
  </r>
  <r>
    <x v="1965"/>
    <x v="33"/>
    <x v="2"/>
    <x v="1"/>
    <x v="1"/>
    <n v="18.076376430561524"/>
    <b v="0"/>
    <s v="MD_10"/>
    <x v="0"/>
  </r>
  <r>
    <x v="1966"/>
    <x v="600"/>
    <x v="0"/>
    <x v="1"/>
    <x v="0"/>
    <n v="15.71322883514426"/>
    <b v="0"/>
    <s v="MD_04"/>
    <x v="0"/>
  </r>
  <r>
    <x v="1967"/>
    <x v="415"/>
    <x v="1"/>
    <x v="1"/>
    <x v="0"/>
    <n v="8.2555050192178285"/>
    <b v="0"/>
    <s v="MD_15"/>
    <x v="1"/>
  </r>
  <r>
    <x v="1968"/>
    <x v="204"/>
    <x v="3"/>
    <x v="1"/>
    <x v="0"/>
    <n v="16.774814439727312"/>
    <b v="0"/>
    <s v="MD_16"/>
    <x v="0"/>
  </r>
  <r>
    <x v="1969"/>
    <x v="290"/>
    <x v="3"/>
    <x v="0"/>
    <x v="1"/>
    <n v="20.345834184426653"/>
    <b v="0"/>
    <s v="MD_14"/>
    <x v="0"/>
  </r>
  <r>
    <x v="1970"/>
    <x v="640"/>
    <x v="1"/>
    <x v="1"/>
    <x v="0"/>
    <n v="1.6355574130802859"/>
    <b v="0"/>
    <s v="MD_02"/>
    <x v="1"/>
  </r>
  <r>
    <x v="1971"/>
    <x v="472"/>
    <x v="3"/>
    <x v="1"/>
    <x v="1"/>
    <n v="24.772102694734929"/>
    <b v="0"/>
    <s v="MD_01"/>
    <x v="0"/>
  </r>
  <r>
    <x v="1972"/>
    <x v="421"/>
    <x v="0"/>
    <x v="3"/>
    <x v="1"/>
    <n v="36.405627379928092"/>
    <b v="0"/>
    <s v="MD_17"/>
    <x v="0"/>
  </r>
  <r>
    <x v="1973"/>
    <x v="24"/>
    <x v="2"/>
    <x v="0"/>
    <x v="0"/>
    <n v="10.763526720058771"/>
    <b v="0"/>
    <s v="MD_17"/>
    <x v="1"/>
  </r>
  <r>
    <x v="1974"/>
    <x v="670"/>
    <x v="1"/>
    <x v="1"/>
    <x v="0"/>
    <n v="4.7540065050556315"/>
    <b v="0"/>
    <s v="MD_02"/>
    <x v="1"/>
  </r>
  <r>
    <x v="1975"/>
    <x v="125"/>
    <x v="0"/>
    <x v="3"/>
    <x v="1"/>
    <n v="25.21243020999114"/>
    <b v="0"/>
    <s v="MD_13"/>
    <x v="0"/>
  </r>
  <r>
    <x v="1976"/>
    <x v="256"/>
    <x v="2"/>
    <x v="2"/>
    <x v="0"/>
    <n v="7.5374368012903963"/>
    <b v="0"/>
    <s v="MD_20"/>
    <x v="1"/>
  </r>
  <r>
    <x v="1977"/>
    <x v="425"/>
    <x v="3"/>
    <x v="2"/>
    <x v="0"/>
    <n v="23.762883683260103"/>
    <b v="0"/>
    <s v="MD_18"/>
    <x v="0"/>
  </r>
  <r>
    <x v="1978"/>
    <x v="325"/>
    <x v="1"/>
    <x v="4"/>
    <x v="0"/>
    <n v="21.517124849112605"/>
    <b v="0"/>
    <s v="MD_03"/>
    <x v="0"/>
  </r>
  <r>
    <x v="1979"/>
    <x v="135"/>
    <x v="2"/>
    <x v="1"/>
    <x v="0"/>
    <n v="1.9238691739419771"/>
    <b v="0"/>
    <s v="MD_05"/>
    <x v="1"/>
  </r>
  <r>
    <x v="1980"/>
    <x v="469"/>
    <x v="0"/>
    <x v="4"/>
    <x v="0"/>
    <n v="21.930725017390134"/>
    <b v="0"/>
    <s v="MD_15"/>
    <x v="0"/>
  </r>
  <r>
    <x v="1981"/>
    <x v="130"/>
    <x v="0"/>
    <x v="0"/>
    <x v="1"/>
    <n v="14.947190120412916"/>
    <b v="0"/>
    <s v="MD_04"/>
    <x v="0"/>
  </r>
  <r>
    <x v="1982"/>
    <x v="577"/>
    <x v="0"/>
    <x v="3"/>
    <x v="1"/>
    <n v="20.442078265191657"/>
    <b v="0"/>
    <s v="MD_08"/>
    <x v="0"/>
  </r>
  <r>
    <x v="1983"/>
    <x v="258"/>
    <x v="3"/>
    <x v="1"/>
    <x v="0"/>
    <n v="3.396503714405132"/>
    <b v="0"/>
    <s v="MD_19"/>
    <x v="1"/>
  </r>
  <r>
    <x v="1984"/>
    <x v="677"/>
    <x v="0"/>
    <x v="4"/>
    <x v="1"/>
    <n v="26.376306255812235"/>
    <b v="0"/>
    <s v="MD_17"/>
    <x v="0"/>
  </r>
  <r>
    <x v="1985"/>
    <x v="248"/>
    <x v="1"/>
    <x v="4"/>
    <x v="0"/>
    <n v="4.6762925051762032"/>
    <b v="0"/>
    <s v="MD_16"/>
    <x v="1"/>
  </r>
  <r>
    <x v="1986"/>
    <x v="198"/>
    <x v="1"/>
    <x v="3"/>
    <x v="1"/>
    <n v="33.943316807076016"/>
    <b v="0"/>
    <s v="MD_12"/>
    <x v="0"/>
  </r>
  <r>
    <x v="1987"/>
    <x v="79"/>
    <x v="3"/>
    <x v="2"/>
    <x v="1"/>
    <n v="31.835008021372722"/>
    <b v="0"/>
    <s v="MD_04"/>
    <x v="0"/>
  </r>
  <r>
    <x v="1988"/>
    <x v="129"/>
    <x v="1"/>
    <x v="1"/>
    <x v="1"/>
    <n v="16.227761900904927"/>
    <b v="0"/>
    <s v="MD_19"/>
    <x v="0"/>
  </r>
  <r>
    <x v="1989"/>
    <x v="519"/>
    <x v="2"/>
    <x v="2"/>
    <x v="1"/>
    <n v="11.749792579842687"/>
    <b v="0"/>
    <s v="MD_11"/>
    <x v="0"/>
  </r>
  <r>
    <x v="1990"/>
    <x v="377"/>
    <x v="3"/>
    <x v="4"/>
    <x v="0"/>
    <n v="15.226726102233695"/>
    <b v="0"/>
    <s v="MD_13"/>
    <x v="0"/>
  </r>
  <r>
    <x v="1991"/>
    <x v="450"/>
    <x v="3"/>
    <x v="0"/>
    <x v="0"/>
    <n v="7.6684157254275407"/>
    <b v="0"/>
    <s v="MD_08"/>
    <x v="1"/>
  </r>
  <r>
    <x v="1992"/>
    <x v="675"/>
    <x v="1"/>
    <x v="1"/>
    <x v="1"/>
    <n v="16.495431701105929"/>
    <b v="1"/>
    <s v="MD_06"/>
    <x v="0"/>
  </r>
  <r>
    <x v="1993"/>
    <x v="34"/>
    <x v="0"/>
    <x v="4"/>
    <x v="0"/>
    <n v="7.6744393645556288"/>
    <b v="0"/>
    <s v="MD_02"/>
    <x v="1"/>
  </r>
  <r>
    <x v="1994"/>
    <x v="127"/>
    <x v="2"/>
    <x v="0"/>
    <x v="1"/>
    <n v="21.360345794189485"/>
    <b v="0"/>
    <s v="MD_12"/>
    <x v="0"/>
  </r>
  <r>
    <x v="1995"/>
    <x v="401"/>
    <x v="1"/>
    <x v="4"/>
    <x v="0"/>
    <n v="5.3810479727914959"/>
    <b v="0"/>
    <s v="MD_03"/>
    <x v="1"/>
  </r>
  <r>
    <x v="1996"/>
    <x v="64"/>
    <x v="2"/>
    <x v="3"/>
    <x v="0"/>
    <n v="5.9336773933391358"/>
    <b v="0"/>
    <s v="MD_06"/>
    <x v="1"/>
  </r>
  <r>
    <x v="1997"/>
    <x v="678"/>
    <x v="0"/>
    <x v="1"/>
    <x v="1"/>
    <n v="26.124619958194458"/>
    <b v="0"/>
    <s v="MD_09"/>
    <x v="0"/>
  </r>
  <r>
    <x v="1998"/>
    <x v="226"/>
    <x v="0"/>
    <x v="0"/>
    <x v="0"/>
    <n v="11.266710140687955"/>
    <b v="0"/>
    <s v="MD_03"/>
    <x v="0"/>
  </r>
  <r>
    <x v="1999"/>
    <x v="651"/>
    <x v="1"/>
    <x v="3"/>
    <x v="1"/>
    <n v="19.823327900766149"/>
    <b v="0"/>
    <s v="MD_06"/>
    <x v="0"/>
  </r>
  <r>
    <x v="2000"/>
    <x v="464"/>
    <x v="2"/>
    <x v="1"/>
    <x v="0"/>
    <n v="5.6844873307384631"/>
    <b v="0"/>
    <s v="MD_03"/>
    <x v="1"/>
  </r>
  <r>
    <x v="2001"/>
    <x v="110"/>
    <x v="0"/>
    <x v="0"/>
    <x v="0"/>
    <n v="7.0958050471251051"/>
    <b v="0"/>
    <s v="MD_05"/>
    <x v="1"/>
  </r>
  <r>
    <x v="2002"/>
    <x v="663"/>
    <x v="0"/>
    <x v="3"/>
    <x v="1"/>
    <n v="21.763136950191942"/>
    <b v="0"/>
    <s v="MD_14"/>
    <x v="0"/>
  </r>
  <r>
    <x v="2003"/>
    <x v="238"/>
    <x v="0"/>
    <x v="0"/>
    <x v="1"/>
    <n v="7.2690909157613923"/>
    <b v="0"/>
    <s v="MD_08"/>
    <x v="1"/>
  </r>
  <r>
    <x v="2004"/>
    <x v="428"/>
    <x v="2"/>
    <x v="3"/>
    <x v="1"/>
    <n v="26.778843661956781"/>
    <b v="0"/>
    <s v="MD_15"/>
    <x v="0"/>
  </r>
  <r>
    <x v="2005"/>
    <x v="576"/>
    <x v="2"/>
    <x v="4"/>
    <x v="0"/>
    <n v="24.520261777089392"/>
    <b v="0"/>
    <s v="MD_01"/>
    <x v="0"/>
  </r>
  <r>
    <x v="2006"/>
    <x v="289"/>
    <x v="1"/>
    <x v="2"/>
    <x v="1"/>
    <n v="37.603995125240573"/>
    <b v="0"/>
    <s v="MD_03"/>
    <x v="0"/>
  </r>
  <r>
    <x v="2007"/>
    <x v="660"/>
    <x v="2"/>
    <x v="2"/>
    <x v="0"/>
    <n v="24.590067040167238"/>
    <b v="0"/>
    <s v="MD_17"/>
    <x v="0"/>
  </r>
  <r>
    <x v="2008"/>
    <x v="60"/>
    <x v="1"/>
    <x v="0"/>
    <x v="0"/>
    <n v="7.5159697037540631"/>
    <b v="0"/>
    <s v="MD_11"/>
    <x v="1"/>
  </r>
  <r>
    <x v="2009"/>
    <x v="228"/>
    <x v="2"/>
    <x v="1"/>
    <x v="0"/>
    <n v="2.0655487648910902"/>
    <b v="0"/>
    <s v="MD_16"/>
    <x v="1"/>
  </r>
  <r>
    <x v="2010"/>
    <x v="192"/>
    <x v="0"/>
    <x v="2"/>
    <x v="1"/>
    <n v="36.730990418700891"/>
    <b v="0"/>
    <s v="MD_17"/>
    <x v="0"/>
  </r>
  <r>
    <x v="2011"/>
    <x v="378"/>
    <x v="0"/>
    <x v="1"/>
    <x v="1"/>
    <n v="25.466038449196635"/>
    <b v="0"/>
    <s v="MD_14"/>
    <x v="0"/>
  </r>
  <r>
    <x v="2012"/>
    <x v="359"/>
    <x v="3"/>
    <x v="1"/>
    <x v="0"/>
    <n v="2.4477583905393456"/>
    <b v="0"/>
    <s v="MD_13"/>
    <x v="1"/>
  </r>
  <r>
    <x v="2013"/>
    <x v="526"/>
    <x v="1"/>
    <x v="2"/>
    <x v="1"/>
    <n v="23.03594682483574"/>
    <b v="0"/>
    <s v="MD_08"/>
    <x v="0"/>
  </r>
  <r>
    <x v="2014"/>
    <x v="353"/>
    <x v="0"/>
    <x v="3"/>
    <x v="0"/>
    <n v="8.2315866534790256"/>
    <b v="0"/>
    <s v="MD_05"/>
    <x v="1"/>
  </r>
  <r>
    <x v="2015"/>
    <x v="93"/>
    <x v="3"/>
    <x v="1"/>
    <x v="1"/>
    <n v="28.863299993874158"/>
    <b v="0"/>
    <s v="MD_01"/>
    <x v="0"/>
  </r>
  <r>
    <x v="2016"/>
    <x v="614"/>
    <x v="1"/>
    <x v="3"/>
    <x v="0"/>
    <n v="4.0765722446810191"/>
    <b v="0"/>
    <s v="MD_19"/>
    <x v="1"/>
  </r>
  <r>
    <x v="2017"/>
    <x v="679"/>
    <x v="1"/>
    <x v="3"/>
    <x v="1"/>
    <n v="19.085543563179055"/>
    <b v="0"/>
    <s v="MD_05"/>
    <x v="0"/>
  </r>
  <r>
    <x v="2018"/>
    <x v="634"/>
    <x v="1"/>
    <x v="1"/>
    <x v="1"/>
    <n v="6.6489972130923052"/>
    <b v="0"/>
    <s v="MD_03"/>
    <x v="1"/>
  </r>
  <r>
    <x v="2019"/>
    <x v="337"/>
    <x v="2"/>
    <x v="1"/>
    <x v="0"/>
    <n v="24.699030313152523"/>
    <b v="0"/>
    <s v="MD_06"/>
    <x v="0"/>
  </r>
  <r>
    <x v="2020"/>
    <x v="162"/>
    <x v="0"/>
    <x v="2"/>
    <x v="0"/>
    <n v="5.7319358973100512"/>
    <b v="0"/>
    <s v="MD_08"/>
    <x v="1"/>
  </r>
  <r>
    <x v="2021"/>
    <x v="433"/>
    <x v="1"/>
    <x v="2"/>
    <x v="0"/>
    <n v="27.261461341372694"/>
    <b v="0"/>
    <s v="MD_04"/>
    <x v="0"/>
  </r>
  <r>
    <x v="2022"/>
    <x v="634"/>
    <x v="0"/>
    <x v="0"/>
    <x v="1"/>
    <n v="4.8097897508530778"/>
    <b v="0"/>
    <s v="MD_01"/>
    <x v="1"/>
  </r>
  <r>
    <x v="2023"/>
    <x v="457"/>
    <x v="1"/>
    <x v="3"/>
    <x v="1"/>
    <n v="1.178423665058757"/>
    <b v="0"/>
    <s v="MD_03"/>
    <x v="1"/>
  </r>
  <r>
    <x v="2024"/>
    <x v="680"/>
    <x v="0"/>
    <x v="0"/>
    <x v="0"/>
    <n v="6.371134864897094"/>
    <b v="0"/>
    <s v="MD_16"/>
    <x v="1"/>
  </r>
  <r>
    <x v="2025"/>
    <x v="220"/>
    <x v="0"/>
    <x v="4"/>
    <x v="0"/>
    <n v="5.4766375525389392"/>
    <b v="1"/>
    <s v="MD_15"/>
    <x v="1"/>
  </r>
  <r>
    <x v="2026"/>
    <x v="255"/>
    <x v="1"/>
    <x v="2"/>
    <x v="0"/>
    <n v="5.9734284032163423"/>
    <b v="0"/>
    <s v="MD_01"/>
    <x v="1"/>
  </r>
  <r>
    <x v="2027"/>
    <x v="360"/>
    <x v="1"/>
    <x v="2"/>
    <x v="0"/>
    <n v="6.0715697725729703"/>
    <b v="0"/>
    <s v="MD_04"/>
    <x v="1"/>
  </r>
  <r>
    <x v="2028"/>
    <x v="413"/>
    <x v="2"/>
    <x v="3"/>
    <x v="0"/>
    <n v="22.8403919629101"/>
    <b v="0"/>
    <s v="MD_10"/>
    <x v="0"/>
  </r>
  <r>
    <x v="2029"/>
    <x v="591"/>
    <x v="1"/>
    <x v="1"/>
    <x v="0"/>
    <n v="5.4891517845547799"/>
    <b v="0"/>
    <s v="MD_11"/>
    <x v="1"/>
  </r>
  <r>
    <x v="2030"/>
    <x v="81"/>
    <x v="2"/>
    <x v="3"/>
    <x v="0"/>
    <n v="9.5881635725752119"/>
    <b v="0"/>
    <s v="MD_11"/>
    <x v="1"/>
  </r>
  <r>
    <x v="2031"/>
    <x v="20"/>
    <x v="1"/>
    <x v="2"/>
    <x v="1"/>
    <n v="31.171506067012466"/>
    <b v="0"/>
    <s v="MD_07"/>
    <x v="0"/>
  </r>
  <r>
    <x v="2032"/>
    <x v="539"/>
    <x v="3"/>
    <x v="0"/>
    <x v="0"/>
    <n v="5.7260902653894608"/>
    <b v="0"/>
    <s v="MD_12"/>
    <x v="1"/>
  </r>
  <r>
    <x v="2033"/>
    <x v="681"/>
    <x v="2"/>
    <x v="2"/>
    <x v="0"/>
    <n v="5.0887110585763224"/>
    <b v="0"/>
    <s v="MD_01"/>
    <x v="1"/>
  </r>
  <r>
    <x v="2034"/>
    <x v="109"/>
    <x v="2"/>
    <x v="3"/>
    <x v="0"/>
    <n v="7.332195146778818"/>
    <b v="0"/>
    <s v="MD_07"/>
    <x v="1"/>
  </r>
  <r>
    <x v="2035"/>
    <x v="218"/>
    <x v="0"/>
    <x v="3"/>
    <x v="0"/>
    <n v="5.8499310886525482"/>
    <b v="0"/>
    <s v="MD_10"/>
    <x v="1"/>
  </r>
  <r>
    <x v="2036"/>
    <x v="342"/>
    <x v="1"/>
    <x v="0"/>
    <x v="0"/>
    <n v="5.6822266022202585"/>
    <b v="0"/>
    <s v="MD_06"/>
    <x v="2"/>
  </r>
  <r>
    <x v="2037"/>
    <x v="262"/>
    <x v="1"/>
    <x v="3"/>
    <x v="1"/>
    <n v="30.954660731141765"/>
    <b v="0"/>
    <s v="MD_01"/>
    <x v="0"/>
  </r>
  <r>
    <x v="2038"/>
    <x v="664"/>
    <x v="1"/>
    <x v="4"/>
    <x v="1"/>
    <n v="30.206117454262653"/>
    <b v="0"/>
    <s v="MD_14"/>
    <x v="0"/>
  </r>
  <r>
    <x v="2039"/>
    <x v="650"/>
    <x v="3"/>
    <x v="3"/>
    <x v="1"/>
    <n v="19.169896739749056"/>
    <b v="1"/>
    <s v="MD_16"/>
    <x v="0"/>
  </r>
  <r>
    <x v="2040"/>
    <x v="375"/>
    <x v="1"/>
    <x v="0"/>
    <x v="1"/>
    <n v="6.2659763342589176"/>
    <b v="0"/>
    <s v="MD_02"/>
    <x v="1"/>
  </r>
  <r>
    <x v="2041"/>
    <x v="333"/>
    <x v="2"/>
    <x v="1"/>
    <x v="0"/>
    <n v="3.3655006360497031"/>
    <b v="0"/>
    <s v="MD_20"/>
    <x v="1"/>
  </r>
  <r>
    <x v="2042"/>
    <x v="472"/>
    <x v="2"/>
    <x v="0"/>
    <x v="1"/>
    <n v="29.738842409768939"/>
    <b v="0"/>
    <s v="MD_05"/>
    <x v="0"/>
  </r>
  <r>
    <x v="2043"/>
    <x v="106"/>
    <x v="1"/>
    <x v="0"/>
    <x v="0"/>
    <n v="7.3967964278998091"/>
    <b v="0"/>
    <s v="MD_17"/>
    <x v="1"/>
  </r>
  <r>
    <x v="2044"/>
    <x v="239"/>
    <x v="0"/>
    <x v="4"/>
    <x v="0"/>
    <n v="17.433387974960034"/>
    <b v="0"/>
    <s v="MD_02"/>
    <x v="0"/>
  </r>
  <r>
    <x v="2045"/>
    <x v="439"/>
    <x v="1"/>
    <x v="4"/>
    <x v="0"/>
    <n v="5.1320348662037567"/>
    <b v="0"/>
    <s v="MD_06"/>
    <x v="1"/>
  </r>
  <r>
    <x v="2046"/>
    <x v="468"/>
    <x v="0"/>
    <x v="1"/>
    <x v="0"/>
    <n v="32.498235195036926"/>
    <b v="0"/>
    <s v="MD_02"/>
    <x v="0"/>
  </r>
  <r>
    <x v="2047"/>
    <x v="260"/>
    <x v="0"/>
    <x v="3"/>
    <x v="1"/>
    <n v="16.946595503855747"/>
    <b v="0"/>
    <s v="MD_07"/>
    <x v="0"/>
  </r>
  <r>
    <x v="2048"/>
    <x v="220"/>
    <x v="1"/>
    <x v="4"/>
    <x v="1"/>
    <n v="29.171410580381927"/>
    <b v="0"/>
    <s v="MD_05"/>
    <x v="0"/>
  </r>
  <r>
    <x v="2049"/>
    <x v="682"/>
    <x v="0"/>
    <x v="4"/>
    <x v="1"/>
    <n v="26.349421319090371"/>
    <b v="0"/>
    <s v="MD_09"/>
    <x v="0"/>
  </r>
  <r>
    <x v="2050"/>
    <x v="147"/>
    <x v="2"/>
    <x v="2"/>
    <x v="1"/>
    <n v="2.6272122741793718"/>
    <b v="0"/>
    <s v="MD_10"/>
    <x v="1"/>
  </r>
  <r>
    <x v="2051"/>
    <x v="333"/>
    <x v="2"/>
    <x v="3"/>
    <x v="1"/>
    <n v="7.1652982963343383"/>
    <b v="0"/>
    <s v="MD_06"/>
    <x v="1"/>
  </r>
  <r>
    <x v="2052"/>
    <x v="333"/>
    <x v="2"/>
    <x v="4"/>
    <x v="1"/>
    <n v="7.4544832682426518"/>
    <b v="0"/>
    <s v="MD_10"/>
    <x v="1"/>
  </r>
  <r>
    <x v="2053"/>
    <x v="641"/>
    <x v="3"/>
    <x v="0"/>
    <x v="0"/>
    <n v="27.539167576289479"/>
    <b v="0"/>
    <s v="MD_13"/>
    <x v="0"/>
  </r>
  <r>
    <x v="2054"/>
    <x v="650"/>
    <x v="1"/>
    <x v="3"/>
    <x v="1"/>
    <n v="30.170607274133815"/>
    <b v="0"/>
    <s v="MD_03"/>
    <x v="0"/>
  </r>
  <r>
    <x v="2055"/>
    <x v="683"/>
    <x v="0"/>
    <x v="3"/>
    <x v="1"/>
    <n v="7.2872579674790599"/>
    <b v="0"/>
    <s v="MD_02"/>
    <x v="1"/>
  </r>
  <r>
    <x v="2056"/>
    <x v="543"/>
    <x v="1"/>
    <x v="4"/>
    <x v="1"/>
    <n v="8.4617053466069514"/>
    <b v="0"/>
    <s v="MD_05"/>
    <x v="1"/>
  </r>
  <r>
    <x v="2057"/>
    <x v="345"/>
    <x v="3"/>
    <x v="0"/>
    <x v="0"/>
    <n v="6.1318716203224808"/>
    <b v="0"/>
    <s v="MD_14"/>
    <x v="1"/>
  </r>
  <r>
    <x v="2058"/>
    <x v="318"/>
    <x v="0"/>
    <x v="1"/>
    <x v="1"/>
    <n v="9.3854375522484794"/>
    <b v="0"/>
    <s v="MD_03"/>
    <x v="1"/>
  </r>
  <r>
    <x v="2059"/>
    <x v="385"/>
    <x v="1"/>
    <x v="1"/>
    <x v="0"/>
    <n v="3.6272919967476471"/>
    <b v="0"/>
    <s v="MD_05"/>
    <x v="1"/>
  </r>
  <r>
    <x v="2060"/>
    <x v="460"/>
    <x v="1"/>
    <x v="0"/>
    <x v="0"/>
    <n v="4.7612253397763826"/>
    <b v="0"/>
    <s v="MD_20"/>
    <x v="1"/>
  </r>
  <r>
    <x v="2061"/>
    <x v="300"/>
    <x v="0"/>
    <x v="2"/>
    <x v="1"/>
    <n v="31.393529958621833"/>
    <b v="0"/>
    <s v="MD_11"/>
    <x v="0"/>
  </r>
  <r>
    <x v="2062"/>
    <x v="634"/>
    <x v="1"/>
    <x v="3"/>
    <x v="0"/>
    <n v="4.934285447999379"/>
    <b v="0"/>
    <s v="MD_18"/>
    <x v="1"/>
  </r>
  <r>
    <x v="2063"/>
    <x v="188"/>
    <x v="3"/>
    <x v="3"/>
    <x v="1"/>
    <n v="3.5882544656927577"/>
    <b v="0"/>
    <s v="MD_08"/>
    <x v="1"/>
  </r>
  <r>
    <x v="2064"/>
    <x v="629"/>
    <x v="3"/>
    <x v="2"/>
    <x v="1"/>
    <n v="18.874033553696353"/>
    <b v="0"/>
    <s v="MD_13"/>
    <x v="0"/>
  </r>
  <r>
    <x v="2065"/>
    <x v="634"/>
    <x v="3"/>
    <x v="1"/>
    <x v="0"/>
    <n v="4.8216496450696749"/>
    <b v="0"/>
    <s v="MD_20"/>
    <x v="1"/>
  </r>
  <r>
    <x v="2066"/>
    <x v="607"/>
    <x v="1"/>
    <x v="2"/>
    <x v="1"/>
    <n v="29.049357379415863"/>
    <b v="0"/>
    <s v="MD_02"/>
    <x v="0"/>
  </r>
  <r>
    <x v="2067"/>
    <x v="460"/>
    <x v="0"/>
    <x v="1"/>
    <x v="0"/>
    <n v="4.8586085048512517"/>
    <b v="0"/>
    <s v="MD_10"/>
    <x v="1"/>
  </r>
  <r>
    <x v="2068"/>
    <x v="436"/>
    <x v="2"/>
    <x v="1"/>
    <x v="0"/>
    <n v="8.4251030021893953"/>
    <b v="0"/>
    <s v="MD_12"/>
    <x v="1"/>
  </r>
  <r>
    <x v="2069"/>
    <x v="492"/>
    <x v="1"/>
    <x v="0"/>
    <x v="0"/>
    <n v="5.181182477842742"/>
    <b v="0"/>
    <s v="MD_06"/>
    <x v="1"/>
  </r>
  <r>
    <x v="2070"/>
    <x v="130"/>
    <x v="0"/>
    <x v="4"/>
    <x v="1"/>
    <n v="13.458015738009122"/>
    <b v="0"/>
    <s v="MD_06"/>
    <x v="0"/>
  </r>
  <r>
    <x v="2071"/>
    <x v="325"/>
    <x v="1"/>
    <x v="1"/>
    <x v="0"/>
    <n v="36.885967209950863"/>
    <b v="0"/>
    <s v="MD_01"/>
    <x v="0"/>
  </r>
  <r>
    <x v="2072"/>
    <x v="83"/>
    <x v="1"/>
    <x v="1"/>
    <x v="0"/>
    <n v="2.7066774094867911"/>
    <b v="0"/>
    <s v="MD_03"/>
    <x v="1"/>
  </r>
  <r>
    <x v="2073"/>
    <x v="565"/>
    <x v="2"/>
    <x v="4"/>
    <x v="1"/>
    <n v="27.642803549576563"/>
    <b v="0"/>
    <s v="MD_03"/>
    <x v="0"/>
  </r>
  <r>
    <x v="2074"/>
    <x v="684"/>
    <x v="2"/>
    <x v="4"/>
    <x v="0"/>
    <n v="6.5238312164731305"/>
    <b v="0"/>
    <s v="MD_12"/>
    <x v="1"/>
  </r>
  <r>
    <x v="2075"/>
    <x v="68"/>
    <x v="1"/>
    <x v="1"/>
    <x v="0"/>
    <n v="5.7868970181257646"/>
    <b v="0"/>
    <s v="MD_18"/>
    <x v="1"/>
  </r>
  <r>
    <x v="2076"/>
    <x v="617"/>
    <x v="1"/>
    <x v="2"/>
    <x v="1"/>
    <n v="26.844607112003992"/>
    <b v="0"/>
    <s v="MD_07"/>
    <x v="0"/>
  </r>
  <r>
    <x v="2077"/>
    <x v="620"/>
    <x v="0"/>
    <x v="0"/>
    <x v="0"/>
    <n v="23.218093039922895"/>
    <b v="0"/>
    <s v="MD_12"/>
    <x v="0"/>
  </r>
  <r>
    <x v="2078"/>
    <x v="35"/>
    <x v="0"/>
    <x v="1"/>
    <x v="0"/>
    <n v="26.522522649739209"/>
    <b v="0"/>
    <s v="MD_16"/>
    <x v="0"/>
  </r>
  <r>
    <x v="2079"/>
    <x v="560"/>
    <x v="1"/>
    <x v="1"/>
    <x v="0"/>
    <n v="6.7394414333144788"/>
    <b v="0"/>
    <s v="MD_09"/>
    <x v="1"/>
  </r>
  <r>
    <x v="2080"/>
    <x v="56"/>
    <x v="2"/>
    <x v="1"/>
    <x v="1"/>
    <n v="23.33243007718777"/>
    <b v="0"/>
    <s v="MD_20"/>
    <x v="0"/>
  </r>
  <r>
    <x v="2081"/>
    <x v="481"/>
    <x v="1"/>
    <x v="4"/>
    <x v="1"/>
    <n v="23.421513018933922"/>
    <b v="0"/>
    <s v="MD_19"/>
    <x v="0"/>
  </r>
  <r>
    <x v="2082"/>
    <x v="233"/>
    <x v="2"/>
    <x v="0"/>
    <x v="0"/>
    <n v="4.971998403525407"/>
    <b v="0"/>
    <s v="MD_20"/>
    <x v="1"/>
  </r>
  <r>
    <x v="2083"/>
    <x v="546"/>
    <x v="3"/>
    <x v="4"/>
    <x v="0"/>
    <n v="8.3080824891674183"/>
    <b v="0"/>
    <s v="MD_11"/>
    <x v="1"/>
  </r>
  <r>
    <x v="2084"/>
    <x v="408"/>
    <x v="1"/>
    <x v="2"/>
    <x v="1"/>
    <n v="28.766211303163292"/>
    <b v="0"/>
    <s v="MD_01"/>
    <x v="0"/>
  </r>
  <r>
    <x v="2085"/>
    <x v="269"/>
    <x v="2"/>
    <x v="3"/>
    <x v="1"/>
    <n v="31.774657980509218"/>
    <b v="0"/>
    <s v="MD_05"/>
    <x v="0"/>
  </r>
  <r>
    <x v="2086"/>
    <x v="110"/>
    <x v="2"/>
    <x v="0"/>
    <x v="0"/>
    <n v="9.2633544764255777"/>
    <b v="0"/>
    <s v="MD_03"/>
    <x v="2"/>
  </r>
  <r>
    <x v="2087"/>
    <x v="207"/>
    <x v="0"/>
    <x v="1"/>
    <x v="0"/>
    <n v="3.952656663840393"/>
    <b v="0"/>
    <s v="MD_20"/>
    <x v="2"/>
  </r>
  <r>
    <x v="2088"/>
    <x v="401"/>
    <x v="0"/>
    <x v="2"/>
    <x v="0"/>
    <n v="3.9540158574691944"/>
    <b v="0"/>
    <s v="MD_01"/>
    <x v="2"/>
  </r>
  <r>
    <x v="2089"/>
    <x v="458"/>
    <x v="1"/>
    <x v="2"/>
    <x v="0"/>
    <n v="5.0813206383589922"/>
    <b v="0"/>
    <s v="MD_10"/>
    <x v="1"/>
  </r>
  <r>
    <x v="2090"/>
    <x v="633"/>
    <x v="1"/>
    <x v="2"/>
    <x v="1"/>
    <n v="34.35349466338328"/>
    <b v="0"/>
    <s v="MD_02"/>
    <x v="0"/>
  </r>
  <r>
    <x v="2091"/>
    <x v="453"/>
    <x v="2"/>
    <x v="0"/>
    <x v="0"/>
    <n v="4.7576456892213272"/>
    <b v="0"/>
    <s v="MD_20"/>
    <x v="1"/>
  </r>
  <r>
    <x v="2092"/>
    <x v="595"/>
    <x v="3"/>
    <x v="1"/>
    <x v="1"/>
    <n v="4.3775748447683158"/>
    <b v="0"/>
    <s v="MD_19"/>
    <x v="2"/>
  </r>
  <r>
    <x v="2093"/>
    <x v="439"/>
    <x v="0"/>
    <x v="4"/>
    <x v="0"/>
    <n v="7.2409839920424357"/>
    <b v="0"/>
    <s v="MD_16"/>
    <x v="1"/>
  </r>
  <r>
    <x v="2094"/>
    <x v="381"/>
    <x v="3"/>
    <x v="4"/>
    <x v="0"/>
    <n v="3.0370870299687804"/>
    <b v="0"/>
    <s v="MD_06"/>
    <x v="1"/>
  </r>
  <r>
    <x v="2095"/>
    <x v="12"/>
    <x v="3"/>
    <x v="2"/>
    <x v="0"/>
    <n v="6.3847853629676896"/>
    <b v="0"/>
    <s v="MD_02"/>
    <x v="1"/>
  </r>
  <r>
    <x v="2096"/>
    <x v="685"/>
    <x v="2"/>
    <x v="4"/>
    <x v="0"/>
    <n v="5.8031743370374871"/>
    <b v="0"/>
    <s v="MD_19"/>
    <x v="1"/>
  </r>
  <r>
    <x v="2097"/>
    <x v="653"/>
    <x v="2"/>
    <x v="1"/>
    <x v="0"/>
    <n v="6.021942534753892"/>
    <b v="0"/>
    <s v="MD_07"/>
    <x v="1"/>
  </r>
  <r>
    <x v="2098"/>
    <x v="268"/>
    <x v="3"/>
    <x v="0"/>
    <x v="0"/>
    <n v="5.3608978773645628"/>
    <b v="0"/>
    <s v="MD_06"/>
    <x v="1"/>
  </r>
  <r>
    <x v="2099"/>
    <x v="514"/>
    <x v="3"/>
    <x v="1"/>
    <x v="0"/>
    <n v="4.4291711209186042"/>
    <b v="0"/>
    <s v="MD_19"/>
    <x v="1"/>
  </r>
  <r>
    <x v="2100"/>
    <x v="581"/>
    <x v="3"/>
    <x v="0"/>
    <x v="0"/>
    <n v="4.8725661746465736"/>
    <b v="0"/>
    <s v="MD_17"/>
    <x v="1"/>
  </r>
  <r>
    <x v="2101"/>
    <x v="587"/>
    <x v="1"/>
    <x v="4"/>
    <x v="1"/>
    <n v="9.057979804481711"/>
    <b v="1"/>
    <s v="MD_12"/>
    <x v="1"/>
  </r>
  <r>
    <x v="2102"/>
    <x v="362"/>
    <x v="2"/>
    <x v="3"/>
    <x v="1"/>
    <n v="25.205142364857089"/>
    <b v="0"/>
    <s v="MD_14"/>
    <x v="0"/>
  </r>
  <r>
    <x v="2103"/>
    <x v="369"/>
    <x v="3"/>
    <x v="3"/>
    <x v="0"/>
    <n v="18.370818318878761"/>
    <b v="0"/>
    <s v="MD_06"/>
    <x v="0"/>
  </r>
  <r>
    <x v="2104"/>
    <x v="54"/>
    <x v="2"/>
    <x v="4"/>
    <x v="0"/>
    <n v="5.6205192698528128"/>
    <b v="0"/>
    <s v="MD_17"/>
    <x v="1"/>
  </r>
  <r>
    <x v="2105"/>
    <x v="457"/>
    <x v="1"/>
    <x v="4"/>
    <x v="1"/>
    <n v="11.393640235787664"/>
    <b v="0"/>
    <s v="MD_15"/>
    <x v="1"/>
  </r>
  <r>
    <x v="2106"/>
    <x v="84"/>
    <x v="2"/>
    <x v="2"/>
    <x v="1"/>
    <n v="33.668837176814769"/>
    <b v="0"/>
    <s v="MD_06"/>
    <x v="0"/>
  </r>
  <r>
    <x v="2107"/>
    <x v="437"/>
    <x v="0"/>
    <x v="3"/>
    <x v="1"/>
    <n v="7.9538224884667175"/>
    <b v="0"/>
    <s v="MD_20"/>
    <x v="1"/>
  </r>
  <r>
    <x v="2108"/>
    <x v="686"/>
    <x v="2"/>
    <x v="0"/>
    <x v="0"/>
    <n v="2.701562454875833"/>
    <b v="0"/>
    <s v="MD_19"/>
    <x v="1"/>
  </r>
  <r>
    <x v="2109"/>
    <x v="247"/>
    <x v="0"/>
    <x v="2"/>
    <x v="0"/>
    <n v="2.5115736688505419"/>
    <b v="0"/>
    <s v="MD_13"/>
    <x v="2"/>
  </r>
  <r>
    <x v="2110"/>
    <x v="33"/>
    <x v="1"/>
    <x v="0"/>
    <x v="1"/>
    <n v="19.665876312850017"/>
    <b v="0"/>
    <s v="MD_09"/>
    <x v="0"/>
  </r>
  <r>
    <x v="2111"/>
    <x v="516"/>
    <x v="1"/>
    <x v="4"/>
    <x v="1"/>
    <n v="25.087408842365758"/>
    <b v="0"/>
    <s v="MD_09"/>
    <x v="0"/>
  </r>
  <r>
    <x v="2112"/>
    <x v="427"/>
    <x v="1"/>
    <x v="3"/>
    <x v="0"/>
    <n v="7.3650027963975404"/>
    <b v="0"/>
    <s v="MD_10"/>
    <x v="1"/>
  </r>
  <r>
    <x v="2113"/>
    <x v="462"/>
    <x v="0"/>
    <x v="0"/>
    <x v="0"/>
    <n v="5.0588303880474923"/>
    <b v="0"/>
    <s v="MD_04"/>
    <x v="2"/>
  </r>
  <r>
    <x v="2114"/>
    <x v="644"/>
    <x v="3"/>
    <x v="3"/>
    <x v="0"/>
    <n v="5.5737028000131899"/>
    <b v="0"/>
    <s v="MD_18"/>
    <x v="1"/>
  </r>
  <r>
    <x v="2115"/>
    <x v="576"/>
    <x v="1"/>
    <x v="0"/>
    <x v="0"/>
    <n v="26.225543209789802"/>
    <b v="0"/>
    <s v="MD_16"/>
    <x v="0"/>
  </r>
  <r>
    <x v="2116"/>
    <x v="636"/>
    <x v="0"/>
    <x v="4"/>
    <x v="1"/>
    <n v="23.651794381230232"/>
    <b v="0"/>
    <s v="MD_06"/>
    <x v="0"/>
  </r>
  <r>
    <x v="2117"/>
    <x v="527"/>
    <x v="1"/>
    <x v="0"/>
    <x v="1"/>
    <n v="22.433436278075728"/>
    <b v="0"/>
    <s v="MD_04"/>
    <x v="0"/>
  </r>
  <r>
    <x v="2118"/>
    <x v="145"/>
    <x v="2"/>
    <x v="0"/>
    <x v="1"/>
    <n v="30.647651232723135"/>
    <b v="0"/>
    <s v="MD_13"/>
    <x v="0"/>
  </r>
  <r>
    <x v="2119"/>
    <x v="427"/>
    <x v="2"/>
    <x v="1"/>
    <x v="0"/>
    <n v="5.0696857131193633"/>
    <b v="0"/>
    <s v="MD_19"/>
    <x v="1"/>
  </r>
  <r>
    <x v="2120"/>
    <x v="14"/>
    <x v="0"/>
    <x v="3"/>
    <x v="1"/>
    <n v="17.664954241461729"/>
    <b v="0"/>
    <s v="MD_08"/>
    <x v="0"/>
  </r>
  <r>
    <x v="2121"/>
    <x v="237"/>
    <x v="1"/>
    <x v="4"/>
    <x v="0"/>
    <n v="16.950694632366208"/>
    <b v="0"/>
    <s v="MD_12"/>
    <x v="0"/>
  </r>
  <r>
    <x v="2122"/>
    <x v="360"/>
    <x v="0"/>
    <x v="0"/>
    <x v="0"/>
    <n v="5.473096652475343"/>
    <b v="0"/>
    <s v="MD_10"/>
    <x v="1"/>
  </r>
  <r>
    <x v="2123"/>
    <x v="439"/>
    <x v="1"/>
    <x v="2"/>
    <x v="0"/>
    <n v="8.538612902271419"/>
    <b v="0"/>
    <s v="MD_03"/>
    <x v="1"/>
  </r>
  <r>
    <x v="2124"/>
    <x v="444"/>
    <x v="3"/>
    <x v="4"/>
    <x v="0"/>
    <n v="1.1836192535647374"/>
    <b v="0"/>
    <s v="MD_15"/>
    <x v="1"/>
  </r>
  <r>
    <x v="2125"/>
    <x v="267"/>
    <x v="3"/>
    <x v="3"/>
    <x v="0"/>
    <n v="35.705968457929991"/>
    <b v="0"/>
    <s v="MD_11"/>
    <x v="0"/>
  </r>
  <r>
    <x v="2126"/>
    <x v="389"/>
    <x v="1"/>
    <x v="3"/>
    <x v="0"/>
    <n v="17.702410048702152"/>
    <b v="0"/>
    <s v="MD_20"/>
    <x v="0"/>
  </r>
  <r>
    <x v="2127"/>
    <x v="421"/>
    <x v="2"/>
    <x v="4"/>
    <x v="1"/>
    <n v="28.461921538124635"/>
    <b v="0"/>
    <s v="MD_04"/>
    <x v="0"/>
  </r>
  <r>
    <x v="2128"/>
    <x v="378"/>
    <x v="1"/>
    <x v="2"/>
    <x v="1"/>
    <n v="21.975635682151175"/>
    <b v="0"/>
    <s v="MD_12"/>
    <x v="0"/>
  </r>
  <r>
    <x v="2129"/>
    <x v="405"/>
    <x v="2"/>
    <x v="0"/>
    <x v="0"/>
    <n v="5.8209419128534181"/>
    <b v="0"/>
    <s v="MD_07"/>
    <x v="1"/>
  </r>
  <r>
    <x v="2130"/>
    <x v="642"/>
    <x v="0"/>
    <x v="2"/>
    <x v="1"/>
    <n v="7.5632809443096676"/>
    <b v="0"/>
    <s v="MD_07"/>
    <x v="1"/>
  </r>
  <r>
    <x v="2131"/>
    <x v="196"/>
    <x v="0"/>
    <x v="3"/>
    <x v="0"/>
    <n v="5.0043197476645984"/>
    <b v="0"/>
    <s v="MD_11"/>
    <x v="1"/>
  </r>
  <r>
    <x v="2132"/>
    <x v="116"/>
    <x v="3"/>
    <x v="0"/>
    <x v="0"/>
    <n v="8.0990622250191215"/>
    <b v="0"/>
    <s v="MD_12"/>
    <x v="1"/>
  </r>
  <r>
    <x v="2133"/>
    <x v="169"/>
    <x v="0"/>
    <x v="0"/>
    <x v="0"/>
    <n v="7.6463540005504615"/>
    <b v="0"/>
    <s v="MD_09"/>
    <x v="1"/>
  </r>
  <r>
    <x v="2134"/>
    <x v="79"/>
    <x v="0"/>
    <x v="1"/>
    <x v="1"/>
    <n v="36.330100390584683"/>
    <b v="0"/>
    <s v="MD_08"/>
    <x v="0"/>
  </r>
  <r>
    <x v="2135"/>
    <x v="9"/>
    <x v="3"/>
    <x v="2"/>
    <x v="0"/>
    <n v="7.4445112087492298"/>
    <b v="0"/>
    <s v="MD_14"/>
    <x v="1"/>
  </r>
  <r>
    <x v="2136"/>
    <x v="262"/>
    <x v="1"/>
    <x v="3"/>
    <x v="1"/>
    <n v="23.545642881757459"/>
    <b v="0"/>
    <s v="MD_07"/>
    <x v="0"/>
  </r>
  <r>
    <x v="2137"/>
    <x v="687"/>
    <x v="3"/>
    <x v="1"/>
    <x v="1"/>
    <n v="15.298703976947435"/>
    <b v="0"/>
    <s v="MD_16"/>
    <x v="0"/>
  </r>
  <r>
    <x v="2138"/>
    <x v="57"/>
    <x v="3"/>
    <x v="2"/>
    <x v="0"/>
    <n v="26.438341985856557"/>
    <b v="0"/>
    <s v="MD_12"/>
    <x v="0"/>
  </r>
  <r>
    <x v="2139"/>
    <x v="34"/>
    <x v="0"/>
    <x v="0"/>
    <x v="0"/>
    <n v="4.6253779152628498"/>
    <b v="0"/>
    <s v="MD_06"/>
    <x v="1"/>
  </r>
  <r>
    <x v="2140"/>
    <x v="202"/>
    <x v="1"/>
    <x v="1"/>
    <x v="1"/>
    <n v="22.233522436691391"/>
    <b v="0"/>
    <s v="MD_12"/>
    <x v="0"/>
  </r>
  <r>
    <x v="2141"/>
    <x v="345"/>
    <x v="1"/>
    <x v="4"/>
    <x v="0"/>
    <n v="4.7918257336939059"/>
    <b v="0"/>
    <s v="MD_12"/>
    <x v="1"/>
  </r>
  <r>
    <x v="2142"/>
    <x v="655"/>
    <x v="3"/>
    <x v="1"/>
    <x v="1"/>
    <n v="26.63680570278607"/>
    <b v="0"/>
    <s v="MD_10"/>
    <x v="0"/>
  </r>
  <r>
    <x v="2143"/>
    <x v="349"/>
    <x v="2"/>
    <x v="4"/>
    <x v="0"/>
    <n v="3.6741543822657436"/>
    <b v="0"/>
    <s v="MD_07"/>
    <x v="1"/>
  </r>
  <r>
    <x v="2144"/>
    <x v="688"/>
    <x v="3"/>
    <x v="0"/>
    <x v="0"/>
    <n v="5.4016735621938219"/>
    <b v="0"/>
    <s v="MD_12"/>
    <x v="1"/>
  </r>
  <r>
    <x v="2145"/>
    <x v="7"/>
    <x v="0"/>
    <x v="1"/>
    <x v="0"/>
    <n v="9.1112308760661449"/>
    <b v="0"/>
    <s v="MD_18"/>
    <x v="1"/>
  </r>
  <r>
    <x v="2146"/>
    <x v="255"/>
    <x v="1"/>
    <x v="0"/>
    <x v="0"/>
    <n v="4.2692446858114002"/>
    <b v="0"/>
    <s v="MD_12"/>
    <x v="1"/>
  </r>
  <r>
    <x v="2147"/>
    <x v="430"/>
    <x v="0"/>
    <x v="1"/>
    <x v="1"/>
    <n v="5.6076688646436246"/>
    <b v="0"/>
    <s v="MD_16"/>
    <x v="0"/>
  </r>
  <r>
    <x v="2148"/>
    <x v="233"/>
    <x v="0"/>
    <x v="0"/>
    <x v="0"/>
    <n v="4.7631858016935436"/>
    <b v="0"/>
    <s v="MD_11"/>
    <x v="1"/>
  </r>
  <r>
    <x v="2149"/>
    <x v="275"/>
    <x v="3"/>
    <x v="3"/>
    <x v="1"/>
    <n v="18.025792894682951"/>
    <b v="0"/>
    <s v="MD_02"/>
    <x v="0"/>
  </r>
  <r>
    <x v="2150"/>
    <x v="248"/>
    <x v="2"/>
    <x v="0"/>
    <x v="0"/>
    <n v="30.8499459025923"/>
    <b v="0"/>
    <s v="MD_09"/>
    <x v="0"/>
  </r>
  <r>
    <x v="2151"/>
    <x v="599"/>
    <x v="1"/>
    <x v="3"/>
    <x v="1"/>
    <n v="25.158737152141484"/>
    <b v="0"/>
    <s v="MD_06"/>
    <x v="0"/>
  </r>
  <r>
    <x v="2152"/>
    <x v="311"/>
    <x v="2"/>
    <x v="1"/>
    <x v="0"/>
    <n v="8.7161263046232911"/>
    <b v="0"/>
    <s v="MD_06"/>
    <x v="2"/>
  </r>
  <r>
    <x v="2153"/>
    <x v="412"/>
    <x v="1"/>
    <x v="3"/>
    <x v="0"/>
    <n v="8.1184013666380164"/>
    <b v="0"/>
    <s v="MD_02"/>
    <x v="1"/>
  </r>
  <r>
    <x v="2154"/>
    <x v="421"/>
    <x v="1"/>
    <x v="2"/>
    <x v="1"/>
    <n v="17.990579479006811"/>
    <b v="0"/>
    <s v="MD_05"/>
    <x v="0"/>
  </r>
  <r>
    <x v="2155"/>
    <x v="397"/>
    <x v="3"/>
    <x v="0"/>
    <x v="0"/>
    <n v="7.8398246953630375"/>
    <b v="0"/>
    <s v="MD_18"/>
    <x v="1"/>
  </r>
  <r>
    <x v="2156"/>
    <x v="575"/>
    <x v="2"/>
    <x v="2"/>
    <x v="1"/>
    <n v="11.139077827123558"/>
    <b v="0"/>
    <s v="MD_11"/>
    <x v="1"/>
  </r>
  <r>
    <x v="2157"/>
    <x v="76"/>
    <x v="1"/>
    <x v="0"/>
    <x v="0"/>
    <n v="26.08382331290677"/>
    <b v="0"/>
    <s v="MD_16"/>
    <x v="0"/>
  </r>
  <r>
    <x v="2158"/>
    <x v="309"/>
    <x v="1"/>
    <x v="0"/>
    <x v="1"/>
    <n v="6.671429970159422"/>
    <b v="0"/>
    <s v="MD_06"/>
    <x v="2"/>
  </r>
  <r>
    <x v="2159"/>
    <x v="413"/>
    <x v="3"/>
    <x v="1"/>
    <x v="0"/>
    <n v="3.7517857894358744"/>
    <b v="0"/>
    <s v="MD_09"/>
    <x v="1"/>
  </r>
  <r>
    <x v="2160"/>
    <x v="397"/>
    <x v="1"/>
    <x v="2"/>
    <x v="1"/>
    <n v="3.3455678094351851"/>
    <b v="0"/>
    <s v="MD_16"/>
    <x v="1"/>
  </r>
  <r>
    <x v="2161"/>
    <x v="186"/>
    <x v="0"/>
    <x v="2"/>
    <x v="1"/>
    <n v="7.2157019458970471"/>
    <b v="0"/>
    <s v="MD_19"/>
    <x v="1"/>
  </r>
  <r>
    <x v="2162"/>
    <x v="220"/>
    <x v="2"/>
    <x v="2"/>
    <x v="0"/>
    <n v="3.3095713785832168"/>
    <b v="0"/>
    <s v="MD_10"/>
    <x v="1"/>
  </r>
  <r>
    <x v="2163"/>
    <x v="420"/>
    <x v="3"/>
    <x v="1"/>
    <x v="1"/>
    <n v="14.205704315174511"/>
    <b v="0"/>
    <s v="MD_14"/>
    <x v="0"/>
  </r>
  <r>
    <x v="2164"/>
    <x v="64"/>
    <x v="3"/>
    <x v="4"/>
    <x v="0"/>
    <n v="10.583349767671098"/>
    <b v="0"/>
    <s v="MD_09"/>
    <x v="0"/>
  </r>
  <r>
    <x v="2165"/>
    <x v="519"/>
    <x v="3"/>
    <x v="3"/>
    <x v="1"/>
    <n v="18.259107935135329"/>
    <b v="0"/>
    <s v="MD_08"/>
    <x v="0"/>
  </r>
  <r>
    <x v="2166"/>
    <x v="267"/>
    <x v="3"/>
    <x v="0"/>
    <x v="0"/>
    <n v="7.5599730763302233"/>
    <b v="0"/>
    <s v="MD_04"/>
    <x v="1"/>
  </r>
  <r>
    <x v="2167"/>
    <x v="512"/>
    <x v="1"/>
    <x v="4"/>
    <x v="1"/>
    <n v="21.97144068398854"/>
    <b v="0"/>
    <s v="MD_15"/>
    <x v="0"/>
  </r>
  <r>
    <x v="2168"/>
    <x v="411"/>
    <x v="3"/>
    <x v="3"/>
    <x v="0"/>
    <n v="4.0123019675320464"/>
    <b v="0"/>
    <s v="MD_18"/>
    <x v="1"/>
  </r>
  <r>
    <x v="2169"/>
    <x v="327"/>
    <x v="0"/>
    <x v="3"/>
    <x v="0"/>
    <n v="5.1756915947072439"/>
    <b v="0"/>
    <s v="MD_10"/>
    <x v="1"/>
  </r>
  <r>
    <x v="2170"/>
    <x v="662"/>
    <x v="3"/>
    <x v="2"/>
    <x v="0"/>
    <n v="29.688620707892788"/>
    <b v="0"/>
    <s v="MD_10"/>
    <x v="0"/>
  </r>
  <r>
    <x v="2171"/>
    <x v="453"/>
    <x v="1"/>
    <x v="2"/>
    <x v="0"/>
    <n v="2.9331443568410926"/>
    <b v="0"/>
    <s v="MD_07"/>
    <x v="1"/>
  </r>
  <r>
    <x v="2172"/>
    <x v="622"/>
    <x v="0"/>
    <x v="4"/>
    <x v="0"/>
    <n v="5.4522928775570723"/>
    <b v="0"/>
    <s v="MD_07"/>
    <x v="1"/>
  </r>
  <r>
    <x v="2173"/>
    <x v="448"/>
    <x v="1"/>
    <x v="3"/>
    <x v="0"/>
    <n v="3.0763800236570438"/>
    <b v="0"/>
    <s v="MD_04"/>
    <x v="1"/>
  </r>
  <r>
    <x v="2174"/>
    <x v="480"/>
    <x v="1"/>
    <x v="2"/>
    <x v="0"/>
    <n v="5.8501100889187496"/>
    <b v="0"/>
    <s v="MD_03"/>
    <x v="1"/>
  </r>
  <r>
    <x v="2175"/>
    <x v="551"/>
    <x v="0"/>
    <x v="1"/>
    <x v="0"/>
    <n v="6.1519439601944192"/>
    <b v="0"/>
    <s v="MD_15"/>
    <x v="1"/>
  </r>
  <r>
    <x v="2176"/>
    <x v="689"/>
    <x v="1"/>
    <x v="2"/>
    <x v="0"/>
    <n v="23.590819597971464"/>
    <b v="0"/>
    <s v="MD_18"/>
    <x v="0"/>
  </r>
  <r>
    <x v="2177"/>
    <x v="214"/>
    <x v="2"/>
    <x v="2"/>
    <x v="0"/>
    <n v="19.970145951138559"/>
    <b v="0"/>
    <s v="MD_14"/>
    <x v="0"/>
  </r>
  <r>
    <x v="2178"/>
    <x v="282"/>
    <x v="3"/>
    <x v="1"/>
    <x v="1"/>
    <n v="24.043500195421363"/>
    <b v="0"/>
    <s v="MD_19"/>
    <x v="0"/>
  </r>
  <r>
    <x v="2179"/>
    <x v="621"/>
    <x v="1"/>
    <x v="4"/>
    <x v="1"/>
    <n v="32.741600807509599"/>
    <b v="0"/>
    <s v="MD_03"/>
    <x v="0"/>
  </r>
  <r>
    <x v="2180"/>
    <x v="283"/>
    <x v="1"/>
    <x v="1"/>
    <x v="0"/>
    <n v="9.1148641097974128"/>
    <b v="0"/>
    <s v="MD_01"/>
    <x v="1"/>
  </r>
  <r>
    <x v="2181"/>
    <x v="27"/>
    <x v="3"/>
    <x v="1"/>
    <x v="1"/>
    <n v="8.7145717110373688"/>
    <b v="0"/>
    <s v="MD_15"/>
    <x v="0"/>
  </r>
  <r>
    <x v="2182"/>
    <x v="327"/>
    <x v="1"/>
    <x v="0"/>
    <x v="0"/>
    <n v="5.4165208173661572"/>
    <b v="0"/>
    <s v="MD_07"/>
    <x v="1"/>
  </r>
  <r>
    <x v="2183"/>
    <x v="547"/>
    <x v="1"/>
    <x v="1"/>
    <x v="0"/>
    <n v="8.3272877100115075"/>
    <b v="0"/>
    <s v="MD_18"/>
    <x v="1"/>
  </r>
  <r>
    <x v="2184"/>
    <x v="19"/>
    <x v="3"/>
    <x v="1"/>
    <x v="0"/>
    <n v="5.4760434455675666"/>
    <b v="0"/>
    <s v="MD_10"/>
    <x v="1"/>
  </r>
  <r>
    <x v="2185"/>
    <x v="192"/>
    <x v="1"/>
    <x v="2"/>
    <x v="1"/>
    <n v="21.461399292840284"/>
    <b v="0"/>
    <s v="MD_10"/>
    <x v="0"/>
  </r>
  <r>
    <x v="2186"/>
    <x v="341"/>
    <x v="1"/>
    <x v="4"/>
    <x v="1"/>
    <n v="33.599535553736132"/>
    <b v="0"/>
    <s v="MD_08"/>
    <x v="0"/>
  </r>
  <r>
    <x v="2187"/>
    <x v="252"/>
    <x v="3"/>
    <x v="2"/>
    <x v="0"/>
    <n v="17.891150753836754"/>
    <b v="0"/>
    <s v="MD_02"/>
    <x v="0"/>
  </r>
  <r>
    <x v="2188"/>
    <x v="690"/>
    <x v="0"/>
    <x v="2"/>
    <x v="0"/>
    <n v="4.3246874818767687"/>
    <b v="0"/>
    <s v="MD_18"/>
    <x v="0"/>
  </r>
  <r>
    <x v="2189"/>
    <x v="479"/>
    <x v="3"/>
    <x v="1"/>
    <x v="1"/>
    <n v="7.3521180452950983"/>
    <b v="0"/>
    <s v="MD_02"/>
    <x v="2"/>
  </r>
  <r>
    <x v="2190"/>
    <x v="578"/>
    <x v="3"/>
    <x v="1"/>
    <x v="0"/>
    <n v="5.1154424105783214"/>
    <b v="0"/>
    <s v="MD_10"/>
    <x v="2"/>
  </r>
  <r>
    <x v="2191"/>
    <x v="386"/>
    <x v="1"/>
    <x v="4"/>
    <x v="0"/>
    <n v="7.4353519272477726"/>
    <b v="0"/>
    <s v="MD_20"/>
    <x v="1"/>
  </r>
  <r>
    <x v="2192"/>
    <x v="591"/>
    <x v="3"/>
    <x v="0"/>
    <x v="0"/>
    <n v="4.3990783107473543"/>
    <b v="0"/>
    <s v="MD_01"/>
    <x v="1"/>
  </r>
  <r>
    <x v="2193"/>
    <x v="56"/>
    <x v="0"/>
    <x v="2"/>
    <x v="1"/>
    <n v="39.642945991981009"/>
    <b v="0"/>
    <s v="MD_11"/>
    <x v="0"/>
  </r>
  <r>
    <x v="2194"/>
    <x v="646"/>
    <x v="2"/>
    <x v="0"/>
    <x v="1"/>
    <n v="25.803632833910498"/>
    <b v="0"/>
    <s v="MD_12"/>
    <x v="0"/>
  </r>
  <r>
    <x v="2195"/>
    <x v="691"/>
    <x v="1"/>
    <x v="1"/>
    <x v="0"/>
    <n v="8.4414121384033933"/>
    <b v="0"/>
    <s v="MD_12"/>
    <x v="2"/>
  </r>
  <r>
    <x v="2196"/>
    <x v="450"/>
    <x v="3"/>
    <x v="3"/>
    <x v="0"/>
    <n v="7.5916988834537715"/>
    <b v="0"/>
    <s v="MD_13"/>
    <x v="1"/>
  </r>
  <r>
    <x v="2197"/>
    <x v="244"/>
    <x v="1"/>
    <x v="1"/>
    <x v="1"/>
    <n v="2.4166562310585937"/>
    <b v="0"/>
    <s v="MD_14"/>
    <x v="1"/>
  </r>
  <r>
    <x v="2198"/>
    <x v="448"/>
    <x v="1"/>
    <x v="2"/>
    <x v="0"/>
    <n v="5.9001129969354009"/>
    <b v="0"/>
    <s v="MD_01"/>
    <x v="1"/>
  </r>
  <r>
    <x v="2199"/>
    <x v="150"/>
    <x v="3"/>
    <x v="3"/>
    <x v="1"/>
    <n v="5.6033941902580411"/>
    <b v="0"/>
    <s v="MD_11"/>
    <x v="1"/>
  </r>
  <r>
    <x v="2200"/>
    <x v="212"/>
    <x v="1"/>
    <x v="1"/>
    <x v="0"/>
    <n v="8.7185026203023135"/>
    <b v="0"/>
    <s v="MD_17"/>
    <x v="1"/>
  </r>
  <r>
    <x v="2201"/>
    <x v="370"/>
    <x v="0"/>
    <x v="3"/>
    <x v="1"/>
    <n v="22.902143772138391"/>
    <b v="0"/>
    <s v="MD_08"/>
    <x v="0"/>
  </r>
  <r>
    <x v="2202"/>
    <x v="128"/>
    <x v="3"/>
    <x v="0"/>
    <x v="1"/>
    <n v="24.503281047786842"/>
    <b v="1"/>
    <s v="MD_15"/>
    <x v="0"/>
  </r>
  <r>
    <x v="2203"/>
    <x v="491"/>
    <x v="2"/>
    <x v="4"/>
    <x v="0"/>
    <n v="15.12380384532319"/>
    <b v="0"/>
    <s v="MD_17"/>
    <x v="0"/>
  </r>
  <r>
    <x v="2204"/>
    <x v="245"/>
    <x v="1"/>
    <x v="4"/>
    <x v="0"/>
    <n v="26.562089515698666"/>
    <b v="0"/>
    <s v="MD_13"/>
    <x v="0"/>
  </r>
  <r>
    <x v="2205"/>
    <x v="667"/>
    <x v="0"/>
    <x v="2"/>
    <x v="0"/>
    <n v="5.6906627624461894"/>
    <b v="0"/>
    <s v="MD_12"/>
    <x v="1"/>
  </r>
  <r>
    <x v="2206"/>
    <x v="502"/>
    <x v="1"/>
    <x v="2"/>
    <x v="1"/>
    <n v="17.801675175174957"/>
    <b v="0"/>
    <s v="MD_03"/>
    <x v="0"/>
  </r>
  <r>
    <x v="2207"/>
    <x v="12"/>
    <x v="3"/>
    <x v="3"/>
    <x v="0"/>
    <n v="4.166187563237691"/>
    <b v="0"/>
    <s v="MD_17"/>
    <x v="1"/>
  </r>
  <r>
    <x v="2208"/>
    <x v="642"/>
    <x v="0"/>
    <x v="1"/>
    <x v="0"/>
    <n v="36.757794846786553"/>
    <b v="0"/>
    <s v="MD_11"/>
    <x v="0"/>
  </r>
  <r>
    <x v="2209"/>
    <x v="46"/>
    <x v="3"/>
    <x v="2"/>
    <x v="0"/>
    <n v="4.8895266491926312"/>
    <b v="0"/>
    <s v="MD_08"/>
    <x v="1"/>
  </r>
  <r>
    <x v="2210"/>
    <x v="275"/>
    <x v="2"/>
    <x v="1"/>
    <x v="1"/>
    <n v="16.450071817901868"/>
    <b v="0"/>
    <s v="MD_02"/>
    <x v="0"/>
  </r>
  <r>
    <x v="2211"/>
    <x v="438"/>
    <x v="3"/>
    <x v="3"/>
    <x v="0"/>
    <n v="6.2877124890789107"/>
    <b v="0"/>
    <s v="MD_10"/>
    <x v="1"/>
  </r>
  <r>
    <x v="2212"/>
    <x v="273"/>
    <x v="3"/>
    <x v="4"/>
    <x v="0"/>
    <n v="25.927690966114472"/>
    <b v="0"/>
    <s v="MD_09"/>
    <x v="0"/>
  </r>
  <r>
    <x v="2213"/>
    <x v="370"/>
    <x v="3"/>
    <x v="3"/>
    <x v="1"/>
    <n v="30.660007106459684"/>
    <b v="0"/>
    <s v="MD_06"/>
    <x v="0"/>
  </r>
  <r>
    <x v="2214"/>
    <x v="541"/>
    <x v="1"/>
    <x v="4"/>
    <x v="0"/>
    <n v="17.190689075237117"/>
    <b v="0"/>
    <s v="MD_15"/>
    <x v="0"/>
  </r>
  <r>
    <x v="2215"/>
    <x v="580"/>
    <x v="2"/>
    <x v="2"/>
    <x v="0"/>
    <n v="2.4574507998826407"/>
    <b v="0"/>
    <s v="MD_06"/>
    <x v="1"/>
  </r>
  <r>
    <x v="2216"/>
    <x v="126"/>
    <x v="0"/>
    <x v="3"/>
    <x v="0"/>
    <n v="7.3179485164216365"/>
    <b v="0"/>
    <s v="MD_16"/>
    <x v="1"/>
  </r>
  <r>
    <x v="2217"/>
    <x v="505"/>
    <x v="0"/>
    <x v="2"/>
    <x v="0"/>
    <n v="5.7011503058481496"/>
    <b v="0"/>
    <s v="MD_13"/>
    <x v="1"/>
  </r>
  <r>
    <x v="2218"/>
    <x v="451"/>
    <x v="3"/>
    <x v="2"/>
    <x v="0"/>
    <n v="5.6285325012481655"/>
    <b v="0"/>
    <s v="MD_08"/>
    <x v="1"/>
  </r>
  <r>
    <x v="2219"/>
    <x v="285"/>
    <x v="2"/>
    <x v="2"/>
    <x v="0"/>
    <n v="3.4207783235937907"/>
    <b v="0"/>
    <s v="MD_01"/>
    <x v="1"/>
  </r>
  <r>
    <x v="2220"/>
    <x v="451"/>
    <x v="0"/>
    <x v="4"/>
    <x v="0"/>
    <n v="7.4941806509961806"/>
    <b v="0"/>
    <s v="MD_19"/>
    <x v="1"/>
  </r>
  <r>
    <x v="2221"/>
    <x v="512"/>
    <x v="2"/>
    <x v="3"/>
    <x v="1"/>
    <n v="39.217356166910072"/>
    <b v="0"/>
    <s v="MD_10"/>
    <x v="0"/>
  </r>
  <r>
    <x v="2222"/>
    <x v="390"/>
    <x v="3"/>
    <x v="1"/>
    <x v="1"/>
    <n v="22.517485111885282"/>
    <b v="0"/>
    <s v="MD_19"/>
    <x v="0"/>
  </r>
  <r>
    <x v="2223"/>
    <x v="187"/>
    <x v="1"/>
    <x v="0"/>
    <x v="0"/>
    <n v="5.5416221895773381"/>
    <b v="0"/>
    <s v="MD_01"/>
    <x v="1"/>
  </r>
  <r>
    <x v="2224"/>
    <x v="541"/>
    <x v="3"/>
    <x v="0"/>
    <x v="0"/>
    <n v="7.6383533225187694"/>
    <b v="0"/>
    <s v="MD_08"/>
    <x v="1"/>
  </r>
  <r>
    <x v="2225"/>
    <x v="435"/>
    <x v="1"/>
    <x v="4"/>
    <x v="0"/>
    <n v="2.8080485125660868"/>
    <b v="0"/>
    <s v="MD_01"/>
    <x v="1"/>
  </r>
  <r>
    <x v="2226"/>
    <x v="692"/>
    <x v="3"/>
    <x v="3"/>
    <x v="1"/>
    <n v="22.054023940157265"/>
    <b v="0"/>
    <s v="MD_13"/>
    <x v="0"/>
  </r>
  <r>
    <x v="2227"/>
    <x v="693"/>
    <x v="2"/>
    <x v="1"/>
    <x v="0"/>
    <n v="8.3485536649748493"/>
    <b v="0"/>
    <s v="MD_14"/>
    <x v="1"/>
  </r>
  <r>
    <x v="2228"/>
    <x v="473"/>
    <x v="0"/>
    <x v="3"/>
    <x v="0"/>
    <n v="7.7004902723919226"/>
    <b v="0"/>
    <s v="MD_03"/>
    <x v="1"/>
  </r>
  <r>
    <x v="2229"/>
    <x v="573"/>
    <x v="2"/>
    <x v="4"/>
    <x v="1"/>
    <n v="47.165099750477651"/>
    <b v="0"/>
    <s v="MD_12"/>
    <x v="0"/>
  </r>
  <r>
    <x v="2230"/>
    <x v="116"/>
    <x v="0"/>
    <x v="0"/>
    <x v="0"/>
    <n v="9.2191971604160585"/>
    <b v="0"/>
    <s v="MD_09"/>
    <x v="2"/>
  </r>
  <r>
    <x v="2231"/>
    <x v="602"/>
    <x v="2"/>
    <x v="4"/>
    <x v="0"/>
    <n v="4.8813417816137354"/>
    <b v="0"/>
    <s v="MD_18"/>
    <x v="1"/>
  </r>
  <r>
    <x v="2232"/>
    <x v="432"/>
    <x v="2"/>
    <x v="2"/>
    <x v="1"/>
    <n v="3.5052350039483615"/>
    <b v="0"/>
    <s v="MD_18"/>
    <x v="1"/>
  </r>
  <r>
    <x v="2233"/>
    <x v="338"/>
    <x v="1"/>
    <x v="3"/>
    <x v="0"/>
    <n v="4.490798537251214"/>
    <b v="0"/>
    <s v="MD_20"/>
    <x v="1"/>
  </r>
  <r>
    <x v="2234"/>
    <x v="383"/>
    <x v="0"/>
    <x v="3"/>
    <x v="0"/>
    <n v="7.016116515191011"/>
    <b v="0"/>
    <s v="MD_01"/>
    <x v="1"/>
  </r>
  <r>
    <x v="2235"/>
    <x v="679"/>
    <x v="2"/>
    <x v="4"/>
    <x v="1"/>
    <n v="30.916107730971163"/>
    <b v="0"/>
    <s v="MD_06"/>
    <x v="0"/>
  </r>
  <r>
    <x v="2236"/>
    <x v="425"/>
    <x v="0"/>
    <x v="0"/>
    <x v="0"/>
    <n v="21.705183878781575"/>
    <b v="0"/>
    <s v="MD_07"/>
    <x v="0"/>
  </r>
  <r>
    <x v="2237"/>
    <x v="356"/>
    <x v="2"/>
    <x v="0"/>
    <x v="0"/>
    <n v="4.5600773523858624"/>
    <b v="0"/>
    <s v="MD_12"/>
    <x v="1"/>
  </r>
  <r>
    <x v="2238"/>
    <x v="472"/>
    <x v="3"/>
    <x v="2"/>
    <x v="1"/>
    <n v="16.480587720371805"/>
    <b v="0"/>
    <s v="MD_20"/>
    <x v="0"/>
  </r>
  <r>
    <x v="2239"/>
    <x v="694"/>
    <x v="2"/>
    <x v="2"/>
    <x v="1"/>
    <n v="25.19888997085155"/>
    <b v="0"/>
    <s v="MD_10"/>
    <x v="0"/>
  </r>
  <r>
    <x v="2240"/>
    <x v="174"/>
    <x v="0"/>
    <x v="4"/>
    <x v="1"/>
    <n v="26.018005889314672"/>
    <b v="0"/>
    <s v="MD_12"/>
    <x v="0"/>
  </r>
  <r>
    <x v="2241"/>
    <x v="372"/>
    <x v="3"/>
    <x v="2"/>
    <x v="0"/>
    <n v="3.8260266885206118"/>
    <b v="0"/>
    <s v="MD_15"/>
    <x v="1"/>
  </r>
  <r>
    <x v="2242"/>
    <x v="338"/>
    <x v="1"/>
    <x v="1"/>
    <x v="0"/>
    <n v="6.6517371149730202"/>
    <b v="0"/>
    <s v="MD_06"/>
    <x v="1"/>
  </r>
  <r>
    <x v="2243"/>
    <x v="16"/>
    <x v="3"/>
    <x v="1"/>
    <x v="0"/>
    <n v="4.0291226738346779"/>
    <b v="0"/>
    <s v="MD_13"/>
    <x v="2"/>
  </r>
  <r>
    <x v="2244"/>
    <x v="313"/>
    <x v="0"/>
    <x v="0"/>
    <x v="0"/>
    <n v="5.5746478938284572"/>
    <b v="0"/>
    <s v="MD_16"/>
    <x v="1"/>
  </r>
  <r>
    <x v="2245"/>
    <x v="179"/>
    <x v="2"/>
    <x v="0"/>
    <x v="1"/>
    <n v="29.876977767520174"/>
    <b v="0"/>
    <s v="MD_13"/>
    <x v="0"/>
  </r>
  <r>
    <x v="2246"/>
    <x v="1"/>
    <x v="3"/>
    <x v="4"/>
    <x v="0"/>
    <n v="5.4093584595312008"/>
    <b v="0"/>
    <s v="MD_14"/>
    <x v="1"/>
  </r>
  <r>
    <x v="2247"/>
    <x v="314"/>
    <x v="3"/>
    <x v="3"/>
    <x v="1"/>
    <n v="17.509204804825796"/>
    <b v="0"/>
    <s v="MD_12"/>
    <x v="0"/>
  </r>
  <r>
    <x v="2248"/>
    <x v="425"/>
    <x v="3"/>
    <x v="3"/>
    <x v="1"/>
    <n v="4.7011310418160406"/>
    <b v="0"/>
    <s v="MD_14"/>
    <x v="1"/>
  </r>
  <r>
    <x v="2249"/>
    <x v="659"/>
    <x v="3"/>
    <x v="3"/>
    <x v="1"/>
    <n v="8.1891372705807015"/>
    <b v="0"/>
    <s v="MD_17"/>
    <x v="1"/>
  </r>
  <r>
    <x v="2250"/>
    <x v="595"/>
    <x v="3"/>
    <x v="3"/>
    <x v="0"/>
    <n v="2.9015400501276489"/>
    <b v="0"/>
    <s v="MD_14"/>
    <x v="1"/>
  </r>
  <r>
    <x v="2251"/>
    <x v="181"/>
    <x v="2"/>
    <x v="1"/>
    <x v="1"/>
    <n v="21.124630972839562"/>
    <b v="0"/>
    <s v="MD_11"/>
    <x v="0"/>
  </r>
  <r>
    <x v="2252"/>
    <x v="442"/>
    <x v="2"/>
    <x v="3"/>
    <x v="0"/>
    <n v="4.8138774895591716"/>
    <b v="0"/>
    <s v="MD_06"/>
    <x v="1"/>
  </r>
  <r>
    <x v="2253"/>
    <x v="208"/>
    <x v="1"/>
    <x v="3"/>
    <x v="1"/>
    <n v="33.982998322146003"/>
    <b v="0"/>
    <s v="MD_16"/>
    <x v="0"/>
  </r>
  <r>
    <x v="2254"/>
    <x v="203"/>
    <x v="3"/>
    <x v="2"/>
    <x v="0"/>
    <n v="4.1669791547360013"/>
    <b v="0"/>
    <s v="MD_16"/>
    <x v="1"/>
  </r>
  <r>
    <x v="2255"/>
    <x v="649"/>
    <x v="0"/>
    <x v="4"/>
    <x v="0"/>
    <n v="1.6549855912325215"/>
    <b v="0"/>
    <s v="MD_08"/>
    <x v="1"/>
  </r>
  <r>
    <x v="2256"/>
    <x v="202"/>
    <x v="0"/>
    <x v="3"/>
    <x v="1"/>
    <n v="34.901701859247865"/>
    <b v="0"/>
    <s v="MD_09"/>
    <x v="0"/>
  </r>
  <r>
    <x v="2257"/>
    <x v="585"/>
    <x v="1"/>
    <x v="2"/>
    <x v="0"/>
    <n v="8.2603735125879822"/>
    <b v="0"/>
    <s v="MD_02"/>
    <x v="1"/>
  </r>
  <r>
    <x v="2258"/>
    <x v="99"/>
    <x v="3"/>
    <x v="1"/>
    <x v="0"/>
    <n v="44.336832425361628"/>
    <b v="0"/>
    <s v="MD_10"/>
    <x v="0"/>
  </r>
  <r>
    <x v="2259"/>
    <x v="490"/>
    <x v="0"/>
    <x v="4"/>
    <x v="0"/>
    <n v="2.3286465103744156"/>
    <b v="0"/>
    <s v="MD_07"/>
    <x v="1"/>
  </r>
  <r>
    <x v="2260"/>
    <x v="146"/>
    <x v="1"/>
    <x v="3"/>
    <x v="0"/>
    <n v="14.584893471163898"/>
    <b v="0"/>
    <s v="MD_06"/>
    <x v="0"/>
  </r>
  <r>
    <x v="2261"/>
    <x v="220"/>
    <x v="1"/>
    <x v="4"/>
    <x v="0"/>
    <n v="9.1486140716024575"/>
    <b v="0"/>
    <s v="MD_11"/>
    <x v="1"/>
  </r>
  <r>
    <x v="2262"/>
    <x v="210"/>
    <x v="3"/>
    <x v="2"/>
    <x v="0"/>
    <n v="4.6025917598355663"/>
    <b v="0"/>
    <s v="MD_02"/>
    <x v="2"/>
  </r>
  <r>
    <x v="2263"/>
    <x v="59"/>
    <x v="1"/>
    <x v="2"/>
    <x v="0"/>
    <n v="3.7980188363868503"/>
    <b v="0"/>
    <s v="MD_20"/>
    <x v="1"/>
  </r>
  <r>
    <x v="2264"/>
    <x v="661"/>
    <x v="1"/>
    <x v="1"/>
    <x v="1"/>
    <n v="36.493860553071201"/>
    <b v="0"/>
    <s v="MD_07"/>
    <x v="0"/>
  </r>
  <r>
    <x v="2265"/>
    <x v="310"/>
    <x v="2"/>
    <x v="1"/>
    <x v="0"/>
    <n v="18.03971589874741"/>
    <b v="0"/>
    <s v="MD_17"/>
    <x v="0"/>
  </r>
  <r>
    <x v="2266"/>
    <x v="197"/>
    <x v="0"/>
    <x v="1"/>
    <x v="0"/>
    <n v="6.7209555422113443"/>
    <b v="0"/>
    <s v="MD_17"/>
    <x v="1"/>
  </r>
  <r>
    <x v="2267"/>
    <x v="147"/>
    <x v="2"/>
    <x v="2"/>
    <x v="0"/>
    <n v="6.8648153596727166"/>
    <b v="0"/>
    <s v="MD_06"/>
    <x v="1"/>
  </r>
  <r>
    <x v="2268"/>
    <x v="423"/>
    <x v="1"/>
    <x v="2"/>
    <x v="0"/>
    <n v="3.8706973891793832"/>
    <b v="0"/>
    <s v="MD_06"/>
    <x v="2"/>
  </r>
  <r>
    <x v="2269"/>
    <x v="413"/>
    <x v="3"/>
    <x v="1"/>
    <x v="0"/>
    <n v="4.6109198492608998"/>
    <b v="0"/>
    <s v="MD_14"/>
    <x v="1"/>
  </r>
  <r>
    <x v="2270"/>
    <x v="373"/>
    <x v="3"/>
    <x v="3"/>
    <x v="0"/>
    <n v="3.1081095534885081"/>
    <b v="0"/>
    <s v="MD_03"/>
    <x v="1"/>
  </r>
  <r>
    <x v="2271"/>
    <x v="209"/>
    <x v="1"/>
    <x v="4"/>
    <x v="1"/>
    <n v="7.7038578686264279"/>
    <b v="0"/>
    <s v="MD_05"/>
    <x v="1"/>
  </r>
  <r>
    <x v="2272"/>
    <x v="292"/>
    <x v="3"/>
    <x v="2"/>
    <x v="1"/>
    <n v="11.997957876844433"/>
    <b v="0"/>
    <s v="MD_10"/>
    <x v="0"/>
  </r>
  <r>
    <x v="2273"/>
    <x v="120"/>
    <x v="3"/>
    <x v="0"/>
    <x v="0"/>
    <n v="8.342195324163221"/>
    <b v="0"/>
    <s v="MD_03"/>
    <x v="1"/>
  </r>
  <r>
    <x v="2274"/>
    <x v="301"/>
    <x v="1"/>
    <x v="0"/>
    <x v="1"/>
    <n v="26.005932869259318"/>
    <b v="0"/>
    <s v="MD_10"/>
    <x v="0"/>
  </r>
  <r>
    <x v="2275"/>
    <x v="215"/>
    <x v="2"/>
    <x v="3"/>
    <x v="0"/>
    <n v="3.6762242191666075"/>
    <b v="0"/>
    <s v="MD_16"/>
    <x v="1"/>
  </r>
  <r>
    <x v="2276"/>
    <x v="451"/>
    <x v="1"/>
    <x v="0"/>
    <x v="1"/>
    <n v="6.0039579994835472"/>
    <b v="0"/>
    <s v="MD_06"/>
    <x v="1"/>
  </r>
  <r>
    <x v="2277"/>
    <x v="38"/>
    <x v="3"/>
    <x v="1"/>
    <x v="1"/>
    <n v="3.7305525498778542"/>
    <b v="0"/>
    <s v="MD_06"/>
    <x v="1"/>
  </r>
  <r>
    <x v="2278"/>
    <x v="131"/>
    <x v="0"/>
    <x v="1"/>
    <x v="0"/>
    <n v="10.581790252504955"/>
    <b v="0"/>
    <s v="MD_19"/>
    <x v="1"/>
  </r>
  <r>
    <x v="2279"/>
    <x v="610"/>
    <x v="0"/>
    <x v="3"/>
    <x v="0"/>
    <n v="7.6040533860334376"/>
    <b v="0"/>
    <s v="MD_15"/>
    <x v="1"/>
  </r>
  <r>
    <x v="2280"/>
    <x v="563"/>
    <x v="3"/>
    <x v="4"/>
    <x v="1"/>
    <n v="7.4854486213327753"/>
    <b v="0"/>
    <s v="MD_02"/>
    <x v="1"/>
  </r>
  <r>
    <x v="2281"/>
    <x v="249"/>
    <x v="1"/>
    <x v="2"/>
    <x v="0"/>
    <n v="3.6731939457077893"/>
    <b v="0"/>
    <s v="MD_15"/>
    <x v="2"/>
  </r>
  <r>
    <x v="2282"/>
    <x v="623"/>
    <x v="0"/>
    <x v="1"/>
    <x v="0"/>
    <n v="30.223454150159988"/>
    <b v="0"/>
    <s v="MD_20"/>
    <x v="0"/>
  </r>
  <r>
    <x v="2283"/>
    <x v="300"/>
    <x v="1"/>
    <x v="4"/>
    <x v="1"/>
    <n v="27.975094524007336"/>
    <b v="0"/>
    <s v="MD_20"/>
    <x v="0"/>
  </r>
  <r>
    <x v="2284"/>
    <x v="290"/>
    <x v="3"/>
    <x v="4"/>
    <x v="1"/>
    <n v="16.69681301881716"/>
    <b v="0"/>
    <s v="MD_07"/>
    <x v="0"/>
  </r>
  <r>
    <x v="2285"/>
    <x v="179"/>
    <x v="0"/>
    <x v="0"/>
    <x v="1"/>
    <n v="7.6430100574384277"/>
    <b v="1"/>
    <s v="MD_17"/>
    <x v="0"/>
  </r>
  <r>
    <x v="2286"/>
    <x v="135"/>
    <x v="1"/>
    <x v="2"/>
    <x v="0"/>
    <n v="5.4458153908786082"/>
    <b v="0"/>
    <s v="MD_02"/>
    <x v="1"/>
  </r>
  <r>
    <x v="2287"/>
    <x v="326"/>
    <x v="3"/>
    <x v="1"/>
    <x v="0"/>
    <n v="5.2190959788021463"/>
    <b v="0"/>
    <s v="MD_19"/>
    <x v="1"/>
  </r>
  <r>
    <x v="2288"/>
    <x v="475"/>
    <x v="1"/>
    <x v="3"/>
    <x v="0"/>
    <n v="4.1506994610957717"/>
    <b v="0"/>
    <s v="MD_04"/>
    <x v="1"/>
  </r>
  <r>
    <x v="2289"/>
    <x v="512"/>
    <x v="1"/>
    <x v="1"/>
    <x v="1"/>
    <n v="30.095154375473257"/>
    <b v="0"/>
    <s v="MD_17"/>
    <x v="0"/>
  </r>
  <r>
    <x v="2290"/>
    <x v="75"/>
    <x v="3"/>
    <x v="1"/>
    <x v="0"/>
    <n v="7.3336934418304303"/>
    <b v="0"/>
    <s v="MD_06"/>
    <x v="1"/>
  </r>
  <r>
    <x v="2291"/>
    <x v="611"/>
    <x v="1"/>
    <x v="4"/>
    <x v="1"/>
    <n v="16.803967502188556"/>
    <b v="0"/>
    <s v="MD_08"/>
    <x v="0"/>
  </r>
  <r>
    <x v="2292"/>
    <x v="590"/>
    <x v="3"/>
    <x v="0"/>
    <x v="0"/>
    <n v="2.1862186024132026"/>
    <b v="0"/>
    <s v="MD_01"/>
    <x v="1"/>
  </r>
  <r>
    <x v="2293"/>
    <x v="389"/>
    <x v="0"/>
    <x v="3"/>
    <x v="0"/>
    <n v="11.916514273122688"/>
    <b v="0"/>
    <s v="MD_08"/>
    <x v="0"/>
  </r>
  <r>
    <x v="2294"/>
    <x v="447"/>
    <x v="2"/>
    <x v="0"/>
    <x v="1"/>
    <n v="21.909700334879371"/>
    <b v="0"/>
    <s v="MD_14"/>
    <x v="0"/>
  </r>
  <r>
    <x v="2295"/>
    <x v="110"/>
    <x v="3"/>
    <x v="1"/>
    <x v="0"/>
    <n v="8.09116794744833"/>
    <b v="0"/>
    <s v="MD_13"/>
    <x v="1"/>
  </r>
  <r>
    <x v="2296"/>
    <x v="140"/>
    <x v="1"/>
    <x v="4"/>
    <x v="1"/>
    <n v="6.9362085861984113"/>
    <b v="0"/>
    <s v="MD_03"/>
    <x v="1"/>
  </r>
  <r>
    <x v="2297"/>
    <x v="604"/>
    <x v="3"/>
    <x v="4"/>
    <x v="1"/>
    <n v="14.390794633013202"/>
    <b v="0"/>
    <s v="MD_17"/>
    <x v="0"/>
  </r>
  <r>
    <x v="2298"/>
    <x v="380"/>
    <x v="1"/>
    <x v="2"/>
    <x v="0"/>
    <n v="8.4115347497840247"/>
    <b v="0"/>
    <s v="MD_16"/>
    <x v="1"/>
  </r>
  <r>
    <x v="2299"/>
    <x v="167"/>
    <x v="3"/>
    <x v="4"/>
    <x v="0"/>
    <n v="4.3868225301675201"/>
    <b v="0"/>
    <s v="MD_16"/>
    <x v="1"/>
  </r>
  <r>
    <x v="2300"/>
    <x v="455"/>
    <x v="2"/>
    <x v="3"/>
    <x v="0"/>
    <n v="5.8899395359320126"/>
    <b v="0"/>
    <s v="MD_19"/>
    <x v="2"/>
  </r>
  <r>
    <x v="2301"/>
    <x v="92"/>
    <x v="0"/>
    <x v="3"/>
    <x v="0"/>
    <n v="5.0238034229650435"/>
    <b v="0"/>
    <s v="MD_06"/>
    <x v="2"/>
  </r>
  <r>
    <x v="2302"/>
    <x v="30"/>
    <x v="1"/>
    <x v="3"/>
    <x v="0"/>
    <n v="-0.67359031479786147"/>
    <b v="0"/>
    <s v="MD_16"/>
    <x v="1"/>
  </r>
  <r>
    <x v="2303"/>
    <x v="483"/>
    <x v="0"/>
    <x v="3"/>
    <x v="0"/>
    <n v="33.757208967178208"/>
    <b v="0"/>
    <s v="MD_14"/>
    <x v="0"/>
  </r>
  <r>
    <x v="2304"/>
    <x v="345"/>
    <x v="2"/>
    <x v="0"/>
    <x v="0"/>
    <n v="8.5881486995681957"/>
    <b v="0"/>
    <s v="MD_01"/>
    <x v="2"/>
  </r>
  <r>
    <x v="2305"/>
    <x v="638"/>
    <x v="2"/>
    <x v="4"/>
    <x v="0"/>
    <n v="23.479456173190091"/>
    <b v="0"/>
    <s v="MD_14"/>
    <x v="0"/>
  </r>
  <r>
    <x v="2306"/>
    <x v="251"/>
    <x v="0"/>
    <x v="4"/>
    <x v="0"/>
    <n v="5.0834155064545303"/>
    <b v="0"/>
    <s v="MD_05"/>
    <x v="1"/>
  </r>
  <r>
    <x v="2307"/>
    <x v="307"/>
    <x v="3"/>
    <x v="4"/>
    <x v="0"/>
    <n v="17.066290881365479"/>
    <b v="0"/>
    <s v="MD_16"/>
    <x v="0"/>
  </r>
  <r>
    <x v="2308"/>
    <x v="127"/>
    <x v="1"/>
    <x v="2"/>
    <x v="1"/>
    <n v="12.963533557242368"/>
    <b v="0"/>
    <s v="MD_09"/>
    <x v="0"/>
  </r>
  <r>
    <x v="2309"/>
    <x v="420"/>
    <x v="0"/>
    <x v="1"/>
    <x v="1"/>
    <n v="13.208500737900104"/>
    <b v="0"/>
    <s v="MD_05"/>
    <x v="0"/>
  </r>
  <r>
    <x v="2310"/>
    <x v="168"/>
    <x v="0"/>
    <x v="4"/>
    <x v="1"/>
    <n v="20.44809066419587"/>
    <b v="0"/>
    <s v="MD_12"/>
    <x v="0"/>
  </r>
  <r>
    <x v="2311"/>
    <x v="166"/>
    <x v="0"/>
    <x v="1"/>
    <x v="0"/>
    <n v="5.7251402465007395"/>
    <b v="0"/>
    <s v="MD_04"/>
    <x v="1"/>
  </r>
  <r>
    <x v="2312"/>
    <x v="411"/>
    <x v="3"/>
    <x v="2"/>
    <x v="0"/>
    <n v="5.1116459093125535"/>
    <b v="0"/>
    <s v="MD_18"/>
    <x v="1"/>
  </r>
  <r>
    <x v="2313"/>
    <x v="501"/>
    <x v="0"/>
    <x v="2"/>
    <x v="1"/>
    <n v="1.7386295193408419"/>
    <b v="0"/>
    <s v="MD_17"/>
    <x v="1"/>
  </r>
  <r>
    <x v="2314"/>
    <x v="695"/>
    <x v="1"/>
    <x v="2"/>
    <x v="0"/>
    <n v="6.930063121023931"/>
    <b v="0"/>
    <s v="MD_13"/>
    <x v="1"/>
  </r>
  <r>
    <x v="2315"/>
    <x v="368"/>
    <x v="0"/>
    <x v="2"/>
    <x v="0"/>
    <n v="3.5722520399398077"/>
    <b v="0"/>
    <s v="MD_12"/>
    <x v="1"/>
  </r>
  <r>
    <x v="2316"/>
    <x v="508"/>
    <x v="3"/>
    <x v="4"/>
    <x v="0"/>
    <n v="23.211737841468945"/>
    <b v="0"/>
    <s v="MD_13"/>
    <x v="0"/>
  </r>
  <r>
    <x v="2317"/>
    <x v="381"/>
    <x v="3"/>
    <x v="0"/>
    <x v="0"/>
    <n v="4.1693114859770004"/>
    <b v="0"/>
    <s v="MD_02"/>
    <x v="1"/>
  </r>
  <r>
    <x v="2318"/>
    <x v="406"/>
    <x v="0"/>
    <x v="0"/>
    <x v="0"/>
    <n v="3.400455431293508"/>
    <b v="0"/>
    <s v="MD_14"/>
    <x v="1"/>
  </r>
  <r>
    <x v="2319"/>
    <x v="151"/>
    <x v="3"/>
    <x v="2"/>
    <x v="1"/>
    <n v="23.934814638032343"/>
    <b v="0"/>
    <s v="MD_02"/>
    <x v="0"/>
  </r>
  <r>
    <x v="2320"/>
    <x v="601"/>
    <x v="3"/>
    <x v="2"/>
    <x v="0"/>
    <n v="6.926165241558234"/>
    <b v="0"/>
    <s v="MD_04"/>
    <x v="2"/>
  </r>
  <r>
    <x v="2321"/>
    <x v="696"/>
    <x v="3"/>
    <x v="1"/>
    <x v="0"/>
    <n v="3.1220195198855403"/>
    <b v="0"/>
    <s v="MD_02"/>
    <x v="1"/>
  </r>
  <r>
    <x v="2322"/>
    <x v="172"/>
    <x v="0"/>
    <x v="4"/>
    <x v="0"/>
    <n v="6.6989720068614051"/>
    <b v="0"/>
    <s v="MD_15"/>
    <x v="1"/>
  </r>
  <r>
    <x v="2323"/>
    <x v="580"/>
    <x v="1"/>
    <x v="0"/>
    <x v="0"/>
    <n v="20.338646723049216"/>
    <b v="0"/>
    <s v="MD_18"/>
    <x v="0"/>
  </r>
  <r>
    <x v="2324"/>
    <x v="63"/>
    <x v="2"/>
    <x v="3"/>
    <x v="0"/>
    <n v="12.182745471038286"/>
    <b v="0"/>
    <s v="MD_03"/>
    <x v="0"/>
  </r>
  <r>
    <x v="2325"/>
    <x v="468"/>
    <x v="2"/>
    <x v="2"/>
    <x v="0"/>
    <n v="6.0513215254007484"/>
    <b v="0"/>
    <s v="MD_08"/>
    <x v="1"/>
  </r>
  <r>
    <x v="2326"/>
    <x v="557"/>
    <x v="2"/>
    <x v="4"/>
    <x v="1"/>
    <n v="5.9053738034686267"/>
    <b v="0"/>
    <s v="MD_08"/>
    <x v="2"/>
  </r>
  <r>
    <x v="2327"/>
    <x v="697"/>
    <x v="1"/>
    <x v="3"/>
    <x v="1"/>
    <n v="39.914670787531009"/>
    <b v="0"/>
    <s v="MD_04"/>
    <x v="0"/>
  </r>
  <r>
    <x v="2328"/>
    <x v="654"/>
    <x v="2"/>
    <x v="3"/>
    <x v="0"/>
    <n v="4.8553972440253839"/>
    <b v="0"/>
    <s v="MD_06"/>
    <x v="1"/>
  </r>
  <r>
    <x v="2329"/>
    <x v="613"/>
    <x v="0"/>
    <x v="1"/>
    <x v="0"/>
    <n v="4.6360235348018515"/>
    <b v="0"/>
    <s v="MD_02"/>
    <x v="1"/>
  </r>
  <r>
    <x v="2330"/>
    <x v="698"/>
    <x v="2"/>
    <x v="1"/>
    <x v="1"/>
    <n v="30.462571332160586"/>
    <b v="1"/>
    <s v="MD_15"/>
    <x v="0"/>
  </r>
  <r>
    <x v="2331"/>
    <x v="699"/>
    <x v="3"/>
    <x v="4"/>
    <x v="1"/>
    <n v="17.746048382394829"/>
    <b v="0"/>
    <s v="MD_01"/>
    <x v="0"/>
  </r>
  <r>
    <x v="2332"/>
    <x v="14"/>
    <x v="0"/>
    <x v="1"/>
    <x v="1"/>
    <n v="30.184080771654905"/>
    <b v="0"/>
    <s v="MD_20"/>
    <x v="0"/>
  </r>
  <r>
    <x v="2333"/>
    <x v="652"/>
    <x v="2"/>
    <x v="4"/>
    <x v="0"/>
    <n v="3.3556399513579671"/>
    <b v="0"/>
    <s v="MD_07"/>
    <x v="1"/>
  </r>
  <r>
    <x v="2334"/>
    <x v="700"/>
    <x v="2"/>
    <x v="1"/>
    <x v="0"/>
    <n v="7.5188194421146344"/>
    <b v="0"/>
    <s v="MD_04"/>
    <x v="1"/>
  </r>
  <r>
    <x v="2335"/>
    <x v="191"/>
    <x v="1"/>
    <x v="2"/>
    <x v="0"/>
    <n v="21.209498946451845"/>
    <b v="0"/>
    <s v="MD_03"/>
    <x v="0"/>
  </r>
  <r>
    <x v="2336"/>
    <x v="84"/>
    <x v="0"/>
    <x v="4"/>
    <x v="1"/>
    <n v="26.156581222780353"/>
    <b v="0"/>
    <s v="MD_01"/>
    <x v="0"/>
  </r>
  <r>
    <x v="2337"/>
    <x v="390"/>
    <x v="1"/>
    <x v="0"/>
    <x v="1"/>
    <n v="-3.358592179817073"/>
    <b v="0"/>
    <s v="MD_08"/>
    <x v="0"/>
  </r>
  <r>
    <x v="2338"/>
    <x v="386"/>
    <x v="2"/>
    <x v="0"/>
    <x v="1"/>
    <n v="7.776389389141765"/>
    <b v="0"/>
    <s v="MD_07"/>
    <x v="1"/>
  </r>
  <r>
    <x v="2339"/>
    <x v="668"/>
    <x v="1"/>
    <x v="1"/>
    <x v="0"/>
    <n v="20.333738724678533"/>
    <b v="0"/>
    <s v="MD_19"/>
    <x v="0"/>
  </r>
  <r>
    <x v="2340"/>
    <x v="56"/>
    <x v="0"/>
    <x v="0"/>
    <x v="1"/>
    <n v="23.658167487398117"/>
    <b v="0"/>
    <s v="MD_08"/>
    <x v="0"/>
  </r>
  <r>
    <x v="2341"/>
    <x v="469"/>
    <x v="1"/>
    <x v="0"/>
    <x v="0"/>
    <n v="5.7664177366343381"/>
    <b v="0"/>
    <s v="MD_01"/>
    <x v="1"/>
  </r>
  <r>
    <x v="2342"/>
    <x v="597"/>
    <x v="2"/>
    <x v="3"/>
    <x v="0"/>
    <n v="3.5883155748315003"/>
    <b v="0"/>
    <s v="MD_17"/>
    <x v="1"/>
  </r>
  <r>
    <x v="2343"/>
    <x v="579"/>
    <x v="2"/>
    <x v="4"/>
    <x v="0"/>
    <n v="8.0390082180583029"/>
    <b v="0"/>
    <s v="MD_15"/>
    <x v="2"/>
  </r>
  <r>
    <x v="2344"/>
    <x v="434"/>
    <x v="1"/>
    <x v="0"/>
    <x v="1"/>
    <n v="10.323043915944343"/>
    <b v="0"/>
    <s v="MD_17"/>
    <x v="1"/>
  </r>
  <r>
    <x v="2345"/>
    <x v="606"/>
    <x v="1"/>
    <x v="4"/>
    <x v="1"/>
    <n v="13.982936124951719"/>
    <b v="0"/>
    <s v="MD_15"/>
    <x v="0"/>
  </r>
  <r>
    <x v="2346"/>
    <x v="643"/>
    <x v="0"/>
    <x v="0"/>
    <x v="0"/>
    <n v="4.1192283096403148"/>
    <b v="0"/>
    <s v="MD_03"/>
    <x v="1"/>
  </r>
  <r>
    <x v="2347"/>
    <x v="513"/>
    <x v="3"/>
    <x v="0"/>
    <x v="0"/>
    <n v="5.511782926900799"/>
    <b v="0"/>
    <s v="MD_17"/>
    <x v="1"/>
  </r>
  <r>
    <x v="2348"/>
    <x v="335"/>
    <x v="0"/>
    <x v="2"/>
    <x v="0"/>
    <n v="17.753117200533886"/>
    <b v="0"/>
    <s v="MD_15"/>
    <x v="0"/>
  </r>
  <r>
    <x v="2349"/>
    <x v="370"/>
    <x v="0"/>
    <x v="1"/>
    <x v="1"/>
    <n v="29.910411791309389"/>
    <b v="0"/>
    <s v="MD_12"/>
    <x v="0"/>
  </r>
  <r>
    <x v="2350"/>
    <x v="469"/>
    <x v="0"/>
    <x v="0"/>
    <x v="0"/>
    <n v="5.6036787032375033"/>
    <b v="0"/>
    <s v="MD_18"/>
    <x v="1"/>
  </r>
  <r>
    <x v="2351"/>
    <x v="61"/>
    <x v="2"/>
    <x v="3"/>
    <x v="0"/>
    <n v="6.2532960272348577"/>
    <b v="0"/>
    <s v="MD_07"/>
    <x v="1"/>
  </r>
  <r>
    <x v="2352"/>
    <x v="79"/>
    <x v="1"/>
    <x v="3"/>
    <x v="1"/>
    <n v="28.717769384367642"/>
    <b v="0"/>
    <s v="MD_05"/>
    <x v="0"/>
  </r>
  <r>
    <x v="2353"/>
    <x v="32"/>
    <x v="1"/>
    <x v="1"/>
    <x v="0"/>
    <n v="6.1742108363756616"/>
    <b v="0"/>
    <s v="MD_15"/>
    <x v="1"/>
  </r>
  <r>
    <x v="2354"/>
    <x v="205"/>
    <x v="0"/>
    <x v="2"/>
    <x v="0"/>
    <n v="5.4022936856140777"/>
    <b v="0"/>
    <s v="MD_11"/>
    <x v="1"/>
  </r>
  <r>
    <x v="2355"/>
    <x v="494"/>
    <x v="0"/>
    <x v="3"/>
    <x v="0"/>
    <n v="7.9872796928055907"/>
    <b v="0"/>
    <s v="MD_13"/>
    <x v="1"/>
  </r>
  <r>
    <x v="2356"/>
    <x v="529"/>
    <x v="1"/>
    <x v="4"/>
    <x v="0"/>
    <n v="23.645672128687448"/>
    <b v="0"/>
    <s v="MD_18"/>
    <x v="0"/>
  </r>
  <r>
    <x v="2357"/>
    <x v="536"/>
    <x v="2"/>
    <x v="0"/>
    <x v="0"/>
    <n v="4.7313637110228468"/>
    <b v="0"/>
    <s v="MD_10"/>
    <x v="1"/>
  </r>
  <r>
    <x v="2358"/>
    <x v="7"/>
    <x v="1"/>
    <x v="0"/>
    <x v="1"/>
    <n v="4.9285353843470894"/>
    <b v="0"/>
    <s v="MD_10"/>
    <x v="1"/>
  </r>
  <r>
    <x v="2359"/>
    <x v="229"/>
    <x v="0"/>
    <x v="1"/>
    <x v="0"/>
    <n v="7.1008682115737773"/>
    <b v="0"/>
    <s v="MD_05"/>
    <x v="1"/>
  </r>
  <r>
    <x v="2360"/>
    <x v="132"/>
    <x v="1"/>
    <x v="2"/>
    <x v="0"/>
    <n v="9.1178859957367706"/>
    <b v="0"/>
    <s v="MD_14"/>
    <x v="1"/>
  </r>
  <r>
    <x v="2361"/>
    <x v="72"/>
    <x v="3"/>
    <x v="3"/>
    <x v="1"/>
    <n v="27.850536521374739"/>
    <b v="1"/>
    <s v="MD_04"/>
    <x v="0"/>
  </r>
  <r>
    <x v="2362"/>
    <x v="127"/>
    <x v="0"/>
    <x v="3"/>
    <x v="1"/>
    <n v="28.142915010748219"/>
    <b v="0"/>
    <s v="MD_01"/>
    <x v="0"/>
  </r>
  <r>
    <x v="2363"/>
    <x v="701"/>
    <x v="0"/>
    <x v="2"/>
    <x v="0"/>
    <n v="7.710085955315348"/>
    <b v="0"/>
    <s v="MD_02"/>
    <x v="2"/>
  </r>
  <r>
    <x v="2364"/>
    <x v="310"/>
    <x v="2"/>
    <x v="2"/>
    <x v="0"/>
    <n v="3.0040404339124236"/>
    <b v="0"/>
    <s v="MD_16"/>
    <x v="1"/>
  </r>
  <r>
    <x v="2365"/>
    <x v="215"/>
    <x v="2"/>
    <x v="2"/>
    <x v="0"/>
    <n v="4.5403887586657907"/>
    <b v="0"/>
    <s v="MD_09"/>
    <x v="1"/>
  </r>
  <r>
    <x v="2366"/>
    <x v="388"/>
    <x v="0"/>
    <x v="1"/>
    <x v="0"/>
    <n v="12.49377677444749"/>
    <b v="0"/>
    <s v="MD_13"/>
    <x v="0"/>
  </r>
  <r>
    <x v="2367"/>
    <x v="530"/>
    <x v="0"/>
    <x v="0"/>
    <x v="0"/>
    <n v="27.299040303986278"/>
    <b v="0"/>
    <s v="MD_11"/>
    <x v="0"/>
  </r>
  <r>
    <x v="2368"/>
    <x v="256"/>
    <x v="3"/>
    <x v="4"/>
    <x v="0"/>
    <n v="6.4887423098143913"/>
    <b v="0"/>
    <s v="MD_10"/>
    <x v="1"/>
  </r>
  <r>
    <x v="2369"/>
    <x v="494"/>
    <x v="1"/>
    <x v="2"/>
    <x v="0"/>
    <n v="37.50915051969794"/>
    <b v="0"/>
    <s v="MD_05"/>
    <x v="0"/>
  </r>
  <r>
    <x v="2370"/>
    <x v="9"/>
    <x v="1"/>
    <x v="4"/>
    <x v="1"/>
    <n v="20.626123469326561"/>
    <b v="0"/>
    <s v="MD_18"/>
    <x v="0"/>
  </r>
  <r>
    <x v="2371"/>
    <x v="469"/>
    <x v="3"/>
    <x v="4"/>
    <x v="1"/>
    <n v="6.0168105604765669"/>
    <b v="0"/>
    <s v="MD_07"/>
    <x v="1"/>
  </r>
  <r>
    <x v="2372"/>
    <x v="698"/>
    <x v="3"/>
    <x v="3"/>
    <x v="1"/>
    <n v="27.010275244949042"/>
    <b v="0"/>
    <s v="MD_15"/>
    <x v="0"/>
  </r>
  <r>
    <x v="2373"/>
    <x v="12"/>
    <x v="3"/>
    <x v="0"/>
    <x v="0"/>
    <n v="6.5961709962602857"/>
    <b v="0"/>
    <s v="MD_17"/>
    <x v="1"/>
  </r>
  <r>
    <x v="2374"/>
    <x v="619"/>
    <x v="3"/>
    <x v="2"/>
    <x v="0"/>
    <n v="26.322108467463345"/>
    <b v="0"/>
    <s v="MD_09"/>
    <x v="0"/>
  </r>
  <r>
    <x v="2375"/>
    <x v="32"/>
    <x v="0"/>
    <x v="2"/>
    <x v="1"/>
    <n v="6.0115589156191147"/>
    <b v="0"/>
    <s v="MD_04"/>
    <x v="1"/>
  </r>
  <r>
    <x v="2376"/>
    <x v="600"/>
    <x v="3"/>
    <x v="2"/>
    <x v="0"/>
    <n v="3.762239684731068"/>
    <b v="0"/>
    <s v="MD_12"/>
    <x v="1"/>
  </r>
  <r>
    <x v="2377"/>
    <x v="76"/>
    <x v="0"/>
    <x v="1"/>
    <x v="0"/>
    <n v="3.3570720482747234"/>
    <b v="0"/>
    <s v="MD_15"/>
    <x v="1"/>
  </r>
  <r>
    <x v="2378"/>
    <x v="639"/>
    <x v="2"/>
    <x v="2"/>
    <x v="0"/>
    <n v="7.5823903904956698"/>
    <b v="0"/>
    <s v="MD_18"/>
    <x v="1"/>
  </r>
  <r>
    <x v="2379"/>
    <x v="426"/>
    <x v="0"/>
    <x v="1"/>
    <x v="1"/>
    <n v="25.123874870710715"/>
    <b v="0"/>
    <s v="MD_04"/>
    <x v="0"/>
  </r>
  <r>
    <x v="2380"/>
    <x v="188"/>
    <x v="3"/>
    <x v="3"/>
    <x v="0"/>
    <n v="3.4391120765091454"/>
    <b v="0"/>
    <s v="MD_12"/>
    <x v="1"/>
  </r>
  <r>
    <x v="2381"/>
    <x v="219"/>
    <x v="0"/>
    <x v="1"/>
    <x v="0"/>
    <n v="34.852536129699089"/>
    <b v="0"/>
    <s v="MD_02"/>
    <x v="0"/>
  </r>
  <r>
    <x v="2382"/>
    <x v="701"/>
    <x v="1"/>
    <x v="1"/>
    <x v="1"/>
    <n v="2.0300509163143996"/>
    <b v="0"/>
    <s v="MD_06"/>
    <x v="1"/>
  </r>
  <r>
    <x v="2383"/>
    <x v="317"/>
    <x v="2"/>
    <x v="1"/>
    <x v="0"/>
    <n v="4.7246319812244408"/>
    <b v="0"/>
    <s v="MD_17"/>
    <x v="1"/>
  </r>
  <r>
    <x v="2384"/>
    <x v="310"/>
    <x v="3"/>
    <x v="3"/>
    <x v="0"/>
    <n v="7.3528142440187914"/>
    <b v="0"/>
    <s v="MD_18"/>
    <x v="1"/>
  </r>
  <r>
    <x v="2385"/>
    <x v="284"/>
    <x v="1"/>
    <x v="0"/>
    <x v="0"/>
    <n v="8.0055787442815554"/>
    <b v="0"/>
    <s v="MD_05"/>
    <x v="1"/>
  </r>
  <r>
    <x v="2386"/>
    <x v="86"/>
    <x v="0"/>
    <x v="3"/>
    <x v="0"/>
    <n v="20.755970462815004"/>
    <b v="0"/>
    <s v="MD_02"/>
    <x v="0"/>
  </r>
  <r>
    <x v="2387"/>
    <x v="702"/>
    <x v="2"/>
    <x v="4"/>
    <x v="0"/>
    <n v="1.5212619051799807"/>
    <b v="0"/>
    <s v="MD_04"/>
    <x v="1"/>
  </r>
  <r>
    <x v="2388"/>
    <x v="211"/>
    <x v="2"/>
    <x v="0"/>
    <x v="0"/>
    <n v="8.9639950879274757"/>
    <b v="0"/>
    <s v="MD_08"/>
    <x v="1"/>
  </r>
  <r>
    <x v="2389"/>
    <x v="426"/>
    <x v="1"/>
    <x v="2"/>
    <x v="1"/>
    <n v="28.647934772182271"/>
    <b v="0"/>
    <s v="MD_01"/>
    <x v="0"/>
  </r>
  <r>
    <x v="2390"/>
    <x v="165"/>
    <x v="3"/>
    <x v="3"/>
    <x v="0"/>
    <n v="5.1161914408128952"/>
    <b v="0"/>
    <s v="MD_01"/>
    <x v="1"/>
  </r>
  <r>
    <x v="2391"/>
    <x v="1"/>
    <x v="1"/>
    <x v="0"/>
    <x v="0"/>
    <n v="5.3913471290067179"/>
    <b v="0"/>
    <s v="MD_11"/>
    <x v="1"/>
  </r>
  <r>
    <x v="2392"/>
    <x v="646"/>
    <x v="1"/>
    <x v="2"/>
    <x v="1"/>
    <n v="26.985184878674438"/>
    <b v="1"/>
    <s v="MD_09"/>
    <x v="0"/>
  </r>
  <r>
    <x v="2393"/>
    <x v="199"/>
    <x v="2"/>
    <x v="0"/>
    <x v="0"/>
    <n v="5.927256297855533"/>
    <b v="0"/>
    <s v="MD_04"/>
    <x v="1"/>
  </r>
  <r>
    <x v="2394"/>
    <x v="37"/>
    <x v="3"/>
    <x v="2"/>
    <x v="1"/>
    <n v="24.609958755527455"/>
    <b v="0"/>
    <s v="MD_05"/>
    <x v="0"/>
  </r>
  <r>
    <x v="2395"/>
    <x v="351"/>
    <x v="3"/>
    <x v="2"/>
    <x v="0"/>
    <n v="3.3210917101631061"/>
    <b v="0"/>
    <s v="MD_12"/>
    <x v="1"/>
  </r>
  <r>
    <x v="2396"/>
    <x v="30"/>
    <x v="3"/>
    <x v="1"/>
    <x v="0"/>
    <n v="4.0466700652069445"/>
    <b v="0"/>
    <s v="MD_11"/>
    <x v="1"/>
  </r>
  <r>
    <x v="2397"/>
    <x v="10"/>
    <x v="3"/>
    <x v="1"/>
    <x v="1"/>
    <n v="7.1656222052303615"/>
    <b v="0"/>
    <s v="MD_18"/>
    <x v="1"/>
  </r>
  <r>
    <x v="2398"/>
    <x v="173"/>
    <x v="2"/>
    <x v="4"/>
    <x v="0"/>
    <n v="20.020472318275761"/>
    <b v="0"/>
    <s v="MD_15"/>
    <x v="0"/>
  </r>
  <r>
    <x v="2399"/>
    <x v="201"/>
    <x v="3"/>
    <x v="4"/>
    <x v="1"/>
    <n v="8.1153611465692475"/>
    <b v="0"/>
    <s v="MD_11"/>
    <x v="1"/>
  </r>
  <r>
    <x v="2400"/>
    <x v="394"/>
    <x v="2"/>
    <x v="2"/>
    <x v="1"/>
    <n v="8.9318743862465073"/>
    <b v="0"/>
    <s v="MD_10"/>
    <x v="0"/>
  </r>
  <r>
    <x v="2401"/>
    <x v="686"/>
    <x v="1"/>
    <x v="4"/>
    <x v="0"/>
    <n v="7.57497645998781"/>
    <b v="0"/>
    <s v="MD_10"/>
    <x v="1"/>
  </r>
  <r>
    <x v="2402"/>
    <x v="43"/>
    <x v="1"/>
    <x v="4"/>
    <x v="1"/>
    <n v="26.025941410233081"/>
    <b v="0"/>
    <s v="MD_19"/>
    <x v="0"/>
  </r>
  <r>
    <x v="2403"/>
    <x v="549"/>
    <x v="0"/>
    <x v="4"/>
    <x v="0"/>
    <n v="5.4186554163855689"/>
    <b v="0"/>
    <s v="MD_05"/>
    <x v="1"/>
  </r>
  <r>
    <x v="2404"/>
    <x v="656"/>
    <x v="1"/>
    <x v="3"/>
    <x v="0"/>
    <n v="6.0035739436305784"/>
    <b v="0"/>
    <s v="MD_19"/>
    <x v="1"/>
  </r>
  <r>
    <x v="2405"/>
    <x v="155"/>
    <x v="1"/>
    <x v="1"/>
    <x v="0"/>
    <n v="7.4515840685734513"/>
    <b v="0"/>
    <s v="MD_09"/>
    <x v="1"/>
  </r>
  <r>
    <x v="2406"/>
    <x v="347"/>
    <x v="0"/>
    <x v="4"/>
    <x v="0"/>
    <n v="7.096432282493744"/>
    <b v="0"/>
    <s v="MD_16"/>
    <x v="1"/>
  </r>
  <r>
    <x v="2407"/>
    <x v="186"/>
    <x v="3"/>
    <x v="0"/>
    <x v="0"/>
    <n v="7.9640782853867949"/>
    <b v="0"/>
    <s v="MD_08"/>
    <x v="1"/>
  </r>
  <r>
    <x v="2408"/>
    <x v="683"/>
    <x v="0"/>
    <x v="3"/>
    <x v="0"/>
    <n v="4.7708649237798166"/>
    <b v="0"/>
    <s v="MD_02"/>
    <x v="1"/>
  </r>
  <r>
    <x v="2409"/>
    <x v="554"/>
    <x v="1"/>
    <x v="2"/>
    <x v="1"/>
    <n v="11.80404171727405"/>
    <b v="0"/>
    <s v="MD_06"/>
    <x v="0"/>
  </r>
  <r>
    <x v="2410"/>
    <x v="642"/>
    <x v="3"/>
    <x v="0"/>
    <x v="0"/>
    <n v="4.7817411336808657"/>
    <b v="0"/>
    <s v="MD_10"/>
    <x v="1"/>
  </r>
  <r>
    <x v="2411"/>
    <x v="622"/>
    <x v="2"/>
    <x v="3"/>
    <x v="0"/>
    <n v="4.1722859820104592"/>
    <b v="0"/>
    <s v="MD_04"/>
    <x v="1"/>
  </r>
  <r>
    <x v="2412"/>
    <x v="416"/>
    <x v="2"/>
    <x v="0"/>
    <x v="1"/>
    <n v="33.070181446564675"/>
    <b v="0"/>
    <s v="MD_03"/>
    <x v="0"/>
  </r>
  <r>
    <x v="2413"/>
    <x v="532"/>
    <x v="0"/>
    <x v="3"/>
    <x v="0"/>
    <n v="3.9789196529263502"/>
    <b v="0"/>
    <s v="MD_05"/>
    <x v="1"/>
  </r>
  <r>
    <x v="2414"/>
    <x v="5"/>
    <x v="2"/>
    <x v="4"/>
    <x v="0"/>
    <n v="30.265717246675642"/>
    <b v="0"/>
    <s v="MD_11"/>
    <x v="0"/>
  </r>
  <r>
    <x v="2415"/>
    <x v="336"/>
    <x v="1"/>
    <x v="1"/>
    <x v="0"/>
    <n v="2.7200127983869153"/>
    <b v="0"/>
    <s v="MD_20"/>
    <x v="1"/>
  </r>
  <r>
    <x v="2416"/>
    <x v="666"/>
    <x v="0"/>
    <x v="0"/>
    <x v="0"/>
    <n v="3.8848449579578332"/>
    <b v="0"/>
    <s v="MD_11"/>
    <x v="1"/>
  </r>
  <r>
    <x v="2417"/>
    <x v="567"/>
    <x v="2"/>
    <x v="2"/>
    <x v="1"/>
    <n v="13.790005410731174"/>
    <b v="0"/>
    <s v="MD_17"/>
    <x v="0"/>
  </r>
  <r>
    <x v="2418"/>
    <x v="662"/>
    <x v="2"/>
    <x v="3"/>
    <x v="0"/>
    <n v="7.7669790016468188"/>
    <b v="0"/>
    <s v="MD_14"/>
    <x v="1"/>
  </r>
  <r>
    <x v="2419"/>
    <x v="253"/>
    <x v="3"/>
    <x v="4"/>
    <x v="1"/>
    <n v="27.728835158845136"/>
    <b v="0"/>
    <s v="MD_17"/>
    <x v="0"/>
  </r>
  <r>
    <x v="2420"/>
    <x v="191"/>
    <x v="1"/>
    <x v="0"/>
    <x v="0"/>
    <n v="2.5341154191918296"/>
    <b v="0"/>
    <s v="MD_14"/>
    <x v="1"/>
  </r>
  <r>
    <x v="2421"/>
    <x v="167"/>
    <x v="1"/>
    <x v="4"/>
    <x v="0"/>
    <n v="25.278564951512472"/>
    <b v="0"/>
    <s v="MD_14"/>
    <x v="0"/>
  </r>
  <r>
    <x v="2422"/>
    <x v="562"/>
    <x v="0"/>
    <x v="1"/>
    <x v="0"/>
    <n v="3.0068907186503466"/>
    <b v="0"/>
    <s v="MD_15"/>
    <x v="1"/>
  </r>
  <r>
    <x v="2423"/>
    <x v="676"/>
    <x v="1"/>
    <x v="3"/>
    <x v="0"/>
    <n v="6.0795022343765757"/>
    <b v="0"/>
    <s v="MD_12"/>
    <x v="1"/>
  </r>
  <r>
    <x v="2424"/>
    <x v="184"/>
    <x v="1"/>
    <x v="0"/>
    <x v="0"/>
    <n v="4.073245910990992"/>
    <b v="0"/>
    <s v="MD_09"/>
    <x v="1"/>
  </r>
  <r>
    <x v="2425"/>
    <x v="556"/>
    <x v="1"/>
    <x v="0"/>
    <x v="1"/>
    <n v="5.3563674653602691"/>
    <b v="0"/>
    <s v="MD_09"/>
    <x v="1"/>
  </r>
  <r>
    <x v="2426"/>
    <x v="282"/>
    <x v="3"/>
    <x v="1"/>
    <x v="1"/>
    <n v="10.841535092780555"/>
    <b v="0"/>
    <s v="MD_02"/>
    <x v="0"/>
  </r>
  <r>
    <x v="2427"/>
    <x v="348"/>
    <x v="1"/>
    <x v="2"/>
    <x v="0"/>
    <n v="2.8023619650384002"/>
    <b v="0"/>
    <s v="MD_19"/>
    <x v="2"/>
  </r>
  <r>
    <x v="2428"/>
    <x v="260"/>
    <x v="1"/>
    <x v="2"/>
    <x v="1"/>
    <n v="18.583097583696976"/>
    <b v="0"/>
    <s v="MD_01"/>
    <x v="0"/>
  </r>
  <r>
    <x v="2429"/>
    <x v="175"/>
    <x v="3"/>
    <x v="3"/>
    <x v="1"/>
    <n v="30.588370220928635"/>
    <b v="0"/>
    <s v="MD_20"/>
    <x v="0"/>
  </r>
  <r>
    <x v="2430"/>
    <x v="249"/>
    <x v="2"/>
    <x v="4"/>
    <x v="0"/>
    <n v="4.0739462395968919"/>
    <b v="0"/>
    <s v="MD_10"/>
    <x v="1"/>
  </r>
  <r>
    <x v="2431"/>
    <x v="352"/>
    <x v="0"/>
    <x v="4"/>
    <x v="1"/>
    <n v="3.9224533994986284"/>
    <b v="0"/>
    <s v="MD_01"/>
    <x v="1"/>
  </r>
  <r>
    <x v="2432"/>
    <x v="257"/>
    <x v="1"/>
    <x v="0"/>
    <x v="0"/>
    <n v="6.529382092478885"/>
    <b v="0"/>
    <s v="MD_09"/>
    <x v="1"/>
  </r>
  <r>
    <x v="2433"/>
    <x v="69"/>
    <x v="0"/>
    <x v="4"/>
    <x v="1"/>
    <n v="31.578115125050246"/>
    <b v="0"/>
    <s v="MD_06"/>
    <x v="0"/>
  </r>
  <r>
    <x v="2434"/>
    <x v="21"/>
    <x v="3"/>
    <x v="3"/>
    <x v="0"/>
    <n v="1.8248749267842488"/>
    <b v="0"/>
    <s v="MD_11"/>
    <x v="1"/>
  </r>
  <r>
    <x v="2435"/>
    <x v="29"/>
    <x v="3"/>
    <x v="2"/>
    <x v="0"/>
    <n v="7.3151205901828744"/>
    <b v="0"/>
    <s v="MD_07"/>
    <x v="2"/>
  </r>
  <r>
    <x v="2436"/>
    <x v="133"/>
    <x v="0"/>
    <x v="2"/>
    <x v="0"/>
    <n v="6.8508815181246216"/>
    <b v="0"/>
    <s v="MD_02"/>
    <x v="1"/>
  </r>
  <r>
    <x v="2437"/>
    <x v="42"/>
    <x v="2"/>
    <x v="2"/>
    <x v="1"/>
    <n v="9.1216127788392001"/>
    <b v="1"/>
    <s v="MD_13"/>
    <x v="1"/>
  </r>
  <r>
    <x v="2438"/>
    <x v="100"/>
    <x v="3"/>
    <x v="1"/>
    <x v="1"/>
    <n v="10.402162212710186"/>
    <b v="0"/>
    <s v="MD_01"/>
    <x v="0"/>
  </r>
  <r>
    <x v="2439"/>
    <x v="46"/>
    <x v="0"/>
    <x v="1"/>
    <x v="1"/>
    <n v="30.820137035245462"/>
    <b v="0"/>
    <s v="MD_03"/>
    <x v="0"/>
  </r>
  <r>
    <x v="2440"/>
    <x v="508"/>
    <x v="3"/>
    <x v="0"/>
    <x v="0"/>
    <n v="8.5967938834326496"/>
    <b v="0"/>
    <s v="MD_07"/>
    <x v="1"/>
  </r>
  <r>
    <x v="2441"/>
    <x v="409"/>
    <x v="2"/>
    <x v="1"/>
    <x v="1"/>
    <n v="15.255777510127249"/>
    <b v="0"/>
    <s v="MD_04"/>
    <x v="0"/>
  </r>
  <r>
    <x v="2442"/>
    <x v="297"/>
    <x v="2"/>
    <x v="1"/>
    <x v="1"/>
    <n v="3.3347289451650326"/>
    <b v="0"/>
    <s v="MD_02"/>
    <x v="2"/>
  </r>
  <r>
    <x v="2443"/>
    <x v="502"/>
    <x v="1"/>
    <x v="2"/>
    <x v="1"/>
    <n v="15.989514524553112"/>
    <b v="0"/>
    <s v="MD_19"/>
    <x v="0"/>
  </r>
  <r>
    <x v="2444"/>
    <x v="219"/>
    <x v="0"/>
    <x v="3"/>
    <x v="0"/>
    <n v="5.6066721710205973"/>
    <b v="0"/>
    <s v="MD_18"/>
    <x v="1"/>
  </r>
  <r>
    <x v="2445"/>
    <x v="482"/>
    <x v="1"/>
    <x v="0"/>
    <x v="1"/>
    <n v="15.971872312994401"/>
    <b v="0"/>
    <s v="MD_11"/>
    <x v="0"/>
  </r>
  <r>
    <x v="2446"/>
    <x v="575"/>
    <x v="1"/>
    <x v="0"/>
    <x v="0"/>
    <n v="3.5659216218088012"/>
    <b v="0"/>
    <s v="MD_10"/>
    <x v="1"/>
  </r>
  <r>
    <x v="2447"/>
    <x v="629"/>
    <x v="2"/>
    <x v="1"/>
    <x v="1"/>
    <n v="31.08532572423978"/>
    <b v="0"/>
    <s v="MD_02"/>
    <x v="0"/>
  </r>
  <r>
    <x v="2448"/>
    <x v="601"/>
    <x v="1"/>
    <x v="2"/>
    <x v="0"/>
    <n v="6.6436053870459553"/>
    <b v="0"/>
    <s v="MD_11"/>
    <x v="2"/>
  </r>
  <r>
    <x v="2449"/>
    <x v="131"/>
    <x v="1"/>
    <x v="1"/>
    <x v="0"/>
    <n v="8.2399797344127563"/>
    <b v="0"/>
    <s v="MD_14"/>
    <x v="1"/>
  </r>
  <r>
    <x v="2450"/>
    <x v="189"/>
    <x v="0"/>
    <x v="3"/>
    <x v="0"/>
    <n v="3.7869184866265186"/>
    <b v="0"/>
    <s v="MD_11"/>
    <x v="1"/>
  </r>
  <r>
    <x v="2451"/>
    <x v="558"/>
    <x v="0"/>
    <x v="0"/>
    <x v="0"/>
    <n v="4.1825265384128381"/>
    <b v="0"/>
    <s v="MD_19"/>
    <x v="1"/>
  </r>
  <r>
    <x v="2452"/>
    <x v="127"/>
    <x v="2"/>
    <x v="3"/>
    <x v="1"/>
    <n v="26.539919845354106"/>
    <b v="0"/>
    <s v="MD_05"/>
    <x v="0"/>
  </r>
  <r>
    <x v="2453"/>
    <x v="82"/>
    <x v="2"/>
    <x v="3"/>
    <x v="1"/>
    <n v="35.369608476598664"/>
    <b v="0"/>
    <s v="MD_02"/>
    <x v="0"/>
  </r>
  <r>
    <x v="2454"/>
    <x v="175"/>
    <x v="0"/>
    <x v="2"/>
    <x v="1"/>
    <n v="23.922458333698401"/>
    <b v="0"/>
    <s v="MD_18"/>
    <x v="0"/>
  </r>
  <r>
    <x v="2455"/>
    <x v="450"/>
    <x v="1"/>
    <x v="2"/>
    <x v="0"/>
    <n v="10.933304572440079"/>
    <b v="0"/>
    <s v="MD_14"/>
    <x v="1"/>
  </r>
  <r>
    <x v="2456"/>
    <x v="414"/>
    <x v="2"/>
    <x v="4"/>
    <x v="1"/>
    <n v="44.080804882309074"/>
    <b v="0"/>
    <s v="MD_10"/>
    <x v="0"/>
  </r>
  <r>
    <x v="2457"/>
    <x v="703"/>
    <x v="2"/>
    <x v="4"/>
    <x v="0"/>
    <n v="4.9884456106551749"/>
    <b v="0"/>
    <s v="MD_09"/>
    <x v="1"/>
  </r>
  <r>
    <x v="2458"/>
    <x v="411"/>
    <x v="0"/>
    <x v="2"/>
    <x v="0"/>
    <n v="7.4013042898883388"/>
    <b v="0"/>
    <s v="MD_13"/>
    <x v="1"/>
  </r>
  <r>
    <x v="2459"/>
    <x v="412"/>
    <x v="3"/>
    <x v="0"/>
    <x v="0"/>
    <n v="6.7554765798440375"/>
    <b v="0"/>
    <s v="MD_02"/>
    <x v="1"/>
  </r>
  <r>
    <x v="2460"/>
    <x v="346"/>
    <x v="3"/>
    <x v="0"/>
    <x v="0"/>
    <n v="26.273886723814101"/>
    <b v="0"/>
    <s v="MD_15"/>
    <x v="0"/>
  </r>
  <r>
    <x v="2461"/>
    <x v="421"/>
    <x v="0"/>
    <x v="1"/>
    <x v="1"/>
    <n v="15.169901897374913"/>
    <b v="0"/>
    <s v="MD_11"/>
    <x v="0"/>
  </r>
  <r>
    <x v="2462"/>
    <x v="611"/>
    <x v="0"/>
    <x v="0"/>
    <x v="0"/>
    <n v="9.8005272419292275"/>
    <b v="0"/>
    <s v="MD_14"/>
    <x v="1"/>
  </r>
  <r>
    <x v="2463"/>
    <x v="704"/>
    <x v="2"/>
    <x v="3"/>
    <x v="1"/>
    <n v="36.437139582443045"/>
    <b v="0"/>
    <s v="MD_19"/>
    <x v="0"/>
  </r>
  <r>
    <x v="2464"/>
    <x v="559"/>
    <x v="0"/>
    <x v="0"/>
    <x v="0"/>
    <n v="6.6990235693095208"/>
    <b v="0"/>
    <s v="MD_09"/>
    <x v="1"/>
  </r>
  <r>
    <x v="2465"/>
    <x v="63"/>
    <x v="2"/>
    <x v="3"/>
    <x v="0"/>
    <n v="4.3697924013448555"/>
    <b v="0"/>
    <s v="MD_09"/>
    <x v="1"/>
  </r>
  <r>
    <x v="2466"/>
    <x v="50"/>
    <x v="3"/>
    <x v="3"/>
    <x v="0"/>
    <n v="3.4185258568497914"/>
    <b v="0"/>
    <s v="MD_14"/>
    <x v="1"/>
  </r>
  <r>
    <x v="2467"/>
    <x v="519"/>
    <x v="3"/>
    <x v="3"/>
    <x v="1"/>
    <n v="7.6284917290313139"/>
    <b v="0"/>
    <s v="MD_10"/>
    <x v="0"/>
  </r>
  <r>
    <x v="2468"/>
    <x v="562"/>
    <x v="2"/>
    <x v="1"/>
    <x v="1"/>
    <n v="5.3119586200352522"/>
    <b v="0"/>
    <s v="MD_15"/>
    <x v="1"/>
  </r>
  <r>
    <x v="2469"/>
    <x v="705"/>
    <x v="3"/>
    <x v="1"/>
    <x v="1"/>
    <n v="7.4737126174463686"/>
    <b v="0"/>
    <s v="MD_02"/>
    <x v="1"/>
  </r>
  <r>
    <x v="2470"/>
    <x v="706"/>
    <x v="3"/>
    <x v="0"/>
    <x v="1"/>
    <n v="13.157774310801303"/>
    <b v="0"/>
    <s v="MD_14"/>
    <x v="0"/>
  </r>
  <r>
    <x v="2471"/>
    <x v="562"/>
    <x v="3"/>
    <x v="4"/>
    <x v="0"/>
    <n v="5.6862986872258237"/>
    <b v="0"/>
    <s v="MD_16"/>
    <x v="1"/>
  </r>
  <r>
    <x v="2472"/>
    <x v="78"/>
    <x v="3"/>
    <x v="1"/>
    <x v="1"/>
    <n v="5.4903147452637189"/>
    <b v="0"/>
    <s v="MD_03"/>
    <x v="1"/>
  </r>
  <r>
    <x v="2473"/>
    <x v="589"/>
    <x v="0"/>
    <x v="4"/>
    <x v="0"/>
    <n v="6.7991853581966026"/>
    <b v="0"/>
    <s v="MD_08"/>
    <x v="1"/>
  </r>
  <r>
    <x v="2474"/>
    <x v="525"/>
    <x v="0"/>
    <x v="4"/>
    <x v="0"/>
    <n v="7.8119815458237145"/>
    <b v="0"/>
    <s v="MD_20"/>
    <x v="1"/>
  </r>
  <r>
    <x v="2475"/>
    <x v="58"/>
    <x v="0"/>
    <x v="1"/>
    <x v="0"/>
    <n v="6.7203005149836379"/>
    <b v="0"/>
    <s v="MD_15"/>
    <x v="2"/>
  </r>
  <r>
    <x v="2476"/>
    <x v="334"/>
    <x v="0"/>
    <x v="4"/>
    <x v="1"/>
    <n v="29.485871888741382"/>
    <b v="0"/>
    <s v="MD_12"/>
    <x v="0"/>
  </r>
  <r>
    <x v="2477"/>
    <x v="665"/>
    <x v="0"/>
    <x v="3"/>
    <x v="0"/>
    <n v="9.0603717051585413"/>
    <b v="0"/>
    <s v="MD_08"/>
    <x v="1"/>
  </r>
  <r>
    <x v="2478"/>
    <x v="118"/>
    <x v="3"/>
    <x v="1"/>
    <x v="1"/>
    <n v="29.989265136080721"/>
    <b v="0"/>
    <s v="MD_14"/>
    <x v="0"/>
  </r>
  <r>
    <x v="2479"/>
    <x v="106"/>
    <x v="2"/>
    <x v="4"/>
    <x v="0"/>
    <n v="2.8588206640360201"/>
    <b v="0"/>
    <s v="MD_11"/>
    <x v="1"/>
  </r>
  <r>
    <x v="2480"/>
    <x v="449"/>
    <x v="0"/>
    <x v="3"/>
    <x v="0"/>
    <n v="7.0758216765635353"/>
    <b v="0"/>
    <s v="MD_03"/>
    <x v="1"/>
  </r>
  <r>
    <x v="2481"/>
    <x v="575"/>
    <x v="2"/>
    <x v="4"/>
    <x v="0"/>
    <n v="3.986527781541223"/>
    <b v="0"/>
    <s v="MD_18"/>
    <x v="1"/>
  </r>
  <r>
    <x v="2482"/>
    <x v="324"/>
    <x v="0"/>
    <x v="0"/>
    <x v="0"/>
    <n v="6.0523287472041316"/>
    <b v="0"/>
    <s v="MD_08"/>
    <x v="1"/>
  </r>
  <r>
    <x v="2483"/>
    <x v="497"/>
    <x v="3"/>
    <x v="0"/>
    <x v="0"/>
    <n v="4.755587518343928"/>
    <b v="0"/>
    <s v="MD_14"/>
    <x v="1"/>
  </r>
  <r>
    <x v="2484"/>
    <x v="310"/>
    <x v="3"/>
    <x v="4"/>
    <x v="0"/>
    <n v="7.0337045173170551"/>
    <b v="0"/>
    <s v="MD_07"/>
    <x v="1"/>
  </r>
  <r>
    <x v="2485"/>
    <x v="627"/>
    <x v="3"/>
    <x v="3"/>
    <x v="1"/>
    <n v="30.84114777740918"/>
    <b v="0"/>
    <s v="MD_11"/>
    <x v="0"/>
  </r>
  <r>
    <x v="2486"/>
    <x v="605"/>
    <x v="3"/>
    <x v="1"/>
    <x v="0"/>
    <n v="24.533061270653274"/>
    <b v="0"/>
    <s v="MD_08"/>
    <x v="0"/>
  </r>
  <r>
    <x v="2487"/>
    <x v="360"/>
    <x v="3"/>
    <x v="2"/>
    <x v="0"/>
    <n v="21.543619793049679"/>
    <b v="0"/>
    <s v="MD_16"/>
    <x v="0"/>
  </r>
  <r>
    <x v="2488"/>
    <x v="280"/>
    <x v="3"/>
    <x v="1"/>
    <x v="0"/>
    <n v="4.1696298445624258"/>
    <b v="0"/>
    <s v="MD_12"/>
    <x v="1"/>
  </r>
  <r>
    <x v="2489"/>
    <x v="588"/>
    <x v="0"/>
    <x v="1"/>
    <x v="0"/>
    <n v="19.925088909221746"/>
    <b v="0"/>
    <s v="MD_15"/>
    <x v="0"/>
  </r>
  <r>
    <x v="2490"/>
    <x v="501"/>
    <x v="1"/>
    <x v="2"/>
    <x v="0"/>
    <n v="20.898731142722735"/>
    <b v="0"/>
    <s v="MD_06"/>
    <x v="0"/>
  </r>
  <r>
    <x v="2491"/>
    <x v="698"/>
    <x v="0"/>
    <x v="2"/>
    <x v="1"/>
    <n v="28.485755996572948"/>
    <b v="0"/>
    <s v="MD_04"/>
    <x v="0"/>
  </r>
  <r>
    <x v="2492"/>
    <x v="301"/>
    <x v="2"/>
    <x v="4"/>
    <x v="1"/>
    <n v="33.751005879538724"/>
    <b v="1"/>
    <s v="MD_01"/>
    <x v="0"/>
  </r>
  <r>
    <x v="2493"/>
    <x v="557"/>
    <x v="1"/>
    <x v="0"/>
    <x v="0"/>
    <n v="8.6357263850727826"/>
    <b v="0"/>
    <s v="MD_16"/>
    <x v="1"/>
  </r>
  <r>
    <x v="2494"/>
    <x v="131"/>
    <x v="2"/>
    <x v="4"/>
    <x v="1"/>
    <n v="15.954688198157029"/>
    <b v="0"/>
    <s v="MD_04"/>
    <x v="0"/>
  </r>
  <r>
    <x v="2495"/>
    <x v="473"/>
    <x v="0"/>
    <x v="4"/>
    <x v="0"/>
    <n v="19.501417283882624"/>
    <b v="0"/>
    <s v="MD_19"/>
    <x v="0"/>
  </r>
  <r>
    <x v="2496"/>
    <x v="68"/>
    <x v="2"/>
    <x v="4"/>
    <x v="0"/>
    <n v="4.0992717983419151"/>
    <b v="0"/>
    <s v="MD_01"/>
    <x v="1"/>
  </r>
  <r>
    <x v="2497"/>
    <x v="616"/>
    <x v="3"/>
    <x v="0"/>
    <x v="1"/>
    <n v="27.789360867444444"/>
    <b v="0"/>
    <s v="MD_07"/>
    <x v="0"/>
  </r>
  <r>
    <x v="2498"/>
    <x v="375"/>
    <x v="3"/>
    <x v="3"/>
    <x v="0"/>
    <n v="8.4093965011083416"/>
    <b v="0"/>
    <s v="MD_19"/>
    <x v="1"/>
  </r>
  <r>
    <x v="2499"/>
    <x v="90"/>
    <x v="2"/>
    <x v="3"/>
    <x v="1"/>
    <n v="1.7614746108023951"/>
    <b v="0"/>
    <s v="MD_08"/>
    <x v="0"/>
  </r>
  <r>
    <x v="2500"/>
    <x v="184"/>
    <x v="2"/>
    <x v="4"/>
    <x v="0"/>
    <n v="7.7630378153319004"/>
    <b v="0"/>
    <s v="MD_04"/>
    <x v="1"/>
  </r>
  <r>
    <x v="2501"/>
    <x v="12"/>
    <x v="0"/>
    <x v="0"/>
    <x v="0"/>
    <n v="19.484323143101459"/>
    <b v="0"/>
    <s v="MD_12"/>
    <x v="0"/>
  </r>
  <r>
    <x v="2502"/>
    <x v="155"/>
    <x v="0"/>
    <x v="1"/>
    <x v="0"/>
    <n v="15.165108080178163"/>
    <b v="0"/>
    <s v="MD_06"/>
    <x v="0"/>
  </r>
  <r>
    <x v="2503"/>
    <x v="308"/>
    <x v="1"/>
    <x v="2"/>
    <x v="0"/>
    <n v="6.730201491063271"/>
    <b v="0"/>
    <s v="MD_03"/>
    <x v="1"/>
  </r>
  <r>
    <x v="2504"/>
    <x v="288"/>
    <x v="2"/>
    <x v="3"/>
    <x v="0"/>
    <n v="6.3755428310422824"/>
    <b v="0"/>
    <s v="MD_13"/>
    <x v="1"/>
  </r>
  <r>
    <x v="2505"/>
    <x v="667"/>
    <x v="1"/>
    <x v="2"/>
    <x v="1"/>
    <n v="7.0720209971803421"/>
    <b v="0"/>
    <s v="MD_20"/>
    <x v="1"/>
  </r>
  <r>
    <x v="2506"/>
    <x v="205"/>
    <x v="2"/>
    <x v="2"/>
    <x v="0"/>
    <n v="5.2935093092646186"/>
    <b v="0"/>
    <s v="MD_20"/>
    <x v="1"/>
  </r>
  <r>
    <x v="2507"/>
    <x v="285"/>
    <x v="0"/>
    <x v="3"/>
    <x v="0"/>
    <n v="15.261841887092798"/>
    <b v="0"/>
    <s v="MD_07"/>
    <x v="0"/>
  </r>
  <r>
    <x v="2508"/>
    <x v="697"/>
    <x v="1"/>
    <x v="4"/>
    <x v="1"/>
    <n v="31.668603741406024"/>
    <b v="0"/>
    <s v="MD_07"/>
    <x v="0"/>
  </r>
  <r>
    <x v="2509"/>
    <x v="315"/>
    <x v="3"/>
    <x v="2"/>
    <x v="0"/>
    <n v="6.1156097626763337"/>
    <b v="0"/>
    <s v="MD_11"/>
    <x v="1"/>
  </r>
  <r>
    <x v="2510"/>
    <x v="200"/>
    <x v="2"/>
    <x v="1"/>
    <x v="0"/>
    <n v="23.689780211874883"/>
    <b v="0"/>
    <s v="MD_04"/>
    <x v="0"/>
  </r>
  <r>
    <x v="2511"/>
    <x v="4"/>
    <x v="2"/>
    <x v="1"/>
    <x v="1"/>
    <n v="5.1283899714004377"/>
    <b v="0"/>
    <s v="MD_08"/>
    <x v="1"/>
  </r>
  <r>
    <x v="2512"/>
    <x v="141"/>
    <x v="1"/>
    <x v="3"/>
    <x v="0"/>
    <n v="12.05603250253262"/>
    <b v="0"/>
    <s v="MD_06"/>
    <x v="0"/>
  </r>
  <r>
    <x v="2513"/>
    <x v="379"/>
    <x v="3"/>
    <x v="3"/>
    <x v="1"/>
    <n v="30.020528147873865"/>
    <b v="0"/>
    <s v="MD_02"/>
    <x v="0"/>
  </r>
  <r>
    <x v="2514"/>
    <x v="397"/>
    <x v="3"/>
    <x v="3"/>
    <x v="0"/>
    <n v="9.6192067856891157"/>
    <b v="0"/>
    <s v="MD_18"/>
    <x v="1"/>
  </r>
  <r>
    <x v="2515"/>
    <x v="390"/>
    <x v="2"/>
    <x v="4"/>
    <x v="1"/>
    <n v="18.874152057005432"/>
    <b v="0"/>
    <s v="MD_19"/>
    <x v="0"/>
  </r>
  <r>
    <x v="2516"/>
    <x v="565"/>
    <x v="0"/>
    <x v="2"/>
    <x v="1"/>
    <n v="21.813644474982478"/>
    <b v="0"/>
    <s v="MD_09"/>
    <x v="0"/>
  </r>
  <r>
    <x v="2517"/>
    <x v="39"/>
    <x v="0"/>
    <x v="1"/>
    <x v="0"/>
    <n v="6.0847481372063585"/>
    <b v="0"/>
    <s v="MD_01"/>
    <x v="1"/>
  </r>
  <r>
    <x v="2518"/>
    <x v="74"/>
    <x v="2"/>
    <x v="4"/>
    <x v="0"/>
    <n v="4.7572756126025579"/>
    <b v="0"/>
    <s v="MD_13"/>
    <x v="1"/>
  </r>
  <r>
    <x v="2519"/>
    <x v="641"/>
    <x v="0"/>
    <x v="2"/>
    <x v="0"/>
    <n v="23.408923579235413"/>
    <b v="0"/>
    <s v="MD_08"/>
    <x v="0"/>
  </r>
  <r>
    <x v="2520"/>
    <x v="264"/>
    <x v="3"/>
    <x v="0"/>
    <x v="1"/>
    <n v="5.5798923583209685"/>
    <b v="1"/>
    <s v="MD_19"/>
    <x v="1"/>
  </r>
  <r>
    <x v="2521"/>
    <x v="569"/>
    <x v="0"/>
    <x v="2"/>
    <x v="0"/>
    <n v="30.516710937105877"/>
    <b v="0"/>
    <s v="MD_08"/>
    <x v="0"/>
  </r>
  <r>
    <x v="2522"/>
    <x v="675"/>
    <x v="0"/>
    <x v="4"/>
    <x v="0"/>
    <n v="4.5120232389202686"/>
    <b v="0"/>
    <s v="MD_18"/>
    <x v="1"/>
  </r>
  <r>
    <x v="2523"/>
    <x v="465"/>
    <x v="1"/>
    <x v="1"/>
    <x v="0"/>
    <n v="6.5335956609395804"/>
    <b v="0"/>
    <s v="MD_10"/>
    <x v="1"/>
  </r>
  <r>
    <x v="2524"/>
    <x v="583"/>
    <x v="1"/>
    <x v="4"/>
    <x v="0"/>
    <n v="5.9271819959357526"/>
    <b v="0"/>
    <s v="MD_19"/>
    <x v="1"/>
  </r>
  <r>
    <x v="2525"/>
    <x v="579"/>
    <x v="2"/>
    <x v="4"/>
    <x v="1"/>
    <n v="15.168588733082711"/>
    <b v="0"/>
    <s v="MD_04"/>
    <x v="0"/>
  </r>
  <r>
    <x v="2526"/>
    <x v="53"/>
    <x v="1"/>
    <x v="0"/>
    <x v="0"/>
    <n v="4.5313790105247254"/>
    <b v="0"/>
    <s v="MD_17"/>
    <x v="1"/>
  </r>
  <r>
    <x v="2527"/>
    <x v="90"/>
    <x v="1"/>
    <x v="4"/>
    <x v="0"/>
    <n v="10.368478120085996"/>
    <b v="0"/>
    <s v="MD_20"/>
    <x v="1"/>
  </r>
  <r>
    <x v="2528"/>
    <x v="567"/>
    <x v="2"/>
    <x v="0"/>
    <x v="1"/>
    <n v="23.790401235963262"/>
    <b v="0"/>
    <s v="MD_02"/>
    <x v="0"/>
  </r>
  <r>
    <x v="2529"/>
    <x v="660"/>
    <x v="3"/>
    <x v="3"/>
    <x v="1"/>
    <n v="4.7207742686959335"/>
    <b v="0"/>
    <s v="MD_13"/>
    <x v="1"/>
  </r>
  <r>
    <x v="2530"/>
    <x v="707"/>
    <x v="2"/>
    <x v="0"/>
    <x v="1"/>
    <n v="10.218045398823167"/>
    <b v="0"/>
    <s v="MD_14"/>
    <x v="0"/>
  </r>
  <r>
    <x v="2531"/>
    <x v="60"/>
    <x v="2"/>
    <x v="4"/>
    <x v="0"/>
    <n v="7.068630779410876"/>
    <b v="0"/>
    <s v="MD_01"/>
    <x v="1"/>
  </r>
  <r>
    <x v="2532"/>
    <x v="319"/>
    <x v="3"/>
    <x v="4"/>
    <x v="0"/>
    <n v="6.070004758971888"/>
    <b v="0"/>
    <s v="MD_20"/>
    <x v="1"/>
  </r>
  <r>
    <x v="2533"/>
    <x v="426"/>
    <x v="1"/>
    <x v="0"/>
    <x v="1"/>
    <n v="17.914472124785632"/>
    <b v="0"/>
    <s v="MD_16"/>
    <x v="0"/>
  </r>
  <r>
    <x v="2534"/>
    <x v="54"/>
    <x v="3"/>
    <x v="4"/>
    <x v="0"/>
    <n v="6.8945269430403524"/>
    <b v="0"/>
    <s v="MD_10"/>
    <x v="2"/>
  </r>
  <r>
    <x v="2535"/>
    <x v="439"/>
    <x v="2"/>
    <x v="0"/>
    <x v="0"/>
    <n v="7.970361340379676"/>
    <b v="0"/>
    <s v="MD_07"/>
    <x v="1"/>
  </r>
  <r>
    <x v="2536"/>
    <x v="18"/>
    <x v="1"/>
    <x v="3"/>
    <x v="1"/>
    <n v="34.336589219491444"/>
    <b v="0"/>
    <s v="MD_08"/>
    <x v="0"/>
  </r>
  <r>
    <x v="2537"/>
    <x v="651"/>
    <x v="2"/>
    <x v="0"/>
    <x v="1"/>
    <n v="19.171612328844869"/>
    <b v="0"/>
    <s v="MD_11"/>
    <x v="0"/>
  </r>
  <r>
    <x v="2538"/>
    <x v="222"/>
    <x v="2"/>
    <x v="0"/>
    <x v="1"/>
    <n v="22.862555646020414"/>
    <b v="0"/>
    <s v="MD_13"/>
    <x v="0"/>
  </r>
  <r>
    <x v="2539"/>
    <x v="109"/>
    <x v="2"/>
    <x v="1"/>
    <x v="0"/>
    <n v="5.5438505698490674"/>
    <b v="0"/>
    <s v="MD_10"/>
    <x v="1"/>
  </r>
  <r>
    <x v="2540"/>
    <x v="409"/>
    <x v="3"/>
    <x v="0"/>
    <x v="1"/>
    <n v="23.560098440945193"/>
    <b v="0"/>
    <s v="MD_06"/>
    <x v="0"/>
  </r>
  <r>
    <x v="2541"/>
    <x v="432"/>
    <x v="1"/>
    <x v="0"/>
    <x v="0"/>
    <n v="8.5170360470230282"/>
    <b v="0"/>
    <s v="MD_03"/>
    <x v="1"/>
  </r>
  <r>
    <x v="2542"/>
    <x v="511"/>
    <x v="1"/>
    <x v="0"/>
    <x v="0"/>
    <n v="5.1802529443703209"/>
    <b v="0"/>
    <s v="MD_03"/>
    <x v="1"/>
  </r>
  <r>
    <x v="2543"/>
    <x v="559"/>
    <x v="0"/>
    <x v="1"/>
    <x v="0"/>
    <n v="28.876503209426275"/>
    <b v="0"/>
    <s v="MD_10"/>
    <x v="0"/>
  </r>
  <r>
    <x v="2544"/>
    <x v="620"/>
    <x v="3"/>
    <x v="3"/>
    <x v="0"/>
    <n v="4.1972101530962558"/>
    <b v="0"/>
    <s v="MD_19"/>
    <x v="1"/>
  </r>
  <r>
    <x v="2545"/>
    <x v="691"/>
    <x v="1"/>
    <x v="2"/>
    <x v="0"/>
    <n v="8.7202193882306425"/>
    <b v="0"/>
    <s v="MD_05"/>
    <x v="1"/>
  </r>
  <r>
    <x v="2546"/>
    <x v="154"/>
    <x v="2"/>
    <x v="1"/>
    <x v="1"/>
    <n v="8.2019623945347"/>
    <b v="0"/>
    <s v="MD_07"/>
    <x v="1"/>
  </r>
  <r>
    <x v="2547"/>
    <x v="708"/>
    <x v="2"/>
    <x v="2"/>
    <x v="1"/>
    <n v="13.657027482977778"/>
    <b v="0"/>
    <s v="MD_03"/>
    <x v="0"/>
  </r>
  <r>
    <x v="2548"/>
    <x v="31"/>
    <x v="3"/>
    <x v="3"/>
    <x v="1"/>
    <n v="23.589010494288338"/>
    <b v="0"/>
    <s v="MD_09"/>
    <x v="0"/>
  </r>
  <r>
    <x v="2549"/>
    <x v="92"/>
    <x v="3"/>
    <x v="0"/>
    <x v="0"/>
    <n v="4.5317376242188114"/>
    <b v="0"/>
    <s v="MD_12"/>
    <x v="1"/>
  </r>
  <r>
    <x v="2550"/>
    <x v="661"/>
    <x v="3"/>
    <x v="3"/>
    <x v="1"/>
    <n v="32.026344285161642"/>
    <b v="0"/>
    <s v="MD_04"/>
    <x v="0"/>
  </r>
  <r>
    <x v="2551"/>
    <x v="254"/>
    <x v="2"/>
    <x v="4"/>
    <x v="1"/>
    <n v="24.568319033463101"/>
    <b v="0"/>
    <s v="MD_17"/>
    <x v="0"/>
  </r>
  <r>
    <x v="2552"/>
    <x v="405"/>
    <x v="3"/>
    <x v="0"/>
    <x v="0"/>
    <n v="5.5709560026980904"/>
    <b v="0"/>
    <s v="MD_06"/>
    <x v="1"/>
  </r>
  <r>
    <x v="2553"/>
    <x v="515"/>
    <x v="0"/>
    <x v="3"/>
    <x v="0"/>
    <n v="6.5626739157429661"/>
    <b v="0"/>
    <s v="MD_02"/>
    <x v="1"/>
  </r>
  <r>
    <x v="2554"/>
    <x v="179"/>
    <x v="1"/>
    <x v="1"/>
    <x v="1"/>
    <n v="30.194740721093464"/>
    <b v="0"/>
    <s v="MD_16"/>
    <x v="0"/>
  </r>
  <r>
    <x v="2555"/>
    <x v="284"/>
    <x v="1"/>
    <x v="4"/>
    <x v="1"/>
    <n v="38.817386719492625"/>
    <b v="0"/>
    <s v="MD_15"/>
    <x v="0"/>
  </r>
  <r>
    <x v="2556"/>
    <x v="401"/>
    <x v="2"/>
    <x v="1"/>
    <x v="0"/>
    <n v="7.9281021198532544"/>
    <b v="0"/>
    <s v="MD_05"/>
    <x v="2"/>
  </r>
  <r>
    <x v="2557"/>
    <x v="180"/>
    <x v="2"/>
    <x v="4"/>
    <x v="1"/>
    <n v="32.51041697118719"/>
    <b v="0"/>
    <s v="MD_07"/>
    <x v="0"/>
  </r>
  <r>
    <x v="2558"/>
    <x v="481"/>
    <x v="1"/>
    <x v="0"/>
    <x v="1"/>
    <n v="32.82516143578956"/>
    <b v="0"/>
    <s v="MD_20"/>
    <x v="0"/>
  </r>
  <r>
    <x v="2559"/>
    <x v="680"/>
    <x v="2"/>
    <x v="1"/>
    <x v="1"/>
    <n v="22.434910202644346"/>
    <b v="0"/>
    <s v="MD_08"/>
    <x v="0"/>
  </r>
  <r>
    <x v="2560"/>
    <x v="36"/>
    <x v="1"/>
    <x v="1"/>
    <x v="0"/>
    <n v="15.743466649264215"/>
    <b v="0"/>
    <s v="MD_20"/>
    <x v="0"/>
  </r>
  <r>
    <x v="2561"/>
    <x v="402"/>
    <x v="0"/>
    <x v="3"/>
    <x v="0"/>
    <n v="5.3945393095503515"/>
    <b v="0"/>
    <s v="MD_05"/>
    <x v="1"/>
  </r>
  <r>
    <x v="2562"/>
    <x v="162"/>
    <x v="0"/>
    <x v="3"/>
    <x v="1"/>
    <n v="5.4850074208604367"/>
    <b v="0"/>
    <s v="MD_11"/>
    <x v="1"/>
  </r>
  <r>
    <x v="2563"/>
    <x v="258"/>
    <x v="0"/>
    <x v="1"/>
    <x v="0"/>
    <n v="8.7370211319010203"/>
    <b v="0"/>
    <s v="MD_17"/>
    <x v="1"/>
  </r>
  <r>
    <x v="2564"/>
    <x v="221"/>
    <x v="3"/>
    <x v="1"/>
    <x v="1"/>
    <n v="37.353861168684411"/>
    <b v="0"/>
    <s v="MD_11"/>
    <x v="0"/>
  </r>
  <r>
    <x v="2565"/>
    <x v="604"/>
    <x v="2"/>
    <x v="4"/>
    <x v="1"/>
    <n v="27.426243661873439"/>
    <b v="0"/>
    <s v="MD_06"/>
    <x v="0"/>
  </r>
  <r>
    <x v="2566"/>
    <x v="301"/>
    <x v="2"/>
    <x v="1"/>
    <x v="1"/>
    <n v="19.716071956337146"/>
    <b v="0"/>
    <s v="MD_06"/>
    <x v="0"/>
  </r>
  <r>
    <x v="2567"/>
    <x v="597"/>
    <x v="1"/>
    <x v="0"/>
    <x v="0"/>
    <n v="6.338316187044291"/>
    <b v="0"/>
    <s v="MD_11"/>
    <x v="1"/>
  </r>
  <r>
    <x v="2568"/>
    <x v="272"/>
    <x v="2"/>
    <x v="1"/>
    <x v="0"/>
    <n v="6.4749505320543896"/>
    <b v="0"/>
    <s v="MD_14"/>
    <x v="1"/>
  </r>
  <r>
    <x v="2569"/>
    <x v="135"/>
    <x v="2"/>
    <x v="1"/>
    <x v="0"/>
    <n v="5.989991543683729"/>
    <b v="0"/>
    <s v="MD_04"/>
    <x v="1"/>
  </r>
  <r>
    <x v="2570"/>
    <x v="220"/>
    <x v="1"/>
    <x v="2"/>
    <x v="0"/>
    <n v="6.4621665689140073"/>
    <b v="0"/>
    <s v="MD_18"/>
    <x v="1"/>
  </r>
  <r>
    <x v="2571"/>
    <x v="1"/>
    <x v="0"/>
    <x v="1"/>
    <x v="0"/>
    <n v="1.0360040824176053"/>
    <b v="0"/>
    <s v="MD_01"/>
    <x v="1"/>
  </r>
  <r>
    <x v="2572"/>
    <x v="255"/>
    <x v="3"/>
    <x v="2"/>
    <x v="1"/>
    <n v="31.735084072181646"/>
    <b v="0"/>
    <s v="MD_06"/>
    <x v="0"/>
  </r>
  <r>
    <x v="2573"/>
    <x v="632"/>
    <x v="0"/>
    <x v="4"/>
    <x v="0"/>
    <n v="4.1720331553809338"/>
    <b v="0"/>
    <s v="MD_11"/>
    <x v="2"/>
  </r>
  <r>
    <x v="2574"/>
    <x v="338"/>
    <x v="1"/>
    <x v="3"/>
    <x v="0"/>
    <n v="9.3307894660301471"/>
    <b v="0"/>
    <s v="MD_05"/>
    <x v="1"/>
  </r>
  <r>
    <x v="2575"/>
    <x v="534"/>
    <x v="0"/>
    <x v="3"/>
    <x v="1"/>
    <n v="3.2009137367716476"/>
    <b v="0"/>
    <s v="MD_05"/>
    <x v="2"/>
  </r>
  <r>
    <x v="2576"/>
    <x v="299"/>
    <x v="0"/>
    <x v="2"/>
    <x v="0"/>
    <n v="8.2405568677762595"/>
    <b v="0"/>
    <s v="MD_03"/>
    <x v="1"/>
  </r>
  <r>
    <x v="2577"/>
    <x v="532"/>
    <x v="2"/>
    <x v="1"/>
    <x v="0"/>
    <n v="18.495743833946754"/>
    <b v="0"/>
    <s v="MD_17"/>
    <x v="0"/>
  </r>
  <r>
    <x v="2578"/>
    <x v="550"/>
    <x v="2"/>
    <x v="0"/>
    <x v="1"/>
    <n v="16.909344839667991"/>
    <b v="0"/>
    <s v="MD_15"/>
    <x v="0"/>
  </r>
  <r>
    <x v="2579"/>
    <x v="219"/>
    <x v="0"/>
    <x v="3"/>
    <x v="0"/>
    <n v="27.66045923476797"/>
    <b v="0"/>
    <s v="MD_19"/>
    <x v="0"/>
  </r>
  <r>
    <x v="2580"/>
    <x v="478"/>
    <x v="0"/>
    <x v="4"/>
    <x v="1"/>
    <n v="24.563140934564778"/>
    <b v="0"/>
    <s v="MD_13"/>
    <x v="0"/>
  </r>
  <r>
    <x v="2581"/>
    <x v="275"/>
    <x v="2"/>
    <x v="4"/>
    <x v="1"/>
    <n v="22.625100091116501"/>
    <b v="0"/>
    <s v="MD_15"/>
    <x v="0"/>
  </r>
  <r>
    <x v="2582"/>
    <x v="555"/>
    <x v="2"/>
    <x v="2"/>
    <x v="0"/>
    <n v="7.7537604610796329"/>
    <b v="0"/>
    <s v="MD_18"/>
    <x v="1"/>
  </r>
  <r>
    <x v="2583"/>
    <x v="100"/>
    <x v="0"/>
    <x v="2"/>
    <x v="1"/>
    <n v="25.982181041705743"/>
    <b v="0"/>
    <s v="MD_15"/>
    <x v="0"/>
  </r>
  <r>
    <x v="2584"/>
    <x v="562"/>
    <x v="2"/>
    <x v="2"/>
    <x v="0"/>
    <n v="6.0011409837534551"/>
    <b v="0"/>
    <s v="MD_12"/>
    <x v="1"/>
  </r>
  <r>
    <x v="2585"/>
    <x v="362"/>
    <x v="1"/>
    <x v="4"/>
    <x v="1"/>
    <n v="39.459015562742401"/>
    <b v="0"/>
    <s v="MD_04"/>
    <x v="0"/>
  </r>
  <r>
    <x v="2586"/>
    <x v="293"/>
    <x v="0"/>
    <x v="4"/>
    <x v="0"/>
    <n v="7.9120226879276165"/>
    <b v="0"/>
    <s v="MD_08"/>
    <x v="1"/>
  </r>
  <r>
    <x v="2587"/>
    <x v="603"/>
    <x v="3"/>
    <x v="3"/>
    <x v="0"/>
    <n v="6.6337589864013964"/>
    <b v="0"/>
    <s v="MD_12"/>
    <x v="1"/>
  </r>
  <r>
    <x v="2588"/>
    <x v="216"/>
    <x v="1"/>
    <x v="1"/>
    <x v="1"/>
    <n v="18.774557992988015"/>
    <b v="0"/>
    <s v="MD_20"/>
    <x v="0"/>
  </r>
  <r>
    <x v="2589"/>
    <x v="405"/>
    <x v="1"/>
    <x v="0"/>
    <x v="0"/>
    <n v="15.234811721612049"/>
    <b v="0"/>
    <s v="MD_07"/>
    <x v="0"/>
  </r>
  <r>
    <x v="2590"/>
    <x v="641"/>
    <x v="2"/>
    <x v="4"/>
    <x v="0"/>
    <n v="7.8531863883043016"/>
    <b v="0"/>
    <s v="MD_06"/>
    <x v="1"/>
  </r>
  <r>
    <x v="2591"/>
    <x v="126"/>
    <x v="3"/>
    <x v="0"/>
    <x v="0"/>
    <n v="6.3811880785952502"/>
    <b v="0"/>
    <s v="MD_08"/>
    <x v="1"/>
  </r>
  <r>
    <x v="2592"/>
    <x v="484"/>
    <x v="2"/>
    <x v="1"/>
    <x v="1"/>
    <n v="32.550274531039193"/>
    <b v="0"/>
    <s v="MD_10"/>
    <x v="0"/>
  </r>
  <r>
    <x v="2593"/>
    <x v="152"/>
    <x v="3"/>
    <x v="3"/>
    <x v="1"/>
    <n v="17.630973467632725"/>
    <b v="0"/>
    <s v="MD_03"/>
    <x v="0"/>
  </r>
  <r>
    <x v="2594"/>
    <x v="323"/>
    <x v="1"/>
    <x v="4"/>
    <x v="0"/>
    <n v="6.0983119034812336"/>
    <b v="0"/>
    <s v="MD_15"/>
    <x v="1"/>
  </r>
  <r>
    <x v="2595"/>
    <x v="575"/>
    <x v="2"/>
    <x v="2"/>
    <x v="0"/>
    <n v="9.2580591085063233"/>
    <b v="0"/>
    <s v="MD_16"/>
    <x v="1"/>
  </r>
  <r>
    <x v="2596"/>
    <x v="40"/>
    <x v="0"/>
    <x v="4"/>
    <x v="0"/>
    <n v="5.414162362736703"/>
    <b v="0"/>
    <s v="MD_01"/>
    <x v="1"/>
  </r>
  <r>
    <x v="2597"/>
    <x v="429"/>
    <x v="1"/>
    <x v="2"/>
    <x v="0"/>
    <n v="7.535878212660875"/>
    <b v="0"/>
    <s v="MD_12"/>
    <x v="1"/>
  </r>
  <r>
    <x v="2598"/>
    <x v="476"/>
    <x v="0"/>
    <x v="4"/>
    <x v="0"/>
    <n v="20.121464837193336"/>
    <b v="0"/>
    <s v="MD_17"/>
    <x v="0"/>
  </r>
  <r>
    <x v="2599"/>
    <x v="491"/>
    <x v="3"/>
    <x v="3"/>
    <x v="1"/>
    <n v="7.4239578050650241"/>
    <b v="0"/>
    <s v="MD_20"/>
    <x v="1"/>
  </r>
  <r>
    <x v="2600"/>
    <x v="92"/>
    <x v="0"/>
    <x v="3"/>
    <x v="0"/>
    <n v="7.9059870361493694"/>
    <b v="0"/>
    <s v="MD_16"/>
    <x v="1"/>
  </r>
  <r>
    <x v="2601"/>
    <x v="77"/>
    <x v="3"/>
    <x v="0"/>
    <x v="0"/>
    <n v="5.2028001282649097"/>
    <b v="0"/>
    <s v="MD_11"/>
    <x v="1"/>
  </r>
  <r>
    <x v="2602"/>
    <x v="134"/>
    <x v="1"/>
    <x v="1"/>
    <x v="1"/>
    <n v="10.417993469919885"/>
    <b v="0"/>
    <s v="MD_12"/>
    <x v="0"/>
  </r>
  <r>
    <x v="2603"/>
    <x v="348"/>
    <x v="2"/>
    <x v="2"/>
    <x v="0"/>
    <n v="5.5143617877366786"/>
    <b v="0"/>
    <s v="MD_06"/>
    <x v="1"/>
  </r>
  <r>
    <x v="2604"/>
    <x v="536"/>
    <x v="1"/>
    <x v="4"/>
    <x v="0"/>
    <n v="7.494238083516767"/>
    <b v="0"/>
    <s v="MD_04"/>
    <x v="1"/>
  </r>
  <r>
    <x v="2605"/>
    <x v="132"/>
    <x v="2"/>
    <x v="4"/>
    <x v="0"/>
    <n v="8.9336276952808902"/>
    <b v="0"/>
    <s v="MD_07"/>
    <x v="1"/>
  </r>
  <r>
    <x v="2606"/>
    <x v="493"/>
    <x v="0"/>
    <x v="0"/>
    <x v="1"/>
    <n v="32.182039897094953"/>
    <b v="0"/>
    <s v="MD_18"/>
    <x v="0"/>
  </r>
  <r>
    <x v="2607"/>
    <x v="426"/>
    <x v="1"/>
    <x v="2"/>
    <x v="1"/>
    <n v="42.184816707001922"/>
    <b v="0"/>
    <s v="MD_09"/>
    <x v="0"/>
  </r>
  <r>
    <x v="2608"/>
    <x v="630"/>
    <x v="1"/>
    <x v="4"/>
    <x v="1"/>
    <n v="7.5876569231910631"/>
    <b v="0"/>
    <s v="MD_19"/>
    <x v="1"/>
  </r>
  <r>
    <x v="2609"/>
    <x v="539"/>
    <x v="3"/>
    <x v="2"/>
    <x v="0"/>
    <n v="7.264789901145158"/>
    <b v="0"/>
    <s v="MD_15"/>
    <x v="1"/>
  </r>
  <r>
    <x v="2610"/>
    <x v="507"/>
    <x v="3"/>
    <x v="4"/>
    <x v="1"/>
    <n v="30.976991560428196"/>
    <b v="0"/>
    <s v="MD_06"/>
    <x v="0"/>
  </r>
  <r>
    <x v="2611"/>
    <x v="381"/>
    <x v="1"/>
    <x v="0"/>
    <x v="0"/>
    <n v="24.241439580963995"/>
    <b v="0"/>
    <s v="MD_14"/>
    <x v="0"/>
  </r>
  <r>
    <x v="2612"/>
    <x v="211"/>
    <x v="3"/>
    <x v="4"/>
    <x v="0"/>
    <n v="3.8964849106715649"/>
    <b v="0"/>
    <s v="MD_09"/>
    <x v="1"/>
  </r>
  <r>
    <x v="2613"/>
    <x v="404"/>
    <x v="2"/>
    <x v="0"/>
    <x v="0"/>
    <n v="25.2817939563433"/>
    <b v="0"/>
    <s v="MD_13"/>
    <x v="0"/>
  </r>
  <r>
    <x v="2614"/>
    <x v="0"/>
    <x v="1"/>
    <x v="0"/>
    <x v="0"/>
    <n v="6.3320335399123895"/>
    <b v="0"/>
    <s v="MD_03"/>
    <x v="2"/>
  </r>
  <r>
    <x v="2615"/>
    <x v="356"/>
    <x v="2"/>
    <x v="0"/>
    <x v="0"/>
    <n v="8.8460619070423441"/>
    <b v="0"/>
    <s v="MD_16"/>
    <x v="1"/>
  </r>
  <r>
    <x v="2616"/>
    <x v="249"/>
    <x v="1"/>
    <x v="3"/>
    <x v="0"/>
    <n v="18.996364529998989"/>
    <b v="0"/>
    <s v="MD_18"/>
    <x v="0"/>
  </r>
  <r>
    <x v="2617"/>
    <x v="296"/>
    <x v="1"/>
    <x v="3"/>
    <x v="1"/>
    <n v="7.5146074824975946"/>
    <b v="1"/>
    <s v="MD_09"/>
    <x v="1"/>
  </r>
  <r>
    <x v="2618"/>
    <x v="113"/>
    <x v="3"/>
    <x v="0"/>
    <x v="0"/>
    <n v="6.383272280239666"/>
    <b v="0"/>
    <s v="MD_10"/>
    <x v="2"/>
  </r>
  <r>
    <x v="2619"/>
    <x v="245"/>
    <x v="0"/>
    <x v="1"/>
    <x v="0"/>
    <n v="17.521388361058065"/>
    <b v="0"/>
    <s v="MD_05"/>
    <x v="0"/>
  </r>
  <r>
    <x v="2620"/>
    <x v="706"/>
    <x v="0"/>
    <x v="2"/>
    <x v="1"/>
    <n v="18.1064287314071"/>
    <b v="0"/>
    <s v="MD_14"/>
    <x v="0"/>
  </r>
  <r>
    <x v="2621"/>
    <x v="296"/>
    <x v="2"/>
    <x v="3"/>
    <x v="1"/>
    <n v="6.3635080097246295"/>
    <b v="0"/>
    <s v="MD_01"/>
    <x v="1"/>
  </r>
  <r>
    <x v="2622"/>
    <x v="591"/>
    <x v="2"/>
    <x v="4"/>
    <x v="0"/>
    <n v="22.443023266222625"/>
    <b v="0"/>
    <s v="MD_19"/>
    <x v="0"/>
  </r>
  <r>
    <x v="2623"/>
    <x v="424"/>
    <x v="0"/>
    <x v="0"/>
    <x v="0"/>
    <n v="1.5386170119793121"/>
    <b v="0"/>
    <s v="MD_08"/>
    <x v="1"/>
  </r>
  <r>
    <x v="2624"/>
    <x v="561"/>
    <x v="2"/>
    <x v="0"/>
    <x v="0"/>
    <n v="9.8087890102736104"/>
    <b v="0"/>
    <s v="MD_09"/>
    <x v="1"/>
  </r>
  <r>
    <x v="2625"/>
    <x v="106"/>
    <x v="3"/>
    <x v="2"/>
    <x v="0"/>
    <n v="7.9361428380180516"/>
    <b v="0"/>
    <s v="MD_12"/>
    <x v="1"/>
  </r>
  <r>
    <x v="2626"/>
    <x v="173"/>
    <x v="1"/>
    <x v="0"/>
    <x v="1"/>
    <n v="6.2342478585296792"/>
    <b v="0"/>
    <s v="MD_20"/>
    <x v="1"/>
  </r>
  <r>
    <x v="2627"/>
    <x v="565"/>
    <x v="2"/>
    <x v="0"/>
    <x v="1"/>
    <n v="36.543644589170611"/>
    <b v="0"/>
    <s v="MD_13"/>
    <x v="0"/>
  </r>
  <r>
    <x v="2628"/>
    <x v="146"/>
    <x v="1"/>
    <x v="2"/>
    <x v="0"/>
    <n v="8.5184517130809603"/>
    <b v="0"/>
    <s v="MD_08"/>
    <x v="1"/>
  </r>
  <r>
    <x v="2629"/>
    <x v="589"/>
    <x v="0"/>
    <x v="3"/>
    <x v="0"/>
    <n v="6.6639852850314805"/>
    <b v="0"/>
    <s v="MD_17"/>
    <x v="1"/>
  </r>
  <r>
    <x v="2630"/>
    <x v="125"/>
    <x v="3"/>
    <x v="0"/>
    <x v="1"/>
    <n v="11.542671556921377"/>
    <b v="0"/>
    <s v="MD_03"/>
    <x v="0"/>
  </r>
  <r>
    <x v="2631"/>
    <x v="591"/>
    <x v="0"/>
    <x v="2"/>
    <x v="0"/>
    <n v="5.5711323802442587"/>
    <b v="0"/>
    <s v="MD_19"/>
    <x v="1"/>
  </r>
  <r>
    <x v="2632"/>
    <x v="413"/>
    <x v="2"/>
    <x v="3"/>
    <x v="1"/>
    <n v="7.090891258968429"/>
    <b v="0"/>
    <s v="MD_10"/>
    <x v="1"/>
  </r>
  <r>
    <x v="2633"/>
    <x v="224"/>
    <x v="3"/>
    <x v="1"/>
    <x v="0"/>
    <n v="6.0014543535396117"/>
    <b v="0"/>
    <s v="MD_13"/>
    <x v="1"/>
  </r>
  <r>
    <x v="2634"/>
    <x v="93"/>
    <x v="2"/>
    <x v="4"/>
    <x v="1"/>
    <n v="18.475318043219115"/>
    <b v="0"/>
    <s v="MD_19"/>
    <x v="0"/>
  </r>
  <r>
    <x v="2635"/>
    <x v="148"/>
    <x v="1"/>
    <x v="3"/>
    <x v="0"/>
    <n v="5.4133227159373334"/>
    <b v="0"/>
    <s v="MD_16"/>
    <x v="1"/>
  </r>
  <r>
    <x v="2636"/>
    <x v="325"/>
    <x v="0"/>
    <x v="1"/>
    <x v="0"/>
    <n v="18.911051768793179"/>
    <b v="0"/>
    <s v="MD_20"/>
    <x v="0"/>
  </r>
  <r>
    <x v="2637"/>
    <x v="402"/>
    <x v="3"/>
    <x v="2"/>
    <x v="0"/>
    <n v="3.1362071100611431"/>
    <b v="0"/>
    <s v="MD_04"/>
    <x v="1"/>
  </r>
  <r>
    <x v="2638"/>
    <x v="512"/>
    <x v="3"/>
    <x v="3"/>
    <x v="1"/>
    <n v="16.708763200520838"/>
    <b v="0"/>
    <s v="MD_19"/>
    <x v="0"/>
  </r>
  <r>
    <x v="2639"/>
    <x v="394"/>
    <x v="1"/>
    <x v="3"/>
    <x v="0"/>
    <n v="2.2730608852587055"/>
    <b v="0"/>
    <s v="MD_14"/>
    <x v="1"/>
  </r>
  <r>
    <x v="2640"/>
    <x v="116"/>
    <x v="0"/>
    <x v="0"/>
    <x v="0"/>
    <n v="28.668639990366792"/>
    <b v="0"/>
    <s v="MD_11"/>
    <x v="0"/>
  </r>
  <r>
    <x v="2641"/>
    <x v="321"/>
    <x v="3"/>
    <x v="3"/>
    <x v="0"/>
    <n v="4.5918488975924951"/>
    <b v="0"/>
    <s v="MD_12"/>
    <x v="1"/>
  </r>
  <r>
    <x v="2642"/>
    <x v="475"/>
    <x v="3"/>
    <x v="3"/>
    <x v="0"/>
    <n v="5.4638739199308759"/>
    <b v="0"/>
    <s v="MD_08"/>
    <x v="1"/>
  </r>
  <r>
    <x v="2643"/>
    <x v="175"/>
    <x v="0"/>
    <x v="0"/>
    <x v="1"/>
    <n v="-1.1052921292757709"/>
    <b v="0"/>
    <s v="MD_16"/>
    <x v="0"/>
  </r>
  <r>
    <x v="2644"/>
    <x v="335"/>
    <x v="2"/>
    <x v="2"/>
    <x v="1"/>
    <n v="6.1089166131909911"/>
    <b v="1"/>
    <s v="MD_18"/>
    <x v="1"/>
  </r>
  <r>
    <x v="2645"/>
    <x v="442"/>
    <x v="2"/>
    <x v="3"/>
    <x v="0"/>
    <n v="5.0848964489118336"/>
    <b v="0"/>
    <s v="MD_19"/>
    <x v="1"/>
  </r>
  <r>
    <x v="2646"/>
    <x v="50"/>
    <x v="1"/>
    <x v="0"/>
    <x v="0"/>
    <n v="6.5119804079559742"/>
    <b v="0"/>
    <s v="MD_18"/>
    <x v="2"/>
  </r>
  <r>
    <x v="2647"/>
    <x v="639"/>
    <x v="3"/>
    <x v="1"/>
    <x v="0"/>
    <n v="16.621469779288848"/>
    <b v="0"/>
    <s v="MD_11"/>
    <x v="0"/>
  </r>
  <r>
    <x v="2648"/>
    <x v="344"/>
    <x v="3"/>
    <x v="0"/>
    <x v="0"/>
    <n v="6.6528771830039748"/>
    <b v="0"/>
    <s v="MD_11"/>
    <x v="1"/>
  </r>
  <r>
    <x v="2649"/>
    <x v="668"/>
    <x v="2"/>
    <x v="0"/>
    <x v="0"/>
    <n v="8.8988151647428619"/>
    <b v="0"/>
    <s v="MD_12"/>
    <x v="1"/>
  </r>
  <r>
    <x v="2650"/>
    <x v="162"/>
    <x v="1"/>
    <x v="2"/>
    <x v="0"/>
    <n v="10.639841629008666"/>
    <b v="0"/>
    <s v="MD_19"/>
    <x v="1"/>
  </r>
  <r>
    <x v="2651"/>
    <x v="344"/>
    <x v="1"/>
    <x v="1"/>
    <x v="0"/>
    <n v="3.7986189010428868"/>
    <b v="0"/>
    <s v="MD_19"/>
    <x v="1"/>
  </r>
  <r>
    <x v="2652"/>
    <x v="575"/>
    <x v="1"/>
    <x v="3"/>
    <x v="0"/>
    <n v="26.168596415278756"/>
    <b v="0"/>
    <s v="MD_10"/>
    <x v="0"/>
  </r>
  <r>
    <x v="2653"/>
    <x v="335"/>
    <x v="1"/>
    <x v="3"/>
    <x v="1"/>
    <n v="4.3383399361129014"/>
    <b v="0"/>
    <s v="MD_16"/>
    <x v="1"/>
  </r>
  <r>
    <x v="2654"/>
    <x v="224"/>
    <x v="1"/>
    <x v="2"/>
    <x v="0"/>
    <n v="6.8098953007900862"/>
    <b v="0"/>
    <s v="MD_15"/>
    <x v="1"/>
  </r>
  <r>
    <x v="2655"/>
    <x v="703"/>
    <x v="3"/>
    <x v="2"/>
    <x v="0"/>
    <n v="35.571912023756617"/>
    <b v="0"/>
    <s v="MD_01"/>
    <x v="0"/>
  </r>
  <r>
    <x v="2656"/>
    <x v="685"/>
    <x v="3"/>
    <x v="3"/>
    <x v="0"/>
    <n v="14.815260347381903"/>
    <b v="0"/>
    <s v="MD_08"/>
    <x v="0"/>
  </r>
  <r>
    <x v="2657"/>
    <x v="180"/>
    <x v="3"/>
    <x v="0"/>
    <x v="1"/>
    <n v="24.415107788780062"/>
    <b v="0"/>
    <s v="MD_05"/>
    <x v="0"/>
  </r>
  <r>
    <x v="2658"/>
    <x v="661"/>
    <x v="1"/>
    <x v="4"/>
    <x v="1"/>
    <n v="33.109789611776627"/>
    <b v="0"/>
    <s v="MD_03"/>
    <x v="0"/>
  </r>
  <r>
    <x v="2659"/>
    <x v="709"/>
    <x v="0"/>
    <x v="1"/>
    <x v="1"/>
    <n v="24.25810603301046"/>
    <b v="0"/>
    <s v="MD_14"/>
    <x v="0"/>
  </r>
  <r>
    <x v="2660"/>
    <x v="110"/>
    <x v="2"/>
    <x v="1"/>
    <x v="0"/>
    <n v="3.8526257964728399"/>
    <b v="0"/>
    <s v="MD_16"/>
    <x v="1"/>
  </r>
  <r>
    <x v="2661"/>
    <x v="343"/>
    <x v="2"/>
    <x v="1"/>
    <x v="0"/>
    <n v="7.3544639532589002"/>
    <b v="0"/>
    <s v="MD_12"/>
    <x v="1"/>
  </r>
  <r>
    <x v="2662"/>
    <x v="303"/>
    <x v="3"/>
    <x v="1"/>
    <x v="0"/>
    <n v="13.339334095356529"/>
    <b v="0"/>
    <s v="MD_12"/>
    <x v="0"/>
  </r>
  <r>
    <x v="2663"/>
    <x v="343"/>
    <x v="2"/>
    <x v="0"/>
    <x v="0"/>
    <n v="4.6380509917240058"/>
    <b v="0"/>
    <s v="MD_10"/>
    <x v="1"/>
  </r>
  <r>
    <x v="2664"/>
    <x v="100"/>
    <x v="3"/>
    <x v="3"/>
    <x v="1"/>
    <n v="23.186696576479047"/>
    <b v="0"/>
    <s v="MD_06"/>
    <x v="0"/>
  </r>
  <r>
    <x v="2665"/>
    <x v="578"/>
    <x v="2"/>
    <x v="1"/>
    <x v="0"/>
    <n v="19.193784619753146"/>
    <b v="0"/>
    <s v="MD_20"/>
    <x v="0"/>
  </r>
  <r>
    <x v="2666"/>
    <x v="543"/>
    <x v="0"/>
    <x v="1"/>
    <x v="0"/>
    <n v="5.6401448083836101"/>
    <b v="0"/>
    <s v="MD_17"/>
    <x v="1"/>
  </r>
  <r>
    <x v="2667"/>
    <x v="408"/>
    <x v="2"/>
    <x v="4"/>
    <x v="1"/>
    <n v="44.992169692206822"/>
    <b v="0"/>
    <s v="MD_06"/>
    <x v="0"/>
  </r>
  <r>
    <x v="2668"/>
    <x v="422"/>
    <x v="1"/>
    <x v="4"/>
    <x v="1"/>
    <n v="7.2684014590960322"/>
    <b v="0"/>
    <s v="MD_02"/>
    <x v="1"/>
  </r>
  <r>
    <x v="2669"/>
    <x v="195"/>
    <x v="3"/>
    <x v="4"/>
    <x v="0"/>
    <n v="31.080327121397207"/>
    <b v="0"/>
    <s v="MD_19"/>
    <x v="0"/>
  </r>
  <r>
    <x v="2670"/>
    <x v="470"/>
    <x v="0"/>
    <x v="1"/>
    <x v="1"/>
    <n v="18.947874877393058"/>
    <b v="0"/>
    <s v="MD_13"/>
    <x v="0"/>
  </r>
  <r>
    <x v="2671"/>
    <x v="144"/>
    <x v="2"/>
    <x v="0"/>
    <x v="0"/>
    <n v="4.0825313882232095"/>
    <b v="0"/>
    <s v="MD_05"/>
    <x v="1"/>
  </r>
  <r>
    <x v="2672"/>
    <x v="48"/>
    <x v="3"/>
    <x v="2"/>
    <x v="1"/>
    <n v="13.303122144989837"/>
    <b v="0"/>
    <s v="MD_05"/>
    <x v="0"/>
  </r>
  <r>
    <x v="2673"/>
    <x v="135"/>
    <x v="3"/>
    <x v="4"/>
    <x v="0"/>
    <n v="28.592192236058278"/>
    <b v="0"/>
    <s v="MD_17"/>
    <x v="0"/>
  </r>
  <r>
    <x v="2674"/>
    <x v="435"/>
    <x v="3"/>
    <x v="4"/>
    <x v="0"/>
    <n v="6.8320133789028237"/>
    <b v="0"/>
    <s v="MD_14"/>
    <x v="1"/>
  </r>
  <r>
    <x v="2675"/>
    <x v="40"/>
    <x v="1"/>
    <x v="3"/>
    <x v="0"/>
    <n v="7.0742538845586962"/>
    <b v="0"/>
    <s v="MD_19"/>
    <x v="1"/>
  </r>
  <r>
    <x v="2676"/>
    <x v="118"/>
    <x v="0"/>
    <x v="0"/>
    <x v="1"/>
    <n v="16.673371549019258"/>
    <b v="0"/>
    <s v="MD_16"/>
    <x v="0"/>
  </r>
  <r>
    <x v="2677"/>
    <x v="518"/>
    <x v="0"/>
    <x v="3"/>
    <x v="0"/>
    <n v="5.426753145517659"/>
    <b v="0"/>
    <s v="MD_20"/>
    <x v="1"/>
  </r>
  <r>
    <x v="2678"/>
    <x v="689"/>
    <x v="1"/>
    <x v="2"/>
    <x v="0"/>
    <n v="4.7001121939155022"/>
    <b v="0"/>
    <s v="MD_03"/>
    <x v="1"/>
  </r>
  <r>
    <x v="2679"/>
    <x v="450"/>
    <x v="2"/>
    <x v="3"/>
    <x v="0"/>
    <n v="7.3773821797259336"/>
    <b v="0"/>
    <s v="MD_03"/>
    <x v="1"/>
  </r>
  <r>
    <x v="2680"/>
    <x v="53"/>
    <x v="0"/>
    <x v="0"/>
    <x v="0"/>
    <n v="5.104733609220121"/>
    <b v="0"/>
    <s v="MD_06"/>
    <x v="1"/>
  </r>
  <r>
    <x v="2681"/>
    <x v="546"/>
    <x v="3"/>
    <x v="3"/>
    <x v="1"/>
    <n v="3.960364836681658"/>
    <b v="0"/>
    <s v="MD_02"/>
    <x v="1"/>
  </r>
  <r>
    <x v="2682"/>
    <x v="93"/>
    <x v="3"/>
    <x v="0"/>
    <x v="1"/>
    <n v="21.259268916891649"/>
    <b v="0"/>
    <s v="MD_08"/>
    <x v="0"/>
  </r>
  <r>
    <x v="2683"/>
    <x v="30"/>
    <x v="3"/>
    <x v="1"/>
    <x v="0"/>
    <n v="40.246363804058639"/>
    <b v="0"/>
    <s v="MD_04"/>
    <x v="0"/>
  </r>
  <r>
    <x v="2684"/>
    <x v="28"/>
    <x v="3"/>
    <x v="4"/>
    <x v="0"/>
    <n v="3.2277086701449296"/>
    <b v="0"/>
    <s v="MD_02"/>
    <x v="1"/>
  </r>
  <r>
    <x v="2685"/>
    <x v="34"/>
    <x v="3"/>
    <x v="4"/>
    <x v="1"/>
    <n v="5.501757271588632"/>
    <b v="0"/>
    <s v="MD_02"/>
    <x v="1"/>
  </r>
  <r>
    <x v="2686"/>
    <x v="691"/>
    <x v="1"/>
    <x v="1"/>
    <x v="0"/>
    <n v="6.9060130231663219"/>
    <b v="0"/>
    <s v="MD_08"/>
    <x v="1"/>
  </r>
  <r>
    <x v="2687"/>
    <x v="616"/>
    <x v="1"/>
    <x v="1"/>
    <x v="1"/>
    <n v="35.848117395694032"/>
    <b v="0"/>
    <s v="MD_07"/>
    <x v="0"/>
  </r>
  <r>
    <x v="2688"/>
    <x v="219"/>
    <x v="0"/>
    <x v="4"/>
    <x v="0"/>
    <n v="6.2841673940234974"/>
    <b v="0"/>
    <s v="MD_11"/>
    <x v="1"/>
  </r>
  <r>
    <x v="2689"/>
    <x v="561"/>
    <x v="3"/>
    <x v="3"/>
    <x v="0"/>
    <n v="6.3097931570848198"/>
    <b v="0"/>
    <s v="MD_13"/>
    <x v="1"/>
  </r>
  <r>
    <x v="2690"/>
    <x v="489"/>
    <x v="3"/>
    <x v="3"/>
    <x v="1"/>
    <n v="18.823784215011294"/>
    <b v="0"/>
    <s v="MD_01"/>
    <x v="0"/>
  </r>
  <r>
    <x v="2691"/>
    <x v="188"/>
    <x v="3"/>
    <x v="4"/>
    <x v="0"/>
    <n v="6.5821561782324096"/>
    <b v="0"/>
    <s v="MD_10"/>
    <x v="1"/>
  </r>
  <r>
    <x v="2692"/>
    <x v="668"/>
    <x v="0"/>
    <x v="4"/>
    <x v="0"/>
    <n v="7.028766102941387"/>
    <b v="0"/>
    <s v="MD_18"/>
    <x v="1"/>
  </r>
  <r>
    <x v="2693"/>
    <x v="221"/>
    <x v="1"/>
    <x v="4"/>
    <x v="1"/>
    <n v="30.300698694932976"/>
    <b v="0"/>
    <s v="MD_13"/>
    <x v="0"/>
  </r>
  <r>
    <x v="2694"/>
    <x v="413"/>
    <x v="3"/>
    <x v="2"/>
    <x v="1"/>
    <n v="6.7223532846050791"/>
    <b v="0"/>
    <s v="MD_19"/>
    <x v="2"/>
  </r>
  <r>
    <x v="2695"/>
    <x v="655"/>
    <x v="3"/>
    <x v="3"/>
    <x v="1"/>
    <n v="11.994379745537236"/>
    <b v="0"/>
    <s v="MD_19"/>
    <x v="0"/>
  </r>
  <r>
    <x v="2696"/>
    <x v="107"/>
    <x v="0"/>
    <x v="2"/>
    <x v="0"/>
    <n v="7.3803466603180388"/>
    <b v="0"/>
    <s v="MD_08"/>
    <x v="1"/>
  </r>
  <r>
    <x v="2697"/>
    <x v="145"/>
    <x v="3"/>
    <x v="2"/>
    <x v="1"/>
    <n v="16.44815623719203"/>
    <b v="0"/>
    <s v="MD_16"/>
    <x v="0"/>
  </r>
  <r>
    <x v="2698"/>
    <x v="302"/>
    <x v="3"/>
    <x v="3"/>
    <x v="1"/>
    <n v="15.890333038789647"/>
    <b v="0"/>
    <s v="MD_04"/>
    <x v="0"/>
  </r>
  <r>
    <x v="2699"/>
    <x v="476"/>
    <x v="3"/>
    <x v="1"/>
    <x v="0"/>
    <n v="5.9657689627813424"/>
    <b v="0"/>
    <s v="MD_04"/>
    <x v="1"/>
  </r>
  <r>
    <x v="2700"/>
    <x v="631"/>
    <x v="2"/>
    <x v="1"/>
    <x v="0"/>
    <n v="2.7236887756408454"/>
    <b v="0"/>
    <s v="MD_17"/>
    <x v="1"/>
  </r>
  <r>
    <x v="2701"/>
    <x v="432"/>
    <x v="3"/>
    <x v="2"/>
    <x v="1"/>
    <n v="6.5930340329977906"/>
    <b v="0"/>
    <s v="MD_02"/>
    <x v="1"/>
  </r>
  <r>
    <x v="2702"/>
    <x v="82"/>
    <x v="0"/>
    <x v="3"/>
    <x v="1"/>
    <n v="20.202437139316618"/>
    <b v="0"/>
    <s v="MD_17"/>
    <x v="0"/>
  </r>
  <r>
    <x v="2703"/>
    <x v="67"/>
    <x v="3"/>
    <x v="2"/>
    <x v="0"/>
    <n v="14.741777108111419"/>
    <b v="0"/>
    <s v="MD_04"/>
    <x v="0"/>
  </r>
  <r>
    <x v="2704"/>
    <x v="537"/>
    <x v="3"/>
    <x v="0"/>
    <x v="0"/>
    <n v="9.4030578612203577"/>
    <b v="0"/>
    <s v="MD_12"/>
    <x v="1"/>
  </r>
  <r>
    <x v="2705"/>
    <x v="24"/>
    <x v="1"/>
    <x v="1"/>
    <x v="0"/>
    <n v="5.4226003651008021"/>
    <b v="0"/>
    <s v="MD_20"/>
    <x v="1"/>
  </r>
  <r>
    <x v="2706"/>
    <x v="203"/>
    <x v="0"/>
    <x v="3"/>
    <x v="0"/>
    <n v="19.118638274417847"/>
    <b v="0"/>
    <s v="MD_16"/>
    <x v="0"/>
  </r>
  <r>
    <x v="2707"/>
    <x v="659"/>
    <x v="0"/>
    <x v="3"/>
    <x v="0"/>
    <n v="7.1013725230521807"/>
    <b v="0"/>
    <s v="MD_17"/>
    <x v="1"/>
  </r>
  <r>
    <x v="2708"/>
    <x v="710"/>
    <x v="0"/>
    <x v="0"/>
    <x v="0"/>
    <n v="20.84396958741285"/>
    <b v="0"/>
    <s v="MD_07"/>
    <x v="0"/>
  </r>
  <r>
    <x v="2709"/>
    <x v="325"/>
    <x v="0"/>
    <x v="3"/>
    <x v="0"/>
    <n v="6.1090061886656466"/>
    <b v="0"/>
    <s v="MD_14"/>
    <x v="2"/>
  </r>
  <r>
    <x v="2710"/>
    <x v="134"/>
    <x v="1"/>
    <x v="1"/>
    <x v="1"/>
    <n v="32.952501963595004"/>
    <b v="0"/>
    <s v="MD_05"/>
    <x v="0"/>
  </r>
  <r>
    <x v="2711"/>
    <x v="461"/>
    <x v="1"/>
    <x v="1"/>
    <x v="0"/>
    <n v="9.2311456860735319"/>
    <b v="0"/>
    <s v="MD_05"/>
    <x v="0"/>
  </r>
  <r>
    <x v="2712"/>
    <x v="711"/>
    <x v="1"/>
    <x v="0"/>
    <x v="1"/>
    <n v="16.837135753244862"/>
    <b v="0"/>
    <s v="MD_09"/>
    <x v="0"/>
  </r>
  <r>
    <x v="2713"/>
    <x v="7"/>
    <x v="3"/>
    <x v="2"/>
    <x v="0"/>
    <n v="7.3990560321117664"/>
    <b v="0"/>
    <s v="MD_12"/>
    <x v="1"/>
  </r>
  <r>
    <x v="2714"/>
    <x v="486"/>
    <x v="1"/>
    <x v="2"/>
    <x v="1"/>
    <n v="21.8424102310607"/>
    <b v="0"/>
    <s v="MD_04"/>
    <x v="0"/>
  </r>
  <r>
    <x v="2715"/>
    <x v="287"/>
    <x v="0"/>
    <x v="0"/>
    <x v="0"/>
    <n v="5.7052321683873419"/>
    <b v="0"/>
    <s v="MD_04"/>
    <x v="1"/>
  </r>
  <r>
    <x v="2716"/>
    <x v="25"/>
    <x v="0"/>
    <x v="2"/>
    <x v="1"/>
    <n v="19.061548380563242"/>
    <b v="0"/>
    <s v="MD_05"/>
    <x v="0"/>
  </r>
  <r>
    <x v="2717"/>
    <x v="454"/>
    <x v="1"/>
    <x v="4"/>
    <x v="1"/>
    <n v="20.273451739260189"/>
    <b v="1"/>
    <s v="MD_07"/>
    <x v="0"/>
  </r>
  <r>
    <x v="2718"/>
    <x v="397"/>
    <x v="2"/>
    <x v="0"/>
    <x v="1"/>
    <n v="32.528197741038653"/>
    <b v="0"/>
    <s v="MD_19"/>
    <x v="0"/>
  </r>
  <r>
    <x v="2719"/>
    <x v="371"/>
    <x v="1"/>
    <x v="2"/>
    <x v="1"/>
    <n v="6.8784055869726286"/>
    <b v="0"/>
    <s v="MD_19"/>
    <x v="1"/>
  </r>
  <r>
    <x v="2720"/>
    <x v="410"/>
    <x v="1"/>
    <x v="4"/>
    <x v="1"/>
    <n v="5.1791809156399751"/>
    <b v="0"/>
    <s v="MD_02"/>
    <x v="1"/>
  </r>
  <r>
    <x v="2721"/>
    <x v="479"/>
    <x v="0"/>
    <x v="4"/>
    <x v="0"/>
    <n v="3.0995247772567782"/>
    <b v="0"/>
    <s v="MD_04"/>
    <x v="2"/>
  </r>
  <r>
    <x v="2722"/>
    <x v="312"/>
    <x v="1"/>
    <x v="4"/>
    <x v="1"/>
    <n v="12.477407785683297"/>
    <b v="0"/>
    <s v="MD_09"/>
    <x v="0"/>
  </r>
  <r>
    <x v="2723"/>
    <x v="342"/>
    <x v="1"/>
    <x v="2"/>
    <x v="0"/>
    <n v="5.8311628505858506"/>
    <b v="0"/>
    <s v="MD_20"/>
    <x v="1"/>
  </r>
  <r>
    <x v="2724"/>
    <x v="622"/>
    <x v="2"/>
    <x v="3"/>
    <x v="0"/>
    <n v="6.4131605475475837"/>
    <b v="0"/>
    <s v="MD_19"/>
    <x v="2"/>
  </r>
  <r>
    <x v="2725"/>
    <x v="305"/>
    <x v="1"/>
    <x v="4"/>
    <x v="0"/>
    <n v="5.2778381696520391"/>
    <b v="0"/>
    <s v="MD_11"/>
    <x v="1"/>
  </r>
  <r>
    <x v="2726"/>
    <x v="63"/>
    <x v="0"/>
    <x v="0"/>
    <x v="0"/>
    <n v="23.420809925661054"/>
    <b v="0"/>
    <s v="MD_09"/>
    <x v="0"/>
  </r>
  <r>
    <x v="2727"/>
    <x v="545"/>
    <x v="2"/>
    <x v="3"/>
    <x v="0"/>
    <n v="3.6621102888270811"/>
    <b v="0"/>
    <s v="MD_11"/>
    <x v="1"/>
  </r>
  <r>
    <x v="2728"/>
    <x v="97"/>
    <x v="0"/>
    <x v="2"/>
    <x v="0"/>
    <n v="3.769859563258616"/>
    <b v="0"/>
    <s v="MD_01"/>
    <x v="1"/>
  </r>
  <r>
    <x v="2729"/>
    <x v="281"/>
    <x v="3"/>
    <x v="1"/>
    <x v="1"/>
    <n v="5.3103840318222364"/>
    <b v="0"/>
    <s v="MD_09"/>
    <x v="1"/>
  </r>
  <r>
    <x v="2730"/>
    <x v="371"/>
    <x v="2"/>
    <x v="2"/>
    <x v="0"/>
    <n v="23.791075874063338"/>
    <b v="0"/>
    <s v="MD_19"/>
    <x v="0"/>
  </r>
  <r>
    <x v="2731"/>
    <x v="556"/>
    <x v="2"/>
    <x v="2"/>
    <x v="0"/>
    <n v="5.1960789308789774"/>
    <b v="0"/>
    <s v="MD_14"/>
    <x v="1"/>
  </r>
  <r>
    <x v="2732"/>
    <x v="503"/>
    <x v="0"/>
    <x v="1"/>
    <x v="0"/>
    <n v="5.291158624823403"/>
    <b v="0"/>
    <s v="MD_02"/>
    <x v="1"/>
  </r>
  <r>
    <x v="2733"/>
    <x v="496"/>
    <x v="1"/>
    <x v="4"/>
    <x v="0"/>
    <n v="6.4592720119113194"/>
    <b v="0"/>
    <s v="MD_19"/>
    <x v="1"/>
  </r>
  <r>
    <x v="2734"/>
    <x v="394"/>
    <x v="1"/>
    <x v="2"/>
    <x v="0"/>
    <n v="30.418936293058515"/>
    <b v="0"/>
    <s v="MD_20"/>
    <x v="0"/>
  </r>
  <r>
    <x v="2735"/>
    <x v="60"/>
    <x v="1"/>
    <x v="4"/>
    <x v="0"/>
    <n v="1.7947319045862269"/>
    <b v="0"/>
    <s v="MD_17"/>
    <x v="2"/>
  </r>
  <r>
    <x v="2736"/>
    <x v="593"/>
    <x v="0"/>
    <x v="0"/>
    <x v="0"/>
    <n v="3.2418135120285965"/>
    <b v="0"/>
    <s v="MD_13"/>
    <x v="1"/>
  </r>
  <r>
    <x v="2737"/>
    <x v="367"/>
    <x v="3"/>
    <x v="0"/>
    <x v="0"/>
    <n v="6.0166913783007043"/>
    <b v="0"/>
    <s v="MD_09"/>
    <x v="2"/>
  </r>
  <r>
    <x v="2738"/>
    <x v="72"/>
    <x v="0"/>
    <x v="1"/>
    <x v="1"/>
    <n v="41.876785409342872"/>
    <b v="0"/>
    <s v="MD_01"/>
    <x v="0"/>
  </r>
  <r>
    <x v="2739"/>
    <x v="394"/>
    <x v="1"/>
    <x v="4"/>
    <x v="1"/>
    <n v="6.4406870220502777"/>
    <b v="0"/>
    <s v="MD_13"/>
    <x v="1"/>
  </r>
  <r>
    <x v="2740"/>
    <x v="210"/>
    <x v="1"/>
    <x v="3"/>
    <x v="0"/>
    <n v="6.7576456598740444"/>
    <b v="0"/>
    <s v="MD_12"/>
    <x v="1"/>
  </r>
  <r>
    <x v="2741"/>
    <x v="349"/>
    <x v="2"/>
    <x v="1"/>
    <x v="0"/>
    <n v="3.6096017557335083"/>
    <b v="0"/>
    <s v="MD_15"/>
    <x v="1"/>
  </r>
  <r>
    <x v="2742"/>
    <x v="375"/>
    <x v="1"/>
    <x v="4"/>
    <x v="0"/>
    <n v="8.7102124885410959"/>
    <b v="0"/>
    <s v="MD_08"/>
    <x v="1"/>
  </r>
  <r>
    <x v="2743"/>
    <x v="173"/>
    <x v="1"/>
    <x v="4"/>
    <x v="1"/>
    <n v="6.253339678626018"/>
    <b v="0"/>
    <s v="MD_17"/>
    <x v="1"/>
  </r>
  <r>
    <x v="2744"/>
    <x v="555"/>
    <x v="1"/>
    <x v="1"/>
    <x v="0"/>
    <n v="5.6486578176776057"/>
    <b v="0"/>
    <s v="MD_06"/>
    <x v="1"/>
  </r>
  <r>
    <x v="2745"/>
    <x v="540"/>
    <x v="0"/>
    <x v="4"/>
    <x v="0"/>
    <n v="5.6235466778315546"/>
    <b v="0"/>
    <s v="MD_07"/>
    <x v="1"/>
  </r>
  <r>
    <x v="2746"/>
    <x v="329"/>
    <x v="0"/>
    <x v="3"/>
    <x v="0"/>
    <n v="10.520863259692128"/>
    <b v="0"/>
    <s v="MD_12"/>
    <x v="1"/>
  </r>
  <r>
    <x v="2747"/>
    <x v="203"/>
    <x v="1"/>
    <x v="2"/>
    <x v="0"/>
    <n v="9.1289776034592283"/>
    <b v="0"/>
    <s v="MD_18"/>
    <x v="1"/>
  </r>
  <r>
    <x v="2748"/>
    <x v="402"/>
    <x v="3"/>
    <x v="0"/>
    <x v="0"/>
    <n v="4.5791400128071578"/>
    <b v="0"/>
    <s v="MD_08"/>
    <x v="1"/>
  </r>
  <r>
    <x v="2749"/>
    <x v="214"/>
    <x v="0"/>
    <x v="1"/>
    <x v="0"/>
    <n v="4.0278487429142853"/>
    <b v="0"/>
    <s v="MD_05"/>
    <x v="1"/>
  </r>
  <r>
    <x v="2750"/>
    <x v="518"/>
    <x v="0"/>
    <x v="2"/>
    <x v="1"/>
    <n v="7.08498211809545"/>
    <b v="0"/>
    <s v="MD_06"/>
    <x v="1"/>
  </r>
  <r>
    <x v="2751"/>
    <x v="259"/>
    <x v="0"/>
    <x v="1"/>
    <x v="0"/>
    <n v="9.4498358227324815"/>
    <b v="0"/>
    <s v="MD_09"/>
    <x v="1"/>
  </r>
  <r>
    <x v="2752"/>
    <x v="576"/>
    <x v="0"/>
    <x v="0"/>
    <x v="0"/>
    <n v="3.6821135867923225"/>
    <b v="0"/>
    <s v="MD_18"/>
    <x v="1"/>
  </r>
  <r>
    <x v="2753"/>
    <x v="601"/>
    <x v="2"/>
    <x v="1"/>
    <x v="0"/>
    <n v="7.6659455612601635"/>
    <b v="0"/>
    <s v="MD_06"/>
    <x v="2"/>
  </r>
  <r>
    <x v="2754"/>
    <x v="512"/>
    <x v="1"/>
    <x v="0"/>
    <x v="1"/>
    <n v="24.096032422952856"/>
    <b v="0"/>
    <s v="MD_19"/>
    <x v="0"/>
  </r>
  <r>
    <x v="2755"/>
    <x v="336"/>
    <x v="1"/>
    <x v="4"/>
    <x v="0"/>
    <n v="13.921537987808318"/>
    <b v="0"/>
    <s v="MD_20"/>
    <x v="0"/>
  </r>
  <r>
    <x v="2756"/>
    <x v="235"/>
    <x v="2"/>
    <x v="3"/>
    <x v="0"/>
    <n v="2.7121949450280187"/>
    <b v="0"/>
    <s v="MD_18"/>
    <x v="1"/>
  </r>
  <r>
    <x v="2757"/>
    <x v="599"/>
    <x v="3"/>
    <x v="1"/>
    <x v="1"/>
    <n v="21.066284000252832"/>
    <b v="0"/>
    <s v="MD_06"/>
    <x v="0"/>
  </r>
  <r>
    <x v="2758"/>
    <x v="20"/>
    <x v="0"/>
    <x v="2"/>
    <x v="1"/>
    <n v="22.96925668295"/>
    <b v="0"/>
    <s v="MD_01"/>
    <x v="0"/>
  </r>
  <r>
    <x v="2759"/>
    <x v="276"/>
    <x v="0"/>
    <x v="2"/>
    <x v="0"/>
    <n v="8.3854294678628136"/>
    <b v="0"/>
    <s v="MD_12"/>
    <x v="1"/>
  </r>
  <r>
    <x v="2760"/>
    <x v="267"/>
    <x v="0"/>
    <x v="1"/>
    <x v="0"/>
    <n v="5.1903077957750128"/>
    <b v="0"/>
    <s v="MD_02"/>
    <x v="1"/>
  </r>
  <r>
    <x v="2761"/>
    <x v="702"/>
    <x v="1"/>
    <x v="0"/>
    <x v="0"/>
    <n v="3.8252048245932135"/>
    <b v="0"/>
    <s v="MD_05"/>
    <x v="1"/>
  </r>
  <r>
    <x v="2762"/>
    <x v="535"/>
    <x v="3"/>
    <x v="2"/>
    <x v="0"/>
    <n v="7.8221189768901382"/>
    <b v="0"/>
    <s v="MD_11"/>
    <x v="1"/>
  </r>
  <r>
    <x v="2763"/>
    <x v="475"/>
    <x v="2"/>
    <x v="2"/>
    <x v="0"/>
    <n v="7.5249609853760262"/>
    <b v="0"/>
    <s v="MD_08"/>
    <x v="1"/>
  </r>
  <r>
    <x v="2764"/>
    <x v="200"/>
    <x v="3"/>
    <x v="2"/>
    <x v="0"/>
    <n v="7.548851929564476"/>
    <b v="0"/>
    <s v="MD_19"/>
    <x v="1"/>
  </r>
  <r>
    <x v="2765"/>
    <x v="175"/>
    <x v="2"/>
    <x v="3"/>
    <x v="1"/>
    <n v="35.079199902975326"/>
    <b v="0"/>
    <s v="MD_10"/>
    <x v="0"/>
  </r>
  <r>
    <x v="2766"/>
    <x v="163"/>
    <x v="3"/>
    <x v="1"/>
    <x v="0"/>
    <n v="7.6013697093362067"/>
    <b v="0"/>
    <s v="MD_01"/>
    <x v="1"/>
  </r>
  <r>
    <x v="2767"/>
    <x v="470"/>
    <x v="3"/>
    <x v="3"/>
    <x v="1"/>
    <n v="27.06439018491308"/>
    <b v="1"/>
    <s v="MD_05"/>
    <x v="0"/>
  </r>
  <r>
    <x v="2768"/>
    <x v="81"/>
    <x v="0"/>
    <x v="2"/>
    <x v="0"/>
    <n v="21.426183443505462"/>
    <b v="0"/>
    <s v="MD_04"/>
    <x v="0"/>
  </r>
  <r>
    <x v="2769"/>
    <x v="586"/>
    <x v="2"/>
    <x v="4"/>
    <x v="0"/>
    <n v="29.703761260887276"/>
    <b v="0"/>
    <s v="MD_20"/>
    <x v="0"/>
  </r>
  <r>
    <x v="2770"/>
    <x v="593"/>
    <x v="2"/>
    <x v="3"/>
    <x v="0"/>
    <n v="8.4863131191831389"/>
    <b v="0"/>
    <s v="MD_06"/>
    <x v="1"/>
  </r>
  <r>
    <x v="2771"/>
    <x v="264"/>
    <x v="0"/>
    <x v="2"/>
    <x v="0"/>
    <n v="5.0471540697280428"/>
    <b v="0"/>
    <s v="MD_06"/>
    <x v="1"/>
  </r>
  <r>
    <x v="2772"/>
    <x v="487"/>
    <x v="3"/>
    <x v="2"/>
    <x v="1"/>
    <n v="4.3119893370714095"/>
    <b v="0"/>
    <s v="MD_06"/>
    <x v="1"/>
  </r>
  <r>
    <x v="2773"/>
    <x v="511"/>
    <x v="0"/>
    <x v="4"/>
    <x v="1"/>
    <n v="3.1355047032868746"/>
    <b v="0"/>
    <s v="MD_08"/>
    <x v="1"/>
  </r>
  <r>
    <x v="2774"/>
    <x v="355"/>
    <x v="3"/>
    <x v="3"/>
    <x v="0"/>
    <n v="2.877456140645843"/>
    <b v="0"/>
    <s v="MD_04"/>
    <x v="1"/>
  </r>
  <r>
    <x v="2775"/>
    <x v="457"/>
    <x v="1"/>
    <x v="2"/>
    <x v="0"/>
    <n v="8.16107887529758"/>
    <b v="0"/>
    <s v="MD_05"/>
    <x v="2"/>
  </r>
  <r>
    <x v="2776"/>
    <x v="712"/>
    <x v="3"/>
    <x v="1"/>
    <x v="0"/>
    <n v="24.391955838656791"/>
    <b v="0"/>
    <s v="MD_02"/>
    <x v="0"/>
  </r>
  <r>
    <x v="2777"/>
    <x v="354"/>
    <x v="2"/>
    <x v="1"/>
    <x v="0"/>
    <n v="4.1079977373734176"/>
    <b v="0"/>
    <s v="MD_10"/>
    <x v="1"/>
  </r>
  <r>
    <x v="2778"/>
    <x v="328"/>
    <x v="3"/>
    <x v="2"/>
    <x v="0"/>
    <n v="5.5666867265610547"/>
    <b v="0"/>
    <s v="MD_06"/>
    <x v="1"/>
  </r>
  <r>
    <x v="2779"/>
    <x v="201"/>
    <x v="3"/>
    <x v="3"/>
    <x v="0"/>
    <n v="6.8114645348337488"/>
    <b v="0"/>
    <s v="MD_16"/>
    <x v="1"/>
  </r>
  <r>
    <x v="2780"/>
    <x v="538"/>
    <x v="2"/>
    <x v="4"/>
    <x v="1"/>
    <n v="11.694333912266584"/>
    <b v="0"/>
    <s v="MD_18"/>
    <x v="1"/>
  </r>
  <r>
    <x v="2781"/>
    <x v="503"/>
    <x v="1"/>
    <x v="0"/>
    <x v="1"/>
    <n v="29.832206435362458"/>
    <b v="0"/>
    <s v="MD_11"/>
    <x v="0"/>
  </r>
  <r>
    <x v="2782"/>
    <x v="96"/>
    <x v="2"/>
    <x v="2"/>
    <x v="1"/>
    <n v="7.2858647403116068"/>
    <b v="0"/>
    <s v="MD_06"/>
    <x v="1"/>
  </r>
  <r>
    <x v="2783"/>
    <x v="303"/>
    <x v="1"/>
    <x v="1"/>
    <x v="1"/>
    <n v="22.823725111722801"/>
    <b v="0"/>
    <s v="MD_02"/>
    <x v="0"/>
  </r>
  <r>
    <x v="2784"/>
    <x v="74"/>
    <x v="0"/>
    <x v="3"/>
    <x v="1"/>
    <n v="3.9984599495733422"/>
    <b v="0"/>
    <s v="MD_11"/>
    <x v="1"/>
  </r>
  <r>
    <x v="2785"/>
    <x v="38"/>
    <x v="0"/>
    <x v="2"/>
    <x v="1"/>
    <n v="21.013019469418911"/>
    <b v="0"/>
    <s v="MD_01"/>
    <x v="0"/>
  </r>
  <r>
    <x v="2786"/>
    <x v="414"/>
    <x v="3"/>
    <x v="2"/>
    <x v="1"/>
    <n v="28.138573308955451"/>
    <b v="0"/>
    <s v="MD_06"/>
    <x v="0"/>
  </r>
  <r>
    <x v="2787"/>
    <x v="337"/>
    <x v="2"/>
    <x v="0"/>
    <x v="0"/>
    <n v="2.7959625927429412"/>
    <b v="0"/>
    <s v="MD_02"/>
    <x v="1"/>
  </r>
  <r>
    <x v="2788"/>
    <x v="559"/>
    <x v="0"/>
    <x v="3"/>
    <x v="0"/>
    <n v="2.4766136664866583"/>
    <b v="0"/>
    <s v="MD_03"/>
    <x v="1"/>
  </r>
  <r>
    <x v="2789"/>
    <x v="424"/>
    <x v="2"/>
    <x v="0"/>
    <x v="0"/>
    <n v="28.039460929835592"/>
    <b v="0"/>
    <s v="MD_12"/>
    <x v="0"/>
  </r>
  <r>
    <x v="2790"/>
    <x v="648"/>
    <x v="1"/>
    <x v="0"/>
    <x v="1"/>
    <n v="30.564326115993484"/>
    <b v="0"/>
    <s v="MD_05"/>
    <x v="0"/>
  </r>
  <r>
    <x v="2791"/>
    <x v="57"/>
    <x v="3"/>
    <x v="1"/>
    <x v="0"/>
    <n v="6.8624298500498089"/>
    <b v="0"/>
    <s v="MD_08"/>
    <x v="1"/>
  </r>
  <r>
    <x v="2792"/>
    <x v="119"/>
    <x v="2"/>
    <x v="3"/>
    <x v="1"/>
    <n v="31.509316732408006"/>
    <b v="0"/>
    <s v="MD_19"/>
    <x v="0"/>
  </r>
  <r>
    <x v="2793"/>
    <x v="615"/>
    <x v="3"/>
    <x v="3"/>
    <x v="1"/>
    <n v="5.2924939763827306"/>
    <b v="0"/>
    <s v="MD_01"/>
    <x v="1"/>
  </r>
  <r>
    <x v="2794"/>
    <x v="233"/>
    <x v="3"/>
    <x v="4"/>
    <x v="1"/>
    <n v="6.1349023342618727"/>
    <b v="0"/>
    <s v="MD_03"/>
    <x v="1"/>
  </r>
  <r>
    <x v="2795"/>
    <x v="409"/>
    <x v="1"/>
    <x v="1"/>
    <x v="1"/>
    <n v="26.687445966305877"/>
    <b v="0"/>
    <s v="MD_09"/>
    <x v="0"/>
  </r>
  <r>
    <x v="2796"/>
    <x v="201"/>
    <x v="3"/>
    <x v="0"/>
    <x v="0"/>
    <n v="2.1234121483959822"/>
    <b v="0"/>
    <s v="MD_04"/>
    <x v="1"/>
  </r>
  <r>
    <x v="2797"/>
    <x v="328"/>
    <x v="1"/>
    <x v="2"/>
    <x v="0"/>
    <n v="33.108890072905915"/>
    <b v="0"/>
    <s v="MD_07"/>
    <x v="0"/>
  </r>
  <r>
    <x v="2798"/>
    <x v="162"/>
    <x v="0"/>
    <x v="0"/>
    <x v="0"/>
    <n v="24.793644787462792"/>
    <b v="0"/>
    <s v="MD_08"/>
    <x v="0"/>
  </r>
  <r>
    <x v="2799"/>
    <x v="247"/>
    <x v="3"/>
    <x v="1"/>
    <x v="0"/>
    <n v="7.305228244777858"/>
    <b v="0"/>
    <s v="MD_05"/>
    <x v="1"/>
  </r>
  <r>
    <x v="2800"/>
    <x v="655"/>
    <x v="1"/>
    <x v="1"/>
    <x v="1"/>
    <n v="15.031711222976787"/>
    <b v="0"/>
    <s v="MD_09"/>
    <x v="0"/>
  </r>
  <r>
    <x v="2801"/>
    <x v="39"/>
    <x v="2"/>
    <x v="4"/>
    <x v="1"/>
    <n v="4.7141231635156595"/>
    <b v="0"/>
    <s v="MD_14"/>
    <x v="2"/>
  </r>
  <r>
    <x v="2802"/>
    <x v="484"/>
    <x v="0"/>
    <x v="2"/>
    <x v="1"/>
    <n v="31.89799037842279"/>
    <b v="0"/>
    <s v="MD_14"/>
    <x v="0"/>
  </r>
  <r>
    <x v="2803"/>
    <x v="329"/>
    <x v="1"/>
    <x v="0"/>
    <x v="0"/>
    <n v="8.1808069147472651"/>
    <b v="0"/>
    <s v="MD_02"/>
    <x v="1"/>
  </r>
  <r>
    <x v="2804"/>
    <x v="257"/>
    <x v="1"/>
    <x v="4"/>
    <x v="0"/>
    <n v="7.5516476351341462"/>
    <b v="0"/>
    <s v="MD_15"/>
    <x v="1"/>
  </r>
  <r>
    <x v="2805"/>
    <x v="525"/>
    <x v="0"/>
    <x v="1"/>
    <x v="0"/>
    <n v="5.7474330232464395"/>
    <b v="0"/>
    <s v="MD_07"/>
    <x v="1"/>
  </r>
  <r>
    <x v="2806"/>
    <x v="592"/>
    <x v="2"/>
    <x v="3"/>
    <x v="0"/>
    <n v="6.1894456626365928"/>
    <b v="0"/>
    <s v="MD_19"/>
    <x v="1"/>
  </r>
  <r>
    <x v="2807"/>
    <x v="50"/>
    <x v="1"/>
    <x v="1"/>
    <x v="0"/>
    <n v="3.4195187120547827"/>
    <b v="0"/>
    <s v="MD_01"/>
    <x v="1"/>
  </r>
  <r>
    <x v="2808"/>
    <x v="11"/>
    <x v="1"/>
    <x v="0"/>
    <x v="0"/>
    <n v="6.3911190152654331"/>
    <b v="0"/>
    <s v="MD_20"/>
    <x v="1"/>
  </r>
  <r>
    <x v="2809"/>
    <x v="252"/>
    <x v="3"/>
    <x v="0"/>
    <x v="0"/>
    <n v="7.2087623575040922"/>
    <b v="0"/>
    <s v="MD_03"/>
    <x v="1"/>
  </r>
  <r>
    <x v="2810"/>
    <x v="152"/>
    <x v="0"/>
    <x v="4"/>
    <x v="1"/>
    <n v="23.005569984595734"/>
    <b v="0"/>
    <s v="MD_05"/>
    <x v="0"/>
  </r>
  <r>
    <x v="2811"/>
    <x v="651"/>
    <x v="2"/>
    <x v="1"/>
    <x v="1"/>
    <n v="46.529336597235627"/>
    <b v="0"/>
    <s v="MD_08"/>
    <x v="0"/>
  </r>
  <r>
    <x v="2812"/>
    <x v="146"/>
    <x v="1"/>
    <x v="0"/>
    <x v="0"/>
    <n v="5.0967197924397354"/>
    <b v="0"/>
    <s v="MD_08"/>
    <x v="1"/>
  </r>
  <r>
    <x v="2813"/>
    <x v="416"/>
    <x v="2"/>
    <x v="4"/>
    <x v="1"/>
    <n v="23.002749987017367"/>
    <b v="0"/>
    <s v="MD_07"/>
    <x v="0"/>
  </r>
  <r>
    <x v="2814"/>
    <x v="122"/>
    <x v="1"/>
    <x v="3"/>
    <x v="0"/>
    <n v="5.9711095197552471"/>
    <b v="0"/>
    <s v="MD_19"/>
    <x v="2"/>
  </r>
  <r>
    <x v="2815"/>
    <x v="249"/>
    <x v="1"/>
    <x v="2"/>
    <x v="0"/>
    <n v="2.339400707532354"/>
    <b v="0"/>
    <s v="MD_06"/>
    <x v="2"/>
  </r>
  <r>
    <x v="2816"/>
    <x v="170"/>
    <x v="2"/>
    <x v="3"/>
    <x v="0"/>
    <n v="22.354104788944142"/>
    <b v="0"/>
    <s v="MD_08"/>
    <x v="0"/>
  </r>
  <r>
    <x v="2817"/>
    <x v="478"/>
    <x v="2"/>
    <x v="4"/>
    <x v="1"/>
    <n v="24.975676157563512"/>
    <b v="0"/>
    <s v="MD_15"/>
    <x v="0"/>
  </r>
  <r>
    <x v="2818"/>
    <x v="355"/>
    <x v="0"/>
    <x v="3"/>
    <x v="0"/>
    <n v="3.7506936145586258"/>
    <b v="0"/>
    <s v="MD_16"/>
    <x v="1"/>
  </r>
  <r>
    <x v="2819"/>
    <x v="67"/>
    <x v="1"/>
    <x v="4"/>
    <x v="0"/>
    <n v="5.8090267258317585"/>
    <b v="0"/>
    <s v="MD_05"/>
    <x v="1"/>
  </r>
  <r>
    <x v="2820"/>
    <x v="429"/>
    <x v="1"/>
    <x v="1"/>
    <x v="0"/>
    <n v="7.6305269463071852"/>
    <b v="0"/>
    <s v="MD_20"/>
    <x v="1"/>
  </r>
  <r>
    <x v="2821"/>
    <x v="656"/>
    <x v="0"/>
    <x v="0"/>
    <x v="0"/>
    <n v="5.9953265244691964"/>
    <b v="0"/>
    <s v="MD_04"/>
    <x v="1"/>
  </r>
  <r>
    <x v="2822"/>
    <x v="597"/>
    <x v="0"/>
    <x v="2"/>
    <x v="1"/>
    <n v="4.3952054723652827"/>
    <b v="0"/>
    <s v="MD_13"/>
    <x v="1"/>
  </r>
  <r>
    <x v="2823"/>
    <x v="650"/>
    <x v="1"/>
    <x v="0"/>
    <x v="1"/>
    <n v="18.632011315314827"/>
    <b v="0"/>
    <s v="MD_11"/>
    <x v="0"/>
  </r>
  <r>
    <x v="2824"/>
    <x v="651"/>
    <x v="1"/>
    <x v="1"/>
    <x v="1"/>
    <n v="33.883682747115174"/>
    <b v="0"/>
    <s v="MD_16"/>
    <x v="0"/>
  </r>
  <r>
    <x v="2825"/>
    <x v="615"/>
    <x v="1"/>
    <x v="0"/>
    <x v="0"/>
    <n v="7.540998192822002"/>
    <b v="0"/>
    <s v="MD_18"/>
    <x v="1"/>
  </r>
  <r>
    <x v="2826"/>
    <x v="299"/>
    <x v="2"/>
    <x v="1"/>
    <x v="1"/>
    <n v="8.039885441899207"/>
    <b v="0"/>
    <s v="MD_17"/>
    <x v="1"/>
  </r>
  <r>
    <x v="2827"/>
    <x v="259"/>
    <x v="1"/>
    <x v="2"/>
    <x v="0"/>
    <n v="28.293757398361361"/>
    <b v="0"/>
    <s v="MD_15"/>
    <x v="0"/>
  </r>
  <r>
    <x v="2828"/>
    <x v="505"/>
    <x v="1"/>
    <x v="1"/>
    <x v="0"/>
    <n v="26.827750389415414"/>
    <b v="0"/>
    <s v="MD_06"/>
    <x v="0"/>
  </r>
  <r>
    <x v="2829"/>
    <x v="536"/>
    <x v="2"/>
    <x v="0"/>
    <x v="0"/>
    <n v="3.1989842409119618"/>
    <b v="0"/>
    <s v="MD_19"/>
    <x v="1"/>
  </r>
  <r>
    <x v="2830"/>
    <x v="542"/>
    <x v="2"/>
    <x v="4"/>
    <x v="0"/>
    <n v="2.4811921027451214"/>
    <b v="0"/>
    <s v="MD_10"/>
    <x v="1"/>
  </r>
  <r>
    <x v="2831"/>
    <x v="580"/>
    <x v="2"/>
    <x v="1"/>
    <x v="0"/>
    <n v="8.6170057597919083"/>
    <b v="0"/>
    <s v="MD_08"/>
    <x v="1"/>
  </r>
  <r>
    <x v="2832"/>
    <x v="133"/>
    <x v="2"/>
    <x v="2"/>
    <x v="0"/>
    <n v="6.3396426312102623"/>
    <b v="0"/>
    <s v="MD_16"/>
    <x v="1"/>
  </r>
  <r>
    <x v="2833"/>
    <x v="437"/>
    <x v="2"/>
    <x v="4"/>
    <x v="0"/>
    <n v="6.2323396536881353"/>
    <b v="0"/>
    <s v="MD_02"/>
    <x v="1"/>
  </r>
  <r>
    <x v="2834"/>
    <x v="340"/>
    <x v="0"/>
    <x v="4"/>
    <x v="0"/>
    <n v="5.4314987503744296"/>
    <b v="0"/>
    <s v="MD_11"/>
    <x v="1"/>
  </r>
  <r>
    <x v="2835"/>
    <x v="567"/>
    <x v="0"/>
    <x v="3"/>
    <x v="1"/>
    <n v="23.717299575457176"/>
    <b v="0"/>
    <s v="MD_06"/>
    <x v="0"/>
  </r>
  <r>
    <x v="2836"/>
    <x v="713"/>
    <x v="2"/>
    <x v="3"/>
    <x v="1"/>
    <n v="4.3886074052695179"/>
    <b v="1"/>
    <s v="MD_09"/>
    <x v="2"/>
  </r>
  <r>
    <x v="2837"/>
    <x v="196"/>
    <x v="2"/>
    <x v="0"/>
    <x v="0"/>
    <n v="22.057768961243536"/>
    <b v="0"/>
    <s v="MD_09"/>
    <x v="0"/>
  </r>
  <r>
    <x v="2838"/>
    <x v="559"/>
    <x v="2"/>
    <x v="4"/>
    <x v="0"/>
    <n v="3.6411996042696817"/>
    <b v="0"/>
    <s v="MD_07"/>
    <x v="1"/>
  </r>
  <r>
    <x v="2839"/>
    <x v="201"/>
    <x v="2"/>
    <x v="3"/>
    <x v="0"/>
    <n v="32.246281191848432"/>
    <b v="0"/>
    <s v="MD_05"/>
    <x v="0"/>
  </r>
  <r>
    <x v="2840"/>
    <x v="147"/>
    <x v="1"/>
    <x v="1"/>
    <x v="0"/>
    <n v="7.2608893854375873"/>
    <b v="0"/>
    <s v="MD_08"/>
    <x v="1"/>
  </r>
  <r>
    <x v="2841"/>
    <x v="704"/>
    <x v="3"/>
    <x v="2"/>
    <x v="1"/>
    <n v="27.553535316202201"/>
    <b v="0"/>
    <s v="MD_13"/>
    <x v="0"/>
  </r>
  <r>
    <x v="2842"/>
    <x v="92"/>
    <x v="2"/>
    <x v="4"/>
    <x v="1"/>
    <n v="4.0410090857086089"/>
    <b v="0"/>
    <s v="MD_08"/>
    <x v="1"/>
  </r>
  <r>
    <x v="2843"/>
    <x v="546"/>
    <x v="0"/>
    <x v="2"/>
    <x v="1"/>
    <n v="7.0022434943913572"/>
    <b v="0"/>
    <s v="MD_04"/>
    <x v="1"/>
  </r>
  <r>
    <x v="2844"/>
    <x v="30"/>
    <x v="0"/>
    <x v="2"/>
    <x v="0"/>
    <n v="4.6311453411983567"/>
    <b v="0"/>
    <s v="MD_07"/>
    <x v="1"/>
  </r>
  <r>
    <x v="2845"/>
    <x v="557"/>
    <x v="0"/>
    <x v="2"/>
    <x v="0"/>
    <n v="7.3729462758930167"/>
    <b v="0"/>
    <s v="MD_07"/>
    <x v="1"/>
  </r>
  <r>
    <x v="2846"/>
    <x v="596"/>
    <x v="3"/>
    <x v="2"/>
    <x v="1"/>
    <n v="17.994668554739878"/>
    <b v="0"/>
    <s v="MD_13"/>
    <x v="0"/>
  </r>
  <r>
    <x v="2847"/>
    <x v="29"/>
    <x v="2"/>
    <x v="4"/>
    <x v="0"/>
    <n v="6.3023784394364597"/>
    <b v="0"/>
    <s v="MD_20"/>
    <x v="1"/>
  </r>
  <r>
    <x v="2848"/>
    <x v="395"/>
    <x v="2"/>
    <x v="1"/>
    <x v="0"/>
    <n v="7.3483372161297602"/>
    <b v="0"/>
    <s v="MD_06"/>
    <x v="1"/>
  </r>
  <r>
    <x v="2849"/>
    <x v="418"/>
    <x v="3"/>
    <x v="0"/>
    <x v="1"/>
    <n v="29.749147359393049"/>
    <b v="0"/>
    <s v="MD_02"/>
    <x v="0"/>
  </r>
  <r>
    <x v="2850"/>
    <x v="313"/>
    <x v="0"/>
    <x v="3"/>
    <x v="0"/>
    <n v="6.2397201958289346"/>
    <b v="0"/>
    <s v="MD_16"/>
    <x v="1"/>
  </r>
  <r>
    <x v="2851"/>
    <x v="552"/>
    <x v="3"/>
    <x v="0"/>
    <x v="1"/>
    <n v="25.499569899300699"/>
    <b v="0"/>
    <s v="MD_13"/>
    <x v="0"/>
  </r>
  <r>
    <x v="2852"/>
    <x v="98"/>
    <x v="0"/>
    <x v="0"/>
    <x v="0"/>
    <n v="9.4503122082258333"/>
    <b v="0"/>
    <s v="MD_11"/>
    <x v="1"/>
  </r>
  <r>
    <x v="2853"/>
    <x v="429"/>
    <x v="1"/>
    <x v="4"/>
    <x v="0"/>
    <n v="6.9396706499390888"/>
    <b v="0"/>
    <s v="MD_07"/>
    <x v="1"/>
  </r>
  <r>
    <x v="2854"/>
    <x v="1"/>
    <x v="0"/>
    <x v="2"/>
    <x v="0"/>
    <n v="5.9007366858812116"/>
    <b v="0"/>
    <s v="MD_16"/>
    <x v="1"/>
  </r>
  <r>
    <x v="2855"/>
    <x v="2"/>
    <x v="1"/>
    <x v="0"/>
    <x v="1"/>
    <n v="2.9804959109515319"/>
    <b v="0"/>
    <s v="MD_16"/>
    <x v="1"/>
  </r>
  <r>
    <x v="2856"/>
    <x v="700"/>
    <x v="2"/>
    <x v="3"/>
    <x v="0"/>
    <n v="3.6245882253071606"/>
    <b v="0"/>
    <s v="MD_08"/>
    <x v="1"/>
  </r>
  <r>
    <x v="2857"/>
    <x v="590"/>
    <x v="1"/>
    <x v="1"/>
    <x v="0"/>
    <n v="5.4597195586284331"/>
    <b v="0"/>
    <s v="MD_09"/>
    <x v="1"/>
  </r>
  <r>
    <x v="2858"/>
    <x v="403"/>
    <x v="3"/>
    <x v="4"/>
    <x v="1"/>
    <n v="12.314571156949427"/>
    <b v="0"/>
    <s v="MD_17"/>
    <x v="0"/>
  </r>
  <r>
    <x v="2859"/>
    <x v="41"/>
    <x v="3"/>
    <x v="3"/>
    <x v="0"/>
    <n v="9.1215058962374069"/>
    <b v="0"/>
    <s v="MD_01"/>
    <x v="1"/>
  </r>
  <r>
    <x v="2860"/>
    <x v="244"/>
    <x v="3"/>
    <x v="4"/>
    <x v="0"/>
    <n v="4.9709699522933555"/>
    <b v="0"/>
    <s v="MD_03"/>
    <x v="2"/>
  </r>
  <r>
    <x v="2861"/>
    <x v="103"/>
    <x v="2"/>
    <x v="4"/>
    <x v="0"/>
    <n v="6.9873126642407941"/>
    <b v="0"/>
    <s v="MD_15"/>
    <x v="1"/>
  </r>
  <r>
    <x v="2862"/>
    <x v="98"/>
    <x v="0"/>
    <x v="4"/>
    <x v="0"/>
    <n v="8.763811084828081"/>
    <b v="0"/>
    <s v="MD_13"/>
    <x v="1"/>
  </r>
  <r>
    <x v="2863"/>
    <x v="37"/>
    <x v="2"/>
    <x v="3"/>
    <x v="0"/>
    <n v="22.349374106457276"/>
    <b v="0"/>
    <s v="MD_13"/>
    <x v="0"/>
  </r>
  <r>
    <x v="2864"/>
    <x v="427"/>
    <x v="0"/>
    <x v="2"/>
    <x v="0"/>
    <n v="4.7523116718124472"/>
    <b v="0"/>
    <s v="MD_01"/>
    <x v="1"/>
  </r>
  <r>
    <x v="2865"/>
    <x v="604"/>
    <x v="3"/>
    <x v="0"/>
    <x v="1"/>
    <n v="31.266952171107846"/>
    <b v="0"/>
    <s v="MD_05"/>
    <x v="0"/>
  </r>
  <r>
    <x v="2866"/>
    <x v="316"/>
    <x v="3"/>
    <x v="1"/>
    <x v="0"/>
    <n v="3.1513900316440648"/>
    <b v="0"/>
    <s v="MD_19"/>
    <x v="1"/>
  </r>
  <r>
    <x v="2867"/>
    <x v="284"/>
    <x v="3"/>
    <x v="2"/>
    <x v="0"/>
    <n v="2.9671843557317343"/>
    <b v="0"/>
    <s v="MD_13"/>
    <x v="2"/>
  </r>
  <r>
    <x v="2868"/>
    <x v="204"/>
    <x v="0"/>
    <x v="4"/>
    <x v="0"/>
    <n v="7.7664306468017088"/>
    <b v="0"/>
    <s v="MD_05"/>
    <x v="2"/>
  </r>
  <r>
    <x v="2869"/>
    <x v="188"/>
    <x v="3"/>
    <x v="3"/>
    <x v="0"/>
    <n v="18.367850969781713"/>
    <b v="0"/>
    <s v="MD_14"/>
    <x v="0"/>
  </r>
  <r>
    <x v="2870"/>
    <x v="37"/>
    <x v="1"/>
    <x v="1"/>
    <x v="0"/>
    <n v="20.470795090076024"/>
    <b v="0"/>
    <s v="MD_13"/>
    <x v="0"/>
  </r>
  <r>
    <x v="2871"/>
    <x v="473"/>
    <x v="2"/>
    <x v="4"/>
    <x v="0"/>
    <n v="7.9567517888083241"/>
    <b v="0"/>
    <s v="MD_06"/>
    <x v="1"/>
  </r>
  <r>
    <x v="2872"/>
    <x v="714"/>
    <x v="1"/>
    <x v="1"/>
    <x v="1"/>
    <n v="7.328164106062026"/>
    <b v="0"/>
    <s v="MD_17"/>
    <x v="2"/>
  </r>
  <r>
    <x v="2873"/>
    <x v="454"/>
    <x v="2"/>
    <x v="3"/>
    <x v="1"/>
    <n v="13.819697435362611"/>
    <b v="0"/>
    <s v="MD_08"/>
    <x v="0"/>
  </r>
  <r>
    <x v="2874"/>
    <x v="614"/>
    <x v="0"/>
    <x v="0"/>
    <x v="0"/>
    <n v="16.061260391489494"/>
    <b v="0"/>
    <s v="MD_15"/>
    <x v="0"/>
  </r>
  <r>
    <x v="2875"/>
    <x v="681"/>
    <x v="2"/>
    <x v="3"/>
    <x v="1"/>
    <n v="3.3725003515628518"/>
    <b v="0"/>
    <s v="MD_01"/>
    <x v="1"/>
  </r>
  <r>
    <x v="2876"/>
    <x v="266"/>
    <x v="0"/>
    <x v="4"/>
    <x v="0"/>
    <n v="26.871072951066431"/>
    <b v="0"/>
    <s v="MD_15"/>
    <x v="0"/>
  </r>
  <r>
    <x v="2877"/>
    <x v="556"/>
    <x v="3"/>
    <x v="3"/>
    <x v="0"/>
    <n v="4.7710956452177573"/>
    <b v="0"/>
    <s v="MD_13"/>
    <x v="1"/>
  </r>
  <r>
    <x v="2878"/>
    <x v="291"/>
    <x v="0"/>
    <x v="0"/>
    <x v="0"/>
    <n v="8.2675436238873967"/>
    <b v="0"/>
    <s v="MD_14"/>
    <x v="1"/>
  </r>
  <r>
    <x v="2879"/>
    <x v="623"/>
    <x v="2"/>
    <x v="4"/>
    <x v="0"/>
    <n v="2.3888077565806629"/>
    <b v="0"/>
    <s v="MD_09"/>
    <x v="1"/>
  </r>
  <r>
    <x v="2880"/>
    <x v="44"/>
    <x v="0"/>
    <x v="3"/>
    <x v="0"/>
    <n v="9.4166774482304909"/>
    <b v="0"/>
    <s v="MD_18"/>
    <x v="1"/>
  </r>
  <r>
    <x v="2881"/>
    <x v="450"/>
    <x v="2"/>
    <x v="1"/>
    <x v="0"/>
    <n v="16.824397454490139"/>
    <b v="0"/>
    <s v="MD_02"/>
    <x v="0"/>
  </r>
  <r>
    <x v="2882"/>
    <x v="112"/>
    <x v="3"/>
    <x v="1"/>
    <x v="0"/>
    <n v="5.8713683176170326"/>
    <b v="1"/>
    <s v="MD_19"/>
    <x v="1"/>
  </r>
  <r>
    <x v="2883"/>
    <x v="524"/>
    <x v="3"/>
    <x v="1"/>
    <x v="0"/>
    <n v="6.8966962877044953"/>
    <b v="0"/>
    <s v="MD_18"/>
    <x v="1"/>
  </r>
  <r>
    <x v="2884"/>
    <x v="341"/>
    <x v="2"/>
    <x v="3"/>
    <x v="1"/>
    <n v="15.93504740585313"/>
    <b v="0"/>
    <s v="MD_09"/>
    <x v="0"/>
  </r>
  <r>
    <x v="2885"/>
    <x v="229"/>
    <x v="2"/>
    <x v="4"/>
    <x v="0"/>
    <n v="7.9035328315968165"/>
    <b v="0"/>
    <s v="MD_06"/>
    <x v="1"/>
  </r>
  <r>
    <x v="2886"/>
    <x v="351"/>
    <x v="3"/>
    <x v="3"/>
    <x v="0"/>
    <n v="6.7184979443839747"/>
    <b v="0"/>
    <s v="MD_06"/>
    <x v="1"/>
  </r>
  <r>
    <x v="2887"/>
    <x v="534"/>
    <x v="3"/>
    <x v="4"/>
    <x v="0"/>
    <n v="8.3690918958331793"/>
    <b v="0"/>
    <s v="MD_15"/>
    <x v="1"/>
  </r>
  <r>
    <x v="2888"/>
    <x v="34"/>
    <x v="2"/>
    <x v="3"/>
    <x v="0"/>
    <n v="4.965626361506204"/>
    <b v="0"/>
    <s v="MD_19"/>
    <x v="1"/>
  </r>
  <r>
    <x v="2889"/>
    <x v="715"/>
    <x v="1"/>
    <x v="2"/>
    <x v="1"/>
    <n v="25.42140861023255"/>
    <b v="0"/>
    <s v="MD_03"/>
    <x v="0"/>
  </r>
  <r>
    <x v="2890"/>
    <x v="333"/>
    <x v="1"/>
    <x v="3"/>
    <x v="0"/>
    <n v="4.0119967984605998"/>
    <b v="0"/>
    <s v="MD_16"/>
    <x v="1"/>
  </r>
  <r>
    <x v="2891"/>
    <x v="610"/>
    <x v="0"/>
    <x v="1"/>
    <x v="0"/>
    <n v="26.954181188121204"/>
    <b v="0"/>
    <s v="MD_09"/>
    <x v="0"/>
  </r>
  <r>
    <x v="2892"/>
    <x v="203"/>
    <x v="0"/>
    <x v="1"/>
    <x v="1"/>
    <n v="34.985406093681846"/>
    <b v="0"/>
    <s v="MD_12"/>
    <x v="0"/>
  </r>
  <r>
    <x v="2893"/>
    <x v="443"/>
    <x v="2"/>
    <x v="1"/>
    <x v="0"/>
    <n v="5.5586408667993963"/>
    <b v="0"/>
    <s v="MD_07"/>
    <x v="1"/>
  </r>
  <r>
    <x v="2894"/>
    <x v="578"/>
    <x v="1"/>
    <x v="1"/>
    <x v="0"/>
    <n v="8.2195347448750802"/>
    <b v="0"/>
    <s v="MD_20"/>
    <x v="1"/>
  </r>
  <r>
    <x v="2895"/>
    <x v="568"/>
    <x v="1"/>
    <x v="3"/>
    <x v="1"/>
    <n v="12.320772201600914"/>
    <b v="0"/>
    <s v="MD_19"/>
    <x v="0"/>
  </r>
  <r>
    <x v="2896"/>
    <x v="532"/>
    <x v="1"/>
    <x v="3"/>
    <x v="1"/>
    <n v="11.137105336897895"/>
    <b v="0"/>
    <s v="MD_05"/>
    <x v="1"/>
  </r>
  <r>
    <x v="2897"/>
    <x v="652"/>
    <x v="0"/>
    <x v="4"/>
    <x v="1"/>
    <n v="-0.4213171662159283"/>
    <b v="0"/>
    <s v="MD_19"/>
    <x v="0"/>
  </r>
  <r>
    <x v="2898"/>
    <x v="655"/>
    <x v="1"/>
    <x v="0"/>
    <x v="1"/>
    <n v="21.287662481502721"/>
    <b v="0"/>
    <s v="MD_20"/>
    <x v="0"/>
  </r>
  <r>
    <x v="2899"/>
    <x v="333"/>
    <x v="2"/>
    <x v="4"/>
    <x v="1"/>
    <n v="8.8827630734449716"/>
    <b v="0"/>
    <s v="MD_15"/>
    <x v="1"/>
  </r>
  <r>
    <x v="2900"/>
    <x v="680"/>
    <x v="0"/>
    <x v="4"/>
    <x v="0"/>
    <n v="1.946169195250226"/>
    <b v="0"/>
    <s v="MD_04"/>
    <x v="1"/>
  </r>
  <r>
    <x v="2901"/>
    <x v="404"/>
    <x v="0"/>
    <x v="4"/>
    <x v="1"/>
    <n v="4.1575278868916659"/>
    <b v="0"/>
    <s v="MD_09"/>
    <x v="1"/>
  </r>
  <r>
    <x v="2902"/>
    <x v="8"/>
    <x v="0"/>
    <x v="1"/>
    <x v="1"/>
    <n v="4.7601036754150687"/>
    <b v="0"/>
    <s v="MD_04"/>
    <x v="1"/>
  </r>
  <r>
    <x v="2903"/>
    <x v="413"/>
    <x v="2"/>
    <x v="2"/>
    <x v="0"/>
    <n v="9.5994125747352186"/>
    <b v="0"/>
    <s v="MD_08"/>
    <x v="2"/>
  </r>
  <r>
    <x v="2904"/>
    <x v="598"/>
    <x v="2"/>
    <x v="2"/>
    <x v="1"/>
    <n v="20.299089703400185"/>
    <b v="0"/>
    <s v="MD_06"/>
    <x v="0"/>
  </r>
  <r>
    <x v="2905"/>
    <x v="162"/>
    <x v="0"/>
    <x v="1"/>
    <x v="0"/>
    <n v="8.3763482368408866"/>
    <b v="0"/>
    <s v="MD_05"/>
    <x v="1"/>
  </r>
  <r>
    <x v="2906"/>
    <x v="280"/>
    <x v="3"/>
    <x v="1"/>
    <x v="0"/>
    <n v="4.3593497618408534"/>
    <b v="0"/>
    <s v="MD_08"/>
    <x v="1"/>
  </r>
  <r>
    <x v="2907"/>
    <x v="10"/>
    <x v="3"/>
    <x v="0"/>
    <x v="0"/>
    <n v="5.4951932468057354"/>
    <b v="0"/>
    <s v="MD_18"/>
    <x v="1"/>
  </r>
  <r>
    <x v="2908"/>
    <x v="258"/>
    <x v="2"/>
    <x v="3"/>
    <x v="0"/>
    <n v="4.7418845416014435"/>
    <b v="0"/>
    <s v="MD_12"/>
    <x v="1"/>
  </r>
  <r>
    <x v="2909"/>
    <x v="527"/>
    <x v="0"/>
    <x v="4"/>
    <x v="1"/>
    <n v="17.449758394405887"/>
    <b v="0"/>
    <s v="MD_17"/>
    <x v="0"/>
  </r>
  <r>
    <x v="2910"/>
    <x v="317"/>
    <x v="2"/>
    <x v="0"/>
    <x v="0"/>
    <n v="6.5830098897876477"/>
    <b v="0"/>
    <s v="MD_08"/>
    <x v="2"/>
  </r>
  <r>
    <x v="2911"/>
    <x v="140"/>
    <x v="0"/>
    <x v="0"/>
    <x v="0"/>
    <n v="7.4372068123477186"/>
    <b v="0"/>
    <s v="MD_11"/>
    <x v="1"/>
  </r>
  <r>
    <x v="2912"/>
    <x v="389"/>
    <x v="3"/>
    <x v="3"/>
    <x v="0"/>
    <n v="5.6313651888066145"/>
    <b v="0"/>
    <s v="MD_03"/>
    <x v="1"/>
  </r>
  <r>
    <x v="2913"/>
    <x v="144"/>
    <x v="1"/>
    <x v="3"/>
    <x v="0"/>
    <n v="6.4077775928694942"/>
    <b v="0"/>
    <s v="MD_07"/>
    <x v="1"/>
  </r>
  <r>
    <x v="2914"/>
    <x v="716"/>
    <x v="1"/>
    <x v="0"/>
    <x v="0"/>
    <n v="4.8274226875994151"/>
    <b v="0"/>
    <s v="MD_16"/>
    <x v="1"/>
  </r>
  <r>
    <x v="2915"/>
    <x v="391"/>
    <x v="3"/>
    <x v="0"/>
    <x v="1"/>
    <n v="6.4338721672375891"/>
    <b v="0"/>
    <s v="MD_13"/>
    <x v="1"/>
  </r>
  <r>
    <x v="2916"/>
    <x v="239"/>
    <x v="0"/>
    <x v="4"/>
    <x v="0"/>
    <n v="5.8157868175540735"/>
    <b v="0"/>
    <s v="MD_02"/>
    <x v="1"/>
  </r>
  <r>
    <x v="2917"/>
    <x v="476"/>
    <x v="0"/>
    <x v="0"/>
    <x v="0"/>
    <n v="9.7228678174325402"/>
    <b v="0"/>
    <s v="MD_18"/>
    <x v="1"/>
  </r>
  <r>
    <x v="2918"/>
    <x v="638"/>
    <x v="3"/>
    <x v="4"/>
    <x v="0"/>
    <n v="4.5966955991265781"/>
    <b v="0"/>
    <s v="MD_01"/>
    <x v="1"/>
  </r>
  <r>
    <x v="2919"/>
    <x v="407"/>
    <x v="3"/>
    <x v="3"/>
    <x v="1"/>
    <n v="22.793326971110588"/>
    <b v="0"/>
    <s v="MD_19"/>
    <x v="0"/>
  </r>
  <r>
    <x v="2920"/>
    <x v="688"/>
    <x v="2"/>
    <x v="1"/>
    <x v="0"/>
    <n v="-1.4953405326772042"/>
    <b v="0"/>
    <s v="MD_08"/>
    <x v="0"/>
  </r>
  <r>
    <x v="2921"/>
    <x v="577"/>
    <x v="0"/>
    <x v="1"/>
    <x v="1"/>
    <n v="32.00845456008139"/>
    <b v="0"/>
    <s v="MD_08"/>
    <x v="0"/>
  </r>
  <r>
    <x v="2922"/>
    <x v="557"/>
    <x v="0"/>
    <x v="2"/>
    <x v="0"/>
    <n v="12.705466375006406"/>
    <b v="0"/>
    <s v="MD_03"/>
    <x v="0"/>
  </r>
  <r>
    <x v="2923"/>
    <x v="187"/>
    <x v="1"/>
    <x v="1"/>
    <x v="1"/>
    <n v="6.4077079450649137"/>
    <b v="0"/>
    <s v="MD_08"/>
    <x v="1"/>
  </r>
  <r>
    <x v="2924"/>
    <x v="158"/>
    <x v="0"/>
    <x v="1"/>
    <x v="0"/>
    <n v="3.9243669486671404"/>
    <b v="0"/>
    <s v="MD_02"/>
    <x v="2"/>
  </r>
  <r>
    <x v="2925"/>
    <x v="509"/>
    <x v="0"/>
    <x v="2"/>
    <x v="0"/>
    <n v="6.8887009026948398"/>
    <b v="0"/>
    <s v="MD_18"/>
    <x v="1"/>
  </r>
  <r>
    <x v="2926"/>
    <x v="653"/>
    <x v="2"/>
    <x v="1"/>
    <x v="0"/>
    <n v="5.0928859471322188"/>
    <b v="0"/>
    <s v="MD_13"/>
    <x v="1"/>
  </r>
  <r>
    <x v="2927"/>
    <x v="198"/>
    <x v="2"/>
    <x v="4"/>
    <x v="1"/>
    <n v="14.35597587837562"/>
    <b v="0"/>
    <s v="MD_06"/>
    <x v="0"/>
  </r>
  <r>
    <x v="2928"/>
    <x v="199"/>
    <x v="2"/>
    <x v="1"/>
    <x v="1"/>
    <n v="7.7173590237334793"/>
    <b v="0"/>
    <s v="MD_05"/>
    <x v="1"/>
  </r>
  <r>
    <x v="2929"/>
    <x v="282"/>
    <x v="3"/>
    <x v="3"/>
    <x v="1"/>
    <n v="18.144297888880629"/>
    <b v="0"/>
    <s v="MD_01"/>
    <x v="0"/>
  </r>
  <r>
    <x v="2930"/>
    <x v="152"/>
    <x v="2"/>
    <x v="0"/>
    <x v="1"/>
    <n v="24.889625292390448"/>
    <b v="0"/>
    <s v="MD_05"/>
    <x v="0"/>
  </r>
  <r>
    <x v="2931"/>
    <x v="332"/>
    <x v="0"/>
    <x v="2"/>
    <x v="0"/>
    <n v="29.664861235033143"/>
    <b v="0"/>
    <s v="MD_14"/>
    <x v="0"/>
  </r>
  <r>
    <x v="2932"/>
    <x v="371"/>
    <x v="2"/>
    <x v="0"/>
    <x v="0"/>
    <n v="9.3896728046689706"/>
    <b v="0"/>
    <s v="MD_12"/>
    <x v="1"/>
  </r>
  <r>
    <x v="2933"/>
    <x v="519"/>
    <x v="2"/>
    <x v="4"/>
    <x v="1"/>
    <n v="28.710775740007172"/>
    <b v="0"/>
    <s v="MD_17"/>
    <x v="0"/>
  </r>
  <r>
    <x v="2934"/>
    <x v="380"/>
    <x v="2"/>
    <x v="1"/>
    <x v="0"/>
    <n v="24.855112928920061"/>
    <b v="0"/>
    <s v="MD_19"/>
    <x v="0"/>
  </r>
  <r>
    <x v="2935"/>
    <x v="577"/>
    <x v="2"/>
    <x v="0"/>
    <x v="1"/>
    <n v="29.535480729659454"/>
    <b v="0"/>
    <s v="MD_14"/>
    <x v="0"/>
  </r>
  <r>
    <x v="2936"/>
    <x v="654"/>
    <x v="0"/>
    <x v="2"/>
    <x v="0"/>
    <n v="2.7427572663791309"/>
    <b v="0"/>
    <s v="MD_20"/>
    <x v="1"/>
  </r>
  <r>
    <x v="2937"/>
    <x v="659"/>
    <x v="3"/>
    <x v="3"/>
    <x v="0"/>
    <n v="4.297631984168274"/>
    <b v="0"/>
    <s v="MD_20"/>
    <x v="1"/>
  </r>
  <r>
    <x v="2938"/>
    <x v="392"/>
    <x v="1"/>
    <x v="2"/>
    <x v="0"/>
    <n v="7.0775421562549639"/>
    <b v="0"/>
    <s v="MD_12"/>
    <x v="2"/>
  </r>
  <r>
    <x v="2939"/>
    <x v="223"/>
    <x v="1"/>
    <x v="4"/>
    <x v="1"/>
    <n v="22.224355787846807"/>
    <b v="0"/>
    <s v="MD_03"/>
    <x v="0"/>
  </r>
  <r>
    <x v="2940"/>
    <x v="42"/>
    <x v="2"/>
    <x v="4"/>
    <x v="0"/>
    <n v="7.9514891078498957"/>
    <b v="0"/>
    <s v="MD_12"/>
    <x v="1"/>
  </r>
  <r>
    <x v="2941"/>
    <x v="30"/>
    <x v="2"/>
    <x v="3"/>
    <x v="1"/>
    <n v="4.3766798078607554"/>
    <b v="0"/>
    <s v="MD_11"/>
    <x v="1"/>
  </r>
  <r>
    <x v="2942"/>
    <x v="599"/>
    <x v="0"/>
    <x v="3"/>
    <x v="1"/>
    <n v="14.818637944451849"/>
    <b v="0"/>
    <s v="MD_03"/>
    <x v="0"/>
  </r>
  <r>
    <x v="2943"/>
    <x v="276"/>
    <x v="1"/>
    <x v="3"/>
    <x v="0"/>
    <n v="5.9370543337917017"/>
    <b v="0"/>
    <s v="MD_09"/>
    <x v="1"/>
  </r>
  <r>
    <x v="2944"/>
    <x v="387"/>
    <x v="1"/>
    <x v="3"/>
    <x v="1"/>
    <n v="12.235680201029705"/>
    <b v="0"/>
    <s v="MD_13"/>
    <x v="0"/>
  </r>
  <r>
    <x v="2945"/>
    <x v="310"/>
    <x v="0"/>
    <x v="2"/>
    <x v="0"/>
    <n v="5.6423950766425248"/>
    <b v="0"/>
    <s v="MD_04"/>
    <x v="1"/>
  </r>
  <r>
    <x v="2946"/>
    <x v="438"/>
    <x v="3"/>
    <x v="3"/>
    <x v="0"/>
    <n v="3.4516618107395916"/>
    <b v="0"/>
    <s v="MD_09"/>
    <x v="1"/>
  </r>
  <r>
    <x v="2947"/>
    <x v="590"/>
    <x v="0"/>
    <x v="3"/>
    <x v="1"/>
    <n v="5.0096865303348812"/>
    <b v="0"/>
    <s v="MD_04"/>
    <x v="1"/>
  </r>
  <r>
    <x v="2948"/>
    <x v="602"/>
    <x v="2"/>
    <x v="2"/>
    <x v="0"/>
    <n v="29.492169011991066"/>
    <b v="0"/>
    <s v="MD_15"/>
    <x v="0"/>
  </r>
  <r>
    <x v="2949"/>
    <x v="646"/>
    <x v="0"/>
    <x v="4"/>
    <x v="1"/>
    <n v="30.291196265285411"/>
    <b v="0"/>
    <s v="MD_11"/>
    <x v="0"/>
  </r>
  <r>
    <x v="2950"/>
    <x v="555"/>
    <x v="0"/>
    <x v="1"/>
    <x v="0"/>
    <n v="2.2610333001794651"/>
    <b v="0"/>
    <s v="MD_14"/>
    <x v="1"/>
  </r>
  <r>
    <x v="2951"/>
    <x v="469"/>
    <x v="3"/>
    <x v="0"/>
    <x v="0"/>
    <n v="3.9481890216843283"/>
    <b v="0"/>
    <s v="MD_20"/>
    <x v="1"/>
  </r>
  <r>
    <x v="2952"/>
    <x v="526"/>
    <x v="0"/>
    <x v="1"/>
    <x v="1"/>
    <n v="21.490126117500406"/>
    <b v="0"/>
    <s v="MD_07"/>
    <x v="0"/>
  </r>
  <r>
    <x v="2953"/>
    <x v="354"/>
    <x v="3"/>
    <x v="2"/>
    <x v="0"/>
    <n v="23.686937379661501"/>
    <b v="0"/>
    <s v="MD_15"/>
    <x v="0"/>
  </r>
  <r>
    <x v="2954"/>
    <x v="470"/>
    <x v="3"/>
    <x v="1"/>
    <x v="1"/>
    <n v="14.780420358009215"/>
    <b v="0"/>
    <s v="MD_06"/>
    <x v="0"/>
  </r>
  <r>
    <x v="2955"/>
    <x v="623"/>
    <x v="2"/>
    <x v="1"/>
    <x v="0"/>
    <n v="6.0090314996459737"/>
    <b v="0"/>
    <s v="MD_08"/>
    <x v="1"/>
  </r>
  <r>
    <x v="2956"/>
    <x v="318"/>
    <x v="2"/>
    <x v="1"/>
    <x v="1"/>
    <n v="4.211099094283723"/>
    <b v="0"/>
    <s v="MD_17"/>
    <x v="1"/>
  </r>
  <r>
    <x v="2957"/>
    <x v="26"/>
    <x v="2"/>
    <x v="3"/>
    <x v="1"/>
    <n v="6.0805783449124178"/>
    <b v="0"/>
    <s v="MD_20"/>
    <x v="2"/>
  </r>
  <r>
    <x v="2958"/>
    <x v="424"/>
    <x v="2"/>
    <x v="2"/>
    <x v="0"/>
    <n v="6.0575319334505329"/>
    <b v="0"/>
    <s v="MD_05"/>
    <x v="1"/>
  </r>
  <r>
    <x v="2959"/>
    <x v="294"/>
    <x v="2"/>
    <x v="3"/>
    <x v="0"/>
    <n v="2.3879243057577426"/>
    <b v="0"/>
    <s v="MD_14"/>
    <x v="1"/>
  </r>
  <r>
    <x v="2960"/>
    <x v="375"/>
    <x v="0"/>
    <x v="2"/>
    <x v="0"/>
    <n v="7.1398769872556347"/>
    <b v="0"/>
    <s v="MD_02"/>
    <x v="1"/>
  </r>
  <r>
    <x v="2961"/>
    <x v="475"/>
    <x v="0"/>
    <x v="1"/>
    <x v="0"/>
    <n v="9.7759622682626972"/>
    <b v="0"/>
    <s v="MD_05"/>
    <x v="1"/>
  </r>
  <r>
    <x v="2962"/>
    <x v="32"/>
    <x v="0"/>
    <x v="1"/>
    <x v="1"/>
    <n v="7.7579538230225946"/>
    <b v="0"/>
    <s v="MD_05"/>
    <x v="1"/>
  </r>
  <r>
    <x v="2963"/>
    <x v="59"/>
    <x v="1"/>
    <x v="0"/>
    <x v="0"/>
    <n v="4.3356753897061404"/>
    <b v="0"/>
    <s v="MD_20"/>
    <x v="1"/>
  </r>
  <r>
    <x v="2964"/>
    <x v="672"/>
    <x v="1"/>
    <x v="1"/>
    <x v="1"/>
    <n v="43.986558122055257"/>
    <b v="0"/>
    <s v="MD_07"/>
    <x v="0"/>
  </r>
  <r>
    <x v="2965"/>
    <x v="421"/>
    <x v="1"/>
    <x v="0"/>
    <x v="1"/>
    <n v="23.094938824013052"/>
    <b v="0"/>
    <s v="MD_01"/>
    <x v="0"/>
  </r>
  <r>
    <x v="2966"/>
    <x v="277"/>
    <x v="1"/>
    <x v="1"/>
    <x v="0"/>
    <n v="5.0079010080402799"/>
    <b v="0"/>
    <s v="MD_18"/>
    <x v="1"/>
  </r>
  <r>
    <x v="2967"/>
    <x v="648"/>
    <x v="1"/>
    <x v="1"/>
    <x v="1"/>
    <n v="25.948491041110124"/>
    <b v="0"/>
    <s v="MD_08"/>
    <x v="0"/>
  </r>
  <r>
    <x v="2968"/>
    <x v="518"/>
    <x v="1"/>
    <x v="0"/>
    <x v="0"/>
    <n v="25.342072929548578"/>
    <b v="0"/>
    <s v="MD_06"/>
    <x v="0"/>
  </r>
  <r>
    <x v="2969"/>
    <x v="286"/>
    <x v="3"/>
    <x v="4"/>
    <x v="0"/>
    <n v="21.555369078059591"/>
    <b v="0"/>
    <s v="MD_20"/>
    <x v="0"/>
  </r>
  <r>
    <x v="2970"/>
    <x v="669"/>
    <x v="0"/>
    <x v="4"/>
    <x v="1"/>
    <n v="26.070881692517016"/>
    <b v="1"/>
    <s v="MD_08"/>
    <x v="0"/>
  </r>
  <r>
    <x v="2971"/>
    <x v="314"/>
    <x v="3"/>
    <x v="2"/>
    <x v="1"/>
    <n v="23.656327503025807"/>
    <b v="0"/>
    <s v="MD_07"/>
    <x v="0"/>
  </r>
  <r>
    <x v="2972"/>
    <x v="42"/>
    <x v="3"/>
    <x v="2"/>
    <x v="0"/>
    <n v="4.0000149046982791"/>
    <b v="0"/>
    <s v="MD_05"/>
    <x v="1"/>
  </r>
  <r>
    <x v="2973"/>
    <x v="66"/>
    <x v="3"/>
    <x v="0"/>
    <x v="1"/>
    <n v="21.563120926452157"/>
    <b v="0"/>
    <s v="MD_08"/>
    <x v="0"/>
  </r>
  <r>
    <x v="2974"/>
    <x v="576"/>
    <x v="1"/>
    <x v="1"/>
    <x v="0"/>
    <n v="9.2621751331403264"/>
    <b v="0"/>
    <s v="MD_11"/>
    <x v="1"/>
  </r>
  <r>
    <x v="2975"/>
    <x v="683"/>
    <x v="1"/>
    <x v="1"/>
    <x v="0"/>
    <n v="3.8933584480421795"/>
    <b v="0"/>
    <s v="MD_02"/>
    <x v="1"/>
  </r>
  <r>
    <x v="2976"/>
    <x v="341"/>
    <x v="2"/>
    <x v="4"/>
    <x v="1"/>
    <n v="12.741425977295165"/>
    <b v="0"/>
    <s v="MD_11"/>
    <x v="0"/>
  </r>
  <r>
    <x v="2977"/>
    <x v="640"/>
    <x v="3"/>
    <x v="3"/>
    <x v="0"/>
    <n v="8.1857319683234895"/>
    <b v="0"/>
    <s v="MD_14"/>
    <x v="1"/>
  </r>
  <r>
    <x v="2978"/>
    <x v="204"/>
    <x v="3"/>
    <x v="4"/>
    <x v="1"/>
    <n v="6.0379269700624718"/>
    <b v="0"/>
    <s v="MD_11"/>
    <x v="1"/>
  </r>
  <r>
    <x v="2979"/>
    <x v="9"/>
    <x v="0"/>
    <x v="4"/>
    <x v="1"/>
    <n v="4.6221282360438192"/>
    <b v="0"/>
    <s v="MD_07"/>
    <x v="1"/>
  </r>
  <r>
    <x v="2980"/>
    <x v="251"/>
    <x v="3"/>
    <x v="0"/>
    <x v="0"/>
    <n v="4.2347406013864166"/>
    <b v="0"/>
    <s v="MD_18"/>
    <x v="1"/>
  </r>
  <r>
    <x v="2981"/>
    <x v="19"/>
    <x v="3"/>
    <x v="0"/>
    <x v="0"/>
    <n v="6.1495553628150113"/>
    <b v="0"/>
    <s v="MD_07"/>
    <x v="1"/>
  </r>
  <r>
    <x v="2982"/>
    <x v="621"/>
    <x v="3"/>
    <x v="1"/>
    <x v="1"/>
    <n v="36.365732853393283"/>
    <b v="0"/>
    <s v="MD_12"/>
    <x v="0"/>
  </r>
  <r>
    <x v="2983"/>
    <x v="209"/>
    <x v="2"/>
    <x v="1"/>
    <x v="0"/>
    <n v="7.6867405892591254"/>
    <b v="0"/>
    <s v="MD_01"/>
    <x v="1"/>
  </r>
  <r>
    <x v="2984"/>
    <x v="447"/>
    <x v="0"/>
    <x v="0"/>
    <x v="1"/>
    <n v="21.045647653089876"/>
    <b v="0"/>
    <s v="MD_04"/>
    <x v="0"/>
  </r>
  <r>
    <x v="2985"/>
    <x v="185"/>
    <x v="0"/>
    <x v="4"/>
    <x v="0"/>
    <n v="27.147368649929746"/>
    <b v="0"/>
    <s v="MD_16"/>
    <x v="0"/>
  </r>
  <r>
    <x v="2986"/>
    <x v="585"/>
    <x v="3"/>
    <x v="4"/>
    <x v="0"/>
    <n v="7.941651081817283"/>
    <b v="0"/>
    <s v="MD_05"/>
    <x v="1"/>
  </r>
  <r>
    <x v="2987"/>
    <x v="398"/>
    <x v="2"/>
    <x v="3"/>
    <x v="0"/>
    <n v="6.5928982395932216"/>
    <b v="0"/>
    <s v="MD_11"/>
    <x v="1"/>
  </r>
  <r>
    <x v="2988"/>
    <x v="611"/>
    <x v="3"/>
    <x v="4"/>
    <x v="0"/>
    <n v="4.2883467730986444"/>
    <b v="0"/>
    <s v="MD_07"/>
    <x v="1"/>
  </r>
  <r>
    <x v="2989"/>
    <x v="126"/>
    <x v="0"/>
    <x v="0"/>
    <x v="0"/>
    <n v="4.136442087154677"/>
    <b v="0"/>
    <s v="MD_06"/>
    <x v="2"/>
  </r>
  <r>
    <x v="2990"/>
    <x v="132"/>
    <x v="1"/>
    <x v="3"/>
    <x v="0"/>
    <n v="4.0934289906464407"/>
    <b v="0"/>
    <s v="MD_02"/>
    <x v="1"/>
  </r>
  <r>
    <x v="2991"/>
    <x v="323"/>
    <x v="1"/>
    <x v="0"/>
    <x v="1"/>
    <n v="24.158779184038231"/>
    <b v="0"/>
    <s v="MD_17"/>
    <x v="0"/>
  </r>
  <r>
    <x v="2992"/>
    <x v="412"/>
    <x v="1"/>
    <x v="2"/>
    <x v="0"/>
    <n v="3.7603952508703058"/>
    <b v="0"/>
    <s v="MD_11"/>
    <x v="1"/>
  </r>
  <r>
    <x v="2993"/>
    <x v="539"/>
    <x v="3"/>
    <x v="3"/>
    <x v="0"/>
    <n v="7.5862132303475285"/>
    <b v="0"/>
    <s v="MD_09"/>
    <x v="1"/>
  </r>
  <r>
    <x v="2994"/>
    <x v="663"/>
    <x v="2"/>
    <x v="3"/>
    <x v="1"/>
    <n v="23.679217292182415"/>
    <b v="0"/>
    <s v="MD_18"/>
    <x v="0"/>
  </r>
  <r>
    <x v="2995"/>
    <x v="524"/>
    <x v="3"/>
    <x v="2"/>
    <x v="0"/>
    <n v="4.3836971525795576"/>
    <b v="0"/>
    <s v="MD_06"/>
    <x v="1"/>
  </r>
  <r>
    <x v="2996"/>
    <x v="455"/>
    <x v="3"/>
    <x v="2"/>
    <x v="0"/>
    <n v="4.8512527772954392"/>
    <b v="0"/>
    <s v="MD_05"/>
    <x v="1"/>
  </r>
  <r>
    <x v="2997"/>
    <x v="573"/>
    <x v="3"/>
    <x v="4"/>
    <x v="1"/>
    <n v="22.380322016078082"/>
    <b v="0"/>
    <s v="MD_03"/>
    <x v="0"/>
  </r>
  <r>
    <x v="2998"/>
    <x v="389"/>
    <x v="1"/>
    <x v="1"/>
    <x v="1"/>
    <n v="26.471527751521972"/>
    <b v="0"/>
    <s v="MD_11"/>
    <x v="0"/>
  </r>
  <r>
    <x v="2999"/>
    <x v="654"/>
    <x v="2"/>
    <x v="4"/>
    <x v="1"/>
    <n v="7.3322564155868921"/>
    <b v="0"/>
    <s v="MD_0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B09A88-9C8D-41E5-BEDC-4B680A99A4B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D23" firstHeaderRow="1" firstDataRow="2" firstDataCol="1"/>
  <pivotFields count="9">
    <pivotField showAll="0"/>
    <pivotField numFmtId="14" showAll="0">
      <items count="718">
        <item x="577"/>
        <item x="93"/>
        <item x="709"/>
        <item x="564"/>
        <item x="698"/>
        <item x="573"/>
        <item x="72"/>
        <item x="370"/>
        <item x="512"/>
        <item x="420"/>
        <item x="143"/>
        <item x="168"/>
        <item x="507"/>
        <item x="682"/>
        <item x="407"/>
        <item x="260"/>
        <item x="134"/>
        <item x="181"/>
        <item x="269"/>
        <item x="399"/>
        <item x="152"/>
        <item x="180"/>
        <item x="208"/>
        <item x="156"/>
        <item x="403"/>
        <item x="472"/>
        <item x="454"/>
        <item x="408"/>
        <item x="627"/>
        <item x="265"/>
        <item x="130"/>
        <item x="706"/>
        <item x="101"/>
        <item x="478"/>
        <item x="33"/>
        <item x="20"/>
        <item x="390"/>
        <item x="607"/>
        <item x="262"/>
        <item x="441"/>
        <item x="567"/>
        <item x="409"/>
        <item x="651"/>
        <item x="626"/>
        <item x="300"/>
        <item x="43"/>
        <item x="599"/>
        <item x="526"/>
        <item x="594"/>
        <item x="596"/>
        <item x="674"/>
        <item x="179"/>
        <item x="711"/>
        <item x="357"/>
        <item x="223"/>
        <item x="222"/>
        <item x="160"/>
        <item x="482"/>
        <item x="193"/>
        <item x="376"/>
        <item x="227"/>
        <item x="609"/>
        <item x="341"/>
        <item x="100"/>
        <item x="84"/>
        <item x="421"/>
        <item x="379"/>
        <item x="31"/>
        <item x="387"/>
        <item x="18"/>
        <item x="671"/>
        <item x="183"/>
        <item x="202"/>
        <item x="334"/>
        <item x="278"/>
        <item x="80"/>
        <item x="657"/>
        <item x="378"/>
        <item x="426"/>
        <item x="604"/>
        <item x="128"/>
        <item x="616"/>
        <item x="295"/>
        <item x="606"/>
        <item x="282"/>
        <item x="27"/>
        <item x="274"/>
        <item x="118"/>
        <item x="470"/>
        <item x="664"/>
        <item x="312"/>
        <item x="417"/>
        <item x="598"/>
        <item x="704"/>
        <item x="175"/>
        <item x="584"/>
        <item x="495"/>
        <item x="236"/>
        <item x="707"/>
        <item x="715"/>
        <item x="302"/>
        <item x="82"/>
        <item x="14"/>
        <item x="127"/>
        <item x="362"/>
        <item x="56"/>
        <item x="102"/>
        <item x="298"/>
        <item x="694"/>
        <item x="621"/>
        <item x="290"/>
        <item x="646"/>
        <item x="679"/>
        <item x="363"/>
        <item x="477"/>
        <item x="331"/>
        <item x="493"/>
        <item x="697"/>
        <item x="48"/>
        <item x="69"/>
        <item x="428"/>
        <item x="314"/>
        <item x="177"/>
        <item x="678"/>
        <item x="25"/>
        <item x="70"/>
        <item x="416"/>
        <item x="440"/>
        <item x="45"/>
        <item x="125"/>
        <item x="648"/>
        <item x="571"/>
        <item x="554"/>
        <item x="456"/>
        <item x="123"/>
        <item x="617"/>
        <item x="242"/>
        <item x="574"/>
        <item x="414"/>
        <item x="484"/>
        <item x="565"/>
        <item x="117"/>
        <item x="550"/>
        <item x="699"/>
        <item x="301"/>
        <item x="275"/>
        <item x="145"/>
        <item x="447"/>
        <item x="502"/>
        <item x="650"/>
        <item x="552"/>
        <item x="486"/>
        <item x="231"/>
        <item x="663"/>
        <item x="677"/>
        <item x="121"/>
        <item x="418"/>
        <item x="292"/>
        <item x="655"/>
        <item x="708"/>
        <item x="430"/>
        <item x="119"/>
        <item x="174"/>
        <item x="672"/>
        <item x="216"/>
        <item x="192"/>
        <item x="553"/>
        <item x="629"/>
        <item x="669"/>
        <item x="481"/>
        <item x="568"/>
        <item x="221"/>
        <item x="548"/>
        <item x="527"/>
        <item x="198"/>
        <item x="471"/>
        <item x="661"/>
        <item x="232"/>
        <item x="519"/>
        <item x="65"/>
        <item x="213"/>
        <item x="79"/>
        <item x="437"/>
        <item x="113"/>
        <item x="214"/>
        <item x="188"/>
        <item x="307"/>
        <item x="244"/>
        <item x="640"/>
        <item x="353"/>
        <item x="560"/>
        <item x="555"/>
        <item x="50"/>
        <item x="373"/>
        <item x="150"/>
        <item x="254"/>
        <item x="190"/>
        <item x="66"/>
        <item x="46"/>
        <item x="132"/>
        <item x="446"/>
        <item x="680"/>
        <item x="614"/>
        <item x="106"/>
        <item x="277"/>
        <item x="338"/>
        <item x="515"/>
        <item x="392"/>
        <item x="576"/>
        <item x="397"/>
        <item x="658"/>
        <item x="361"/>
        <item x="624"/>
        <item x="705"/>
        <item x="490"/>
        <item x="632"/>
        <item x="380"/>
        <item x="11"/>
        <item x="366"/>
        <item x="16"/>
        <item x="259"/>
        <item x="17"/>
        <item x="200"/>
        <item x="714"/>
        <item x="71"/>
        <item x="412"/>
        <item x="83"/>
        <item x="318"/>
        <item x="636"/>
        <item x="54"/>
        <item x="109"/>
        <item x="618"/>
        <item x="288"/>
        <item x="315"/>
        <item x="686"/>
        <item x="253"/>
        <item x="605"/>
        <item x="29"/>
        <item x="321"/>
        <item x="491"/>
        <item x="628"/>
        <item x="195"/>
        <item x="645"/>
        <item x="517"/>
        <item x="676"/>
        <item x="354"/>
        <item x="28"/>
        <item x="401"/>
        <item x="469"/>
        <item x="99"/>
        <item x="52"/>
        <item x="335"/>
        <item x="692"/>
        <item x="212"/>
        <item x="158"/>
        <item x="539"/>
        <item x="593"/>
        <item x="525"/>
        <item x="367"/>
        <item x="429"/>
        <item x="536"/>
        <item x="570"/>
        <item x="461"/>
        <item x="405"/>
        <item x="162"/>
        <item x="276"/>
        <item x="453"/>
        <item x="77"/>
        <item x="185"/>
        <item x="582"/>
        <item x="220"/>
        <item x="522"/>
        <item x="524"/>
        <item x="369"/>
        <item x="455"/>
        <item x="243"/>
        <item x="322"/>
        <item x="523"/>
        <item x="323"/>
        <item x="586"/>
        <item x="218"/>
        <item x="444"/>
        <item x="327"/>
        <item x="563"/>
        <item x="40"/>
        <item x="690"/>
        <item x="528"/>
        <item x="675"/>
        <item x="488"/>
        <item x="347"/>
        <item x="148"/>
        <item x="96"/>
        <item x="473"/>
        <item x="229"/>
        <item x="691"/>
        <item x="653"/>
        <item x="67"/>
        <item x="427"/>
        <item x="432"/>
        <item x="608"/>
        <item x="476"/>
        <item x="124"/>
        <item x="284"/>
        <item x="272"/>
        <item x="665"/>
        <item x="521"/>
        <item x="643"/>
        <item x="311"/>
        <item x="496"/>
        <item x="404"/>
        <item x="644"/>
        <item x="683"/>
        <item x="289"/>
        <item x="438"/>
        <item x="268"/>
        <item x="557"/>
        <item x="344"/>
        <item x="529"/>
        <item x="59"/>
        <item x="504"/>
        <item x="423"/>
        <item x="371"/>
        <item x="351"/>
        <item x="431"/>
        <item x="368"/>
        <item x="580"/>
        <item x="710"/>
        <item x="225"/>
        <item x="601"/>
        <item x="9"/>
        <item x="3"/>
        <item x="98"/>
        <item x="104"/>
        <item x="206"/>
        <item x="182"/>
        <item x="263"/>
        <item x="250"/>
        <item x="133"/>
        <item x="2"/>
        <item x="7"/>
        <item x="211"/>
        <item x="60"/>
        <item x="38"/>
        <item x="589"/>
        <item x="433"/>
        <item x="309"/>
        <item x="415"/>
        <item x="530"/>
        <item x="590"/>
        <item x="140"/>
        <item x="187"/>
        <item x="436"/>
        <item x="147"/>
        <item x="543"/>
        <item x="340"/>
        <item x="396"/>
        <item x="703"/>
        <item x="684"/>
        <item x="364"/>
        <item x="326"/>
        <item x="53"/>
        <item x="251"/>
        <item x="154"/>
        <item x="270"/>
        <item x="19"/>
        <item x="343"/>
        <item x="623"/>
        <item x="600"/>
        <item x="545"/>
        <item x="452"/>
        <item x="5"/>
        <item x="194"/>
        <item x="320"/>
        <item x="696"/>
        <item x="514"/>
        <item x="592"/>
        <item x="445"/>
        <item x="647"/>
        <item x="603"/>
        <item x="535"/>
        <item x="36"/>
        <item x="638"/>
        <item x="30"/>
        <item x="310"/>
        <item x="332"/>
        <item x="291"/>
        <item x="184"/>
        <item x="163"/>
        <item x="245"/>
        <item x="668"/>
        <item x="516"/>
        <item x="450"/>
        <item x="316"/>
        <item x="120"/>
        <item x="365"/>
        <item x="303"/>
        <item x="135"/>
        <item x="1"/>
        <item x="649"/>
        <item x="26"/>
        <item x="189"/>
        <item x="136"/>
        <item x="391"/>
        <item x="217"/>
        <item x="385"/>
        <item x="435"/>
        <item x="388"/>
        <item x="151"/>
        <item x="544"/>
        <item x="559"/>
        <item x="654"/>
        <item x="442"/>
        <item x="520"/>
        <item x="89"/>
        <item x="457"/>
        <item x="575"/>
        <item x="381"/>
        <item x="186"/>
        <item x="492"/>
        <item x="410"/>
        <item x="234"/>
        <item x="23"/>
        <item x="462"/>
        <item x="237"/>
        <item x="579"/>
        <item x="161"/>
        <item x="424"/>
        <item x="339"/>
        <item x="230"/>
        <item x="448"/>
        <item x="78"/>
        <item x="685"/>
        <item x="451"/>
        <item x="90"/>
        <item x="346"/>
        <item x="460"/>
        <item x="642"/>
        <item x="233"/>
        <item x="201"/>
        <item x="383"/>
        <item x="372"/>
        <item x="513"/>
        <item x="547"/>
        <item x="209"/>
        <item x="398"/>
        <item x="4"/>
        <item x="474"/>
        <item x="68"/>
        <item x="533"/>
        <item x="51"/>
        <item x="386"/>
        <item x="34"/>
        <item x="549"/>
        <item x="12"/>
        <item x="226"/>
        <item x="503"/>
        <item x="384"/>
        <item x="591"/>
        <item x="280"/>
        <item x="511"/>
        <item x="342"/>
        <item x="165"/>
        <item x="348"/>
        <item x="541"/>
        <item x="319"/>
        <item x="224"/>
        <item x="85"/>
        <item x="359"/>
        <item x="377"/>
        <item x="142"/>
        <item x="498"/>
        <item x="308"/>
        <item x="613"/>
        <item x="228"/>
        <item x="587"/>
        <item x="167"/>
        <item x="42"/>
        <item x="0"/>
        <item x="610"/>
        <item x="196"/>
        <item x="641"/>
        <item x="317"/>
        <item x="659"/>
        <item x="542"/>
        <item x="122"/>
        <item x="393"/>
        <item x="508"/>
        <item x="283"/>
        <item x="305"/>
        <item x="103"/>
        <item x="595"/>
        <item x="489"/>
        <item x="713"/>
        <item x="171"/>
        <item x="660"/>
        <item x="458"/>
        <item x="166"/>
        <item x="434"/>
        <item x="92"/>
        <item x="569"/>
        <item x="336"/>
        <item x="328"/>
        <item x="126"/>
        <item x="494"/>
        <item x="146"/>
        <item x="631"/>
        <item x="157"/>
        <item x="413"/>
        <item x="73"/>
        <item x="81"/>
        <item x="352"/>
        <item x="235"/>
        <item x="178"/>
        <item x="537"/>
        <item x="205"/>
        <item x="572"/>
        <item x="487"/>
        <item x="271"/>
        <item x="360"/>
        <item x="87"/>
        <item x="500"/>
        <item x="501"/>
        <item x="207"/>
        <item x="170"/>
        <item x="49"/>
        <item x="297"/>
        <item x="411"/>
        <item x="356"/>
        <item x="475"/>
        <item x="419"/>
        <item x="44"/>
        <item x="345"/>
        <item x="255"/>
        <item x="248"/>
        <item x="197"/>
        <item x="35"/>
        <item x="349"/>
        <item x="138"/>
        <item x="164"/>
        <item x="294"/>
        <item x="633"/>
        <item x="389"/>
        <item x="716"/>
        <item x="112"/>
        <item x="219"/>
        <item x="561"/>
        <item x="149"/>
        <item x="688"/>
        <item x="483"/>
        <item x="497"/>
        <item x="61"/>
        <item x="63"/>
        <item x="108"/>
        <item x="355"/>
        <item x="172"/>
        <item x="625"/>
        <item x="673"/>
        <item x="287"/>
        <item x="169"/>
        <item x="279"/>
        <item x="612"/>
        <item x="667"/>
        <item x="22"/>
        <item x="425"/>
        <item x="139"/>
        <item x="258"/>
        <item x="10"/>
        <item x="333"/>
        <item x="468"/>
        <item x="176"/>
        <item x="8"/>
        <item x="620"/>
        <item x="58"/>
        <item x="402"/>
        <item x="105"/>
        <item x="304"/>
        <item x="449"/>
        <item x="155"/>
        <item x="463"/>
        <item x="94"/>
        <item x="273"/>
        <item x="281"/>
        <item x="32"/>
        <item x="306"/>
        <item x="499"/>
        <item x="285"/>
        <item x="241"/>
        <item x="459"/>
        <item x="615"/>
        <item x="700"/>
        <item x="666"/>
        <item x="505"/>
        <item x="266"/>
        <item x="509"/>
        <item x="635"/>
        <item x="252"/>
        <item x="199"/>
        <item x="485"/>
        <item x="325"/>
        <item x="687"/>
        <item x="479"/>
        <item x="24"/>
        <item x="597"/>
        <item x="97"/>
        <item x="296"/>
        <item x="551"/>
        <item x="313"/>
        <item x="622"/>
        <item x="443"/>
        <item x="114"/>
        <item x="558"/>
        <item x="466"/>
        <item x="702"/>
        <item x="712"/>
        <item x="47"/>
        <item x="422"/>
        <item x="203"/>
        <item x="531"/>
        <item x="588"/>
        <item x="261"/>
        <item x="358"/>
        <item x="57"/>
        <item x="510"/>
        <item x="75"/>
        <item x="337"/>
        <item x="689"/>
        <item x="695"/>
        <item x="256"/>
        <item x="293"/>
        <item x="538"/>
        <item x="382"/>
        <item x="91"/>
        <item x="611"/>
        <item x="111"/>
        <item x="210"/>
        <item x="141"/>
        <item x="215"/>
        <item x="518"/>
        <item x="602"/>
        <item x="249"/>
        <item x="662"/>
        <item x="239"/>
        <item x="137"/>
        <item x="556"/>
        <item x="562"/>
        <item x="350"/>
        <item x="395"/>
        <item x="95"/>
        <item x="324"/>
        <item x="247"/>
        <item x="15"/>
        <item x="55"/>
        <item x="116"/>
        <item x="546"/>
        <item x="88"/>
        <item x="375"/>
        <item x="107"/>
        <item x="264"/>
        <item x="257"/>
        <item x="464"/>
        <item x="532"/>
        <item x="191"/>
        <item x="406"/>
        <item x="583"/>
        <item x="578"/>
        <item x="21"/>
        <item x="639"/>
        <item x="267"/>
        <item x="467"/>
        <item x="439"/>
        <item x="329"/>
        <item x="64"/>
        <item x="86"/>
        <item x="581"/>
        <item x="131"/>
        <item x="400"/>
        <item x="204"/>
        <item x="41"/>
        <item x="506"/>
        <item x="62"/>
        <item x="585"/>
        <item x="630"/>
        <item x="115"/>
        <item x="652"/>
        <item x="13"/>
        <item x="681"/>
        <item x="330"/>
        <item x="480"/>
        <item x="634"/>
        <item x="693"/>
        <item x="240"/>
        <item x="465"/>
        <item x="286"/>
        <item x="637"/>
        <item x="129"/>
        <item x="701"/>
        <item x="540"/>
        <item x="656"/>
        <item x="74"/>
        <item x="299"/>
        <item x="619"/>
        <item x="566"/>
        <item x="159"/>
        <item x="144"/>
        <item x="153"/>
        <item x="670"/>
        <item x="374"/>
        <item x="76"/>
        <item x="6"/>
        <item x="39"/>
        <item x="37"/>
        <item x="394"/>
        <item x="173"/>
        <item x="534"/>
        <item x="246"/>
        <item x="238"/>
        <item x="110"/>
        <item t="default"/>
      </items>
    </pivotField>
    <pivotField showAll="0"/>
    <pivotField axis="axisRow" showAll="0">
      <items count="6">
        <item x="4"/>
        <item x="1"/>
        <item x="0"/>
        <item x="3"/>
        <item x="2"/>
        <item t="default"/>
      </items>
    </pivotField>
    <pivotField axis="axisCol" showAll="0">
      <items count="3">
        <item x="1"/>
        <item x="0"/>
        <item t="default"/>
      </items>
    </pivotField>
    <pivotField dataField="1" numFmtId="2" showAll="0"/>
    <pivotField showAll="0"/>
    <pivotField showAll="0"/>
    <pivotField showAll="0"/>
  </pivotFields>
  <rowFields count="1">
    <field x="3"/>
  </rowFields>
  <rowItems count="6">
    <i>
      <x/>
    </i>
    <i>
      <x v="1"/>
    </i>
    <i>
      <x v="2"/>
    </i>
    <i>
      <x v="3"/>
    </i>
    <i>
      <x v="4"/>
    </i>
    <i t="grand">
      <x/>
    </i>
  </rowItems>
  <colFields count="1">
    <field x="4"/>
  </colFields>
  <colItems count="3">
    <i>
      <x/>
    </i>
    <i>
      <x v="1"/>
    </i>
    <i t="grand">
      <x/>
    </i>
  </colItems>
  <dataFields count="1">
    <dataField name="Average of Turnaround_Time_Hours" fld="5" subtotal="average" baseField="3" baseItem="0" numFmtId="2"/>
  </dataFields>
  <formats count="2">
    <format dxfId="6">
      <pivotArea collapsedLevelsAreSubtotals="1" fieldPosition="0">
        <references count="1">
          <reference field="3" count="1">
            <x v="3"/>
          </reference>
        </references>
      </pivotArea>
    </format>
    <format dxfId="7">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570B2C-01EF-4174-A5D5-0877730970BB}"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6" firstHeaderRow="1" firstDataRow="1" firstDataCol="1"/>
  <pivotFields count="9">
    <pivotField showAll="0"/>
    <pivotField numFmtId="14" showAll="0">
      <items count="718">
        <item x="577"/>
        <item x="93"/>
        <item x="709"/>
        <item x="564"/>
        <item x="698"/>
        <item x="573"/>
        <item x="72"/>
        <item x="370"/>
        <item x="512"/>
        <item x="420"/>
        <item x="143"/>
        <item x="168"/>
        <item x="507"/>
        <item x="682"/>
        <item x="407"/>
        <item x="260"/>
        <item x="134"/>
        <item x="181"/>
        <item x="269"/>
        <item x="399"/>
        <item x="152"/>
        <item x="180"/>
        <item x="208"/>
        <item x="156"/>
        <item x="403"/>
        <item x="472"/>
        <item x="454"/>
        <item x="408"/>
        <item x="627"/>
        <item x="265"/>
        <item x="130"/>
        <item x="706"/>
        <item x="101"/>
        <item x="478"/>
        <item x="33"/>
        <item x="20"/>
        <item x="390"/>
        <item x="607"/>
        <item x="262"/>
        <item x="441"/>
        <item x="567"/>
        <item x="409"/>
        <item x="651"/>
        <item x="626"/>
        <item x="300"/>
        <item x="43"/>
        <item x="599"/>
        <item x="526"/>
        <item x="594"/>
        <item x="596"/>
        <item x="674"/>
        <item x="179"/>
        <item x="711"/>
        <item x="357"/>
        <item x="223"/>
        <item x="222"/>
        <item x="160"/>
        <item x="482"/>
        <item x="193"/>
        <item x="376"/>
        <item x="227"/>
        <item x="609"/>
        <item x="341"/>
        <item x="100"/>
        <item x="84"/>
        <item x="421"/>
        <item x="379"/>
        <item x="31"/>
        <item x="387"/>
        <item x="18"/>
        <item x="671"/>
        <item x="183"/>
        <item x="202"/>
        <item x="334"/>
        <item x="278"/>
        <item x="80"/>
        <item x="657"/>
        <item x="378"/>
        <item x="426"/>
        <item x="604"/>
        <item x="128"/>
        <item x="616"/>
        <item x="295"/>
        <item x="606"/>
        <item x="282"/>
        <item x="27"/>
        <item x="274"/>
        <item x="118"/>
        <item x="470"/>
        <item x="664"/>
        <item x="312"/>
        <item x="417"/>
        <item x="598"/>
        <item x="704"/>
        <item x="175"/>
        <item x="584"/>
        <item x="495"/>
        <item x="236"/>
        <item x="707"/>
        <item x="715"/>
        <item x="302"/>
        <item x="82"/>
        <item x="14"/>
        <item x="127"/>
        <item x="362"/>
        <item x="56"/>
        <item x="102"/>
        <item x="298"/>
        <item x="694"/>
        <item x="621"/>
        <item x="290"/>
        <item x="646"/>
        <item x="679"/>
        <item x="363"/>
        <item x="477"/>
        <item x="331"/>
        <item x="493"/>
        <item x="697"/>
        <item x="48"/>
        <item x="69"/>
        <item x="428"/>
        <item x="314"/>
        <item x="177"/>
        <item x="678"/>
        <item x="25"/>
        <item x="70"/>
        <item x="416"/>
        <item x="440"/>
        <item x="45"/>
        <item x="125"/>
        <item x="648"/>
        <item x="571"/>
        <item x="554"/>
        <item x="456"/>
        <item x="123"/>
        <item x="617"/>
        <item x="242"/>
        <item x="574"/>
        <item x="414"/>
        <item x="484"/>
        <item x="565"/>
        <item x="117"/>
        <item x="550"/>
        <item x="699"/>
        <item x="301"/>
        <item x="275"/>
        <item x="145"/>
        <item x="447"/>
        <item x="502"/>
        <item x="650"/>
        <item x="552"/>
        <item x="486"/>
        <item x="231"/>
        <item x="663"/>
        <item x="677"/>
        <item x="121"/>
        <item x="418"/>
        <item x="292"/>
        <item x="655"/>
        <item x="708"/>
        <item x="430"/>
        <item x="119"/>
        <item x="174"/>
        <item x="672"/>
        <item x="216"/>
        <item x="192"/>
        <item x="553"/>
        <item x="629"/>
        <item x="669"/>
        <item x="481"/>
        <item x="568"/>
        <item x="221"/>
        <item x="548"/>
        <item x="527"/>
        <item x="198"/>
        <item x="471"/>
        <item x="661"/>
        <item x="232"/>
        <item x="519"/>
        <item x="65"/>
        <item x="213"/>
        <item x="79"/>
        <item x="437"/>
        <item x="113"/>
        <item x="214"/>
        <item x="188"/>
        <item x="307"/>
        <item x="244"/>
        <item x="640"/>
        <item x="353"/>
        <item x="560"/>
        <item x="555"/>
        <item x="50"/>
        <item x="373"/>
        <item x="150"/>
        <item x="254"/>
        <item x="190"/>
        <item x="66"/>
        <item x="46"/>
        <item x="132"/>
        <item x="446"/>
        <item x="680"/>
        <item x="614"/>
        <item x="106"/>
        <item x="277"/>
        <item x="338"/>
        <item x="515"/>
        <item x="392"/>
        <item x="576"/>
        <item x="397"/>
        <item x="658"/>
        <item x="361"/>
        <item x="624"/>
        <item x="705"/>
        <item x="490"/>
        <item x="632"/>
        <item x="380"/>
        <item x="11"/>
        <item x="366"/>
        <item x="16"/>
        <item x="259"/>
        <item x="17"/>
        <item x="200"/>
        <item x="714"/>
        <item x="71"/>
        <item x="412"/>
        <item x="83"/>
        <item x="318"/>
        <item x="636"/>
        <item x="54"/>
        <item x="109"/>
        <item x="618"/>
        <item x="288"/>
        <item x="315"/>
        <item x="686"/>
        <item x="253"/>
        <item x="605"/>
        <item x="29"/>
        <item x="321"/>
        <item x="491"/>
        <item x="628"/>
        <item x="195"/>
        <item x="645"/>
        <item x="517"/>
        <item x="676"/>
        <item x="354"/>
        <item x="28"/>
        <item x="401"/>
        <item x="469"/>
        <item x="99"/>
        <item x="52"/>
        <item x="335"/>
        <item x="692"/>
        <item x="212"/>
        <item x="158"/>
        <item x="539"/>
        <item x="593"/>
        <item x="525"/>
        <item x="367"/>
        <item x="429"/>
        <item x="536"/>
        <item x="570"/>
        <item x="461"/>
        <item x="405"/>
        <item x="162"/>
        <item x="276"/>
        <item x="453"/>
        <item x="77"/>
        <item x="185"/>
        <item x="582"/>
        <item x="220"/>
        <item x="522"/>
        <item x="524"/>
        <item x="369"/>
        <item x="455"/>
        <item x="243"/>
        <item x="322"/>
        <item x="523"/>
        <item x="323"/>
        <item x="586"/>
        <item x="218"/>
        <item x="444"/>
        <item x="327"/>
        <item x="563"/>
        <item x="40"/>
        <item x="690"/>
        <item x="528"/>
        <item x="675"/>
        <item x="488"/>
        <item x="347"/>
        <item x="148"/>
        <item x="96"/>
        <item x="473"/>
        <item x="229"/>
        <item x="691"/>
        <item x="653"/>
        <item x="67"/>
        <item x="427"/>
        <item x="432"/>
        <item x="608"/>
        <item x="476"/>
        <item x="124"/>
        <item x="284"/>
        <item x="272"/>
        <item x="665"/>
        <item x="521"/>
        <item x="643"/>
        <item x="311"/>
        <item x="496"/>
        <item x="404"/>
        <item x="644"/>
        <item x="683"/>
        <item x="289"/>
        <item x="438"/>
        <item x="268"/>
        <item x="557"/>
        <item x="344"/>
        <item x="529"/>
        <item x="59"/>
        <item x="504"/>
        <item x="423"/>
        <item x="371"/>
        <item x="351"/>
        <item x="431"/>
        <item x="368"/>
        <item x="580"/>
        <item x="710"/>
        <item x="225"/>
        <item x="601"/>
        <item x="9"/>
        <item x="3"/>
        <item x="98"/>
        <item x="104"/>
        <item x="206"/>
        <item x="182"/>
        <item x="263"/>
        <item x="250"/>
        <item x="133"/>
        <item x="2"/>
        <item x="7"/>
        <item x="211"/>
        <item x="60"/>
        <item x="38"/>
        <item x="589"/>
        <item x="433"/>
        <item x="309"/>
        <item x="415"/>
        <item x="530"/>
        <item x="590"/>
        <item x="140"/>
        <item x="187"/>
        <item x="436"/>
        <item x="147"/>
        <item x="543"/>
        <item x="340"/>
        <item x="396"/>
        <item x="703"/>
        <item x="684"/>
        <item x="364"/>
        <item x="326"/>
        <item x="53"/>
        <item x="251"/>
        <item x="154"/>
        <item x="270"/>
        <item x="19"/>
        <item x="343"/>
        <item x="623"/>
        <item x="600"/>
        <item x="545"/>
        <item x="452"/>
        <item x="5"/>
        <item x="194"/>
        <item x="320"/>
        <item x="696"/>
        <item x="514"/>
        <item x="592"/>
        <item x="445"/>
        <item x="647"/>
        <item x="603"/>
        <item x="535"/>
        <item x="36"/>
        <item x="638"/>
        <item x="30"/>
        <item x="310"/>
        <item x="332"/>
        <item x="291"/>
        <item x="184"/>
        <item x="163"/>
        <item x="245"/>
        <item x="668"/>
        <item x="516"/>
        <item x="450"/>
        <item x="316"/>
        <item x="120"/>
        <item x="365"/>
        <item x="303"/>
        <item x="135"/>
        <item x="1"/>
        <item x="649"/>
        <item x="26"/>
        <item x="189"/>
        <item x="136"/>
        <item x="391"/>
        <item x="217"/>
        <item x="385"/>
        <item x="435"/>
        <item x="388"/>
        <item x="151"/>
        <item x="544"/>
        <item x="559"/>
        <item x="654"/>
        <item x="442"/>
        <item x="520"/>
        <item x="89"/>
        <item x="457"/>
        <item x="575"/>
        <item x="381"/>
        <item x="186"/>
        <item x="492"/>
        <item x="410"/>
        <item x="234"/>
        <item x="23"/>
        <item x="462"/>
        <item x="237"/>
        <item x="579"/>
        <item x="161"/>
        <item x="424"/>
        <item x="339"/>
        <item x="230"/>
        <item x="448"/>
        <item x="78"/>
        <item x="685"/>
        <item x="451"/>
        <item x="90"/>
        <item x="346"/>
        <item x="460"/>
        <item x="642"/>
        <item x="233"/>
        <item x="201"/>
        <item x="383"/>
        <item x="372"/>
        <item x="513"/>
        <item x="547"/>
        <item x="209"/>
        <item x="398"/>
        <item x="4"/>
        <item x="474"/>
        <item x="68"/>
        <item x="533"/>
        <item x="51"/>
        <item x="386"/>
        <item x="34"/>
        <item x="549"/>
        <item x="12"/>
        <item x="226"/>
        <item x="503"/>
        <item x="384"/>
        <item x="591"/>
        <item x="280"/>
        <item x="511"/>
        <item x="342"/>
        <item x="165"/>
        <item x="348"/>
        <item x="541"/>
        <item x="319"/>
        <item x="224"/>
        <item x="85"/>
        <item x="359"/>
        <item x="377"/>
        <item x="142"/>
        <item x="498"/>
        <item x="308"/>
        <item x="613"/>
        <item x="228"/>
        <item x="587"/>
        <item x="167"/>
        <item x="42"/>
        <item x="0"/>
        <item x="610"/>
        <item x="196"/>
        <item x="641"/>
        <item x="317"/>
        <item x="659"/>
        <item x="542"/>
        <item x="122"/>
        <item x="393"/>
        <item x="508"/>
        <item x="283"/>
        <item x="305"/>
        <item x="103"/>
        <item x="595"/>
        <item x="489"/>
        <item x="713"/>
        <item x="171"/>
        <item x="660"/>
        <item x="458"/>
        <item x="166"/>
        <item x="434"/>
        <item x="92"/>
        <item x="569"/>
        <item x="336"/>
        <item x="328"/>
        <item x="126"/>
        <item x="494"/>
        <item x="146"/>
        <item x="631"/>
        <item x="157"/>
        <item x="413"/>
        <item x="73"/>
        <item x="81"/>
        <item x="352"/>
        <item x="235"/>
        <item x="178"/>
        <item x="537"/>
        <item x="205"/>
        <item x="572"/>
        <item x="487"/>
        <item x="271"/>
        <item x="360"/>
        <item x="87"/>
        <item x="500"/>
        <item x="501"/>
        <item x="207"/>
        <item x="170"/>
        <item x="49"/>
        <item x="297"/>
        <item x="411"/>
        <item x="356"/>
        <item x="475"/>
        <item x="419"/>
        <item x="44"/>
        <item x="345"/>
        <item x="255"/>
        <item x="248"/>
        <item x="197"/>
        <item x="35"/>
        <item x="349"/>
        <item x="138"/>
        <item x="164"/>
        <item x="294"/>
        <item x="633"/>
        <item x="389"/>
        <item x="716"/>
        <item x="112"/>
        <item x="219"/>
        <item x="561"/>
        <item x="149"/>
        <item x="688"/>
        <item x="483"/>
        <item x="497"/>
        <item x="61"/>
        <item x="63"/>
        <item x="108"/>
        <item x="355"/>
        <item x="172"/>
        <item x="625"/>
        <item x="673"/>
        <item x="287"/>
        <item x="169"/>
        <item x="279"/>
        <item x="612"/>
        <item x="667"/>
        <item x="22"/>
        <item x="425"/>
        <item x="139"/>
        <item x="258"/>
        <item x="10"/>
        <item x="333"/>
        <item x="468"/>
        <item x="176"/>
        <item x="8"/>
        <item x="620"/>
        <item x="58"/>
        <item x="402"/>
        <item x="105"/>
        <item x="304"/>
        <item x="449"/>
        <item x="155"/>
        <item x="463"/>
        <item x="94"/>
        <item x="273"/>
        <item x="281"/>
        <item x="32"/>
        <item x="306"/>
        <item x="499"/>
        <item x="285"/>
        <item x="241"/>
        <item x="459"/>
        <item x="615"/>
        <item x="700"/>
        <item x="666"/>
        <item x="505"/>
        <item x="266"/>
        <item x="509"/>
        <item x="635"/>
        <item x="252"/>
        <item x="199"/>
        <item x="485"/>
        <item x="325"/>
        <item x="687"/>
        <item x="479"/>
        <item x="24"/>
        <item x="597"/>
        <item x="97"/>
        <item x="296"/>
        <item x="551"/>
        <item x="313"/>
        <item x="622"/>
        <item x="443"/>
        <item x="114"/>
        <item x="558"/>
        <item x="466"/>
        <item x="702"/>
        <item x="712"/>
        <item x="47"/>
        <item x="422"/>
        <item x="203"/>
        <item x="531"/>
        <item x="588"/>
        <item x="261"/>
        <item x="358"/>
        <item x="57"/>
        <item x="510"/>
        <item x="75"/>
        <item x="337"/>
        <item x="689"/>
        <item x="695"/>
        <item x="256"/>
        <item x="293"/>
        <item x="538"/>
        <item x="382"/>
        <item x="91"/>
        <item x="611"/>
        <item x="111"/>
        <item x="210"/>
        <item x="141"/>
        <item x="215"/>
        <item x="518"/>
        <item x="602"/>
        <item x="249"/>
        <item x="662"/>
        <item x="239"/>
        <item x="137"/>
        <item x="556"/>
        <item x="562"/>
        <item x="350"/>
        <item x="395"/>
        <item x="95"/>
        <item x="324"/>
        <item x="247"/>
        <item x="15"/>
        <item x="55"/>
        <item x="116"/>
        <item x="546"/>
        <item x="88"/>
        <item x="375"/>
        <item x="107"/>
        <item x="264"/>
        <item x="257"/>
        <item x="464"/>
        <item x="532"/>
        <item x="191"/>
        <item x="406"/>
        <item x="583"/>
        <item x="578"/>
        <item x="21"/>
        <item x="639"/>
        <item x="267"/>
        <item x="467"/>
        <item x="439"/>
        <item x="329"/>
        <item x="64"/>
        <item x="86"/>
        <item x="581"/>
        <item x="131"/>
        <item x="400"/>
        <item x="204"/>
        <item x="41"/>
        <item x="506"/>
        <item x="62"/>
        <item x="585"/>
        <item x="630"/>
        <item x="115"/>
        <item x="652"/>
        <item x="13"/>
        <item x="681"/>
        <item x="330"/>
        <item x="480"/>
        <item x="634"/>
        <item x="693"/>
        <item x="240"/>
        <item x="465"/>
        <item x="286"/>
        <item x="637"/>
        <item x="129"/>
        <item x="701"/>
        <item x="540"/>
        <item x="656"/>
        <item x="74"/>
        <item x="299"/>
        <item x="619"/>
        <item x="566"/>
        <item x="159"/>
        <item x="144"/>
        <item x="153"/>
        <item x="670"/>
        <item x="374"/>
        <item x="76"/>
        <item x="6"/>
        <item x="39"/>
        <item x="37"/>
        <item x="394"/>
        <item x="173"/>
        <item x="534"/>
        <item x="246"/>
        <item x="238"/>
        <item x="110"/>
        <item t="default"/>
      </items>
    </pivotField>
    <pivotField showAll="0">
      <items count="5">
        <item x="1"/>
        <item x="3"/>
        <item x="2"/>
        <item x="0"/>
        <item t="default"/>
      </items>
    </pivotField>
    <pivotField showAll="0"/>
    <pivotField axis="axisRow" showAll="0">
      <items count="3">
        <item x="1"/>
        <item x="0"/>
        <item t="default"/>
      </items>
    </pivotField>
    <pivotField dataField="1" numFmtId="2" showAll="0"/>
    <pivotField showAll="0"/>
    <pivotField showAll="0"/>
    <pivotField showAll="0"/>
  </pivotFields>
  <rowFields count="1">
    <field x="4"/>
  </rowFields>
  <rowItems count="3">
    <i>
      <x/>
    </i>
    <i>
      <x v="1"/>
    </i>
    <i t="grand">
      <x/>
    </i>
  </rowItems>
  <colItems count="1">
    <i/>
  </colItems>
  <dataFields count="1">
    <dataField name="Average of Turnaround_Time_Hours" fld="5" subtotal="average" baseField="4"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1B212F-4068-4487-8ECE-AB4FFBB5D49F}" name="PivotTable3"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3:J9" firstHeaderRow="1" firstDataRow="2" firstDataCol="1"/>
  <pivotFields count="9">
    <pivotField showAll="0"/>
    <pivotField numFmtId="14" showAll="0">
      <items count="718">
        <item x="577"/>
        <item x="93"/>
        <item x="709"/>
        <item x="564"/>
        <item x="698"/>
        <item x="573"/>
        <item x="72"/>
        <item x="370"/>
        <item x="512"/>
        <item x="420"/>
        <item x="143"/>
        <item x="168"/>
        <item x="507"/>
        <item x="682"/>
        <item x="407"/>
        <item x="260"/>
        <item x="134"/>
        <item x="181"/>
        <item x="269"/>
        <item x="399"/>
        <item x="152"/>
        <item x="180"/>
        <item x="208"/>
        <item x="156"/>
        <item x="403"/>
        <item x="472"/>
        <item x="454"/>
        <item x="408"/>
        <item x="627"/>
        <item x="265"/>
        <item x="130"/>
        <item x="706"/>
        <item x="101"/>
        <item x="478"/>
        <item x="33"/>
        <item x="20"/>
        <item x="390"/>
        <item x="607"/>
        <item x="262"/>
        <item x="441"/>
        <item x="567"/>
        <item x="409"/>
        <item x="651"/>
        <item x="626"/>
        <item x="300"/>
        <item x="43"/>
        <item x="599"/>
        <item x="526"/>
        <item x="594"/>
        <item x="596"/>
        <item x="674"/>
        <item x="179"/>
        <item x="711"/>
        <item x="357"/>
        <item x="223"/>
        <item x="222"/>
        <item x="160"/>
        <item x="482"/>
        <item x="193"/>
        <item x="376"/>
        <item x="227"/>
        <item x="609"/>
        <item x="341"/>
        <item x="100"/>
        <item x="84"/>
        <item x="421"/>
        <item x="379"/>
        <item x="31"/>
        <item x="387"/>
        <item x="18"/>
        <item x="671"/>
        <item x="183"/>
        <item x="202"/>
        <item x="334"/>
        <item x="278"/>
        <item x="80"/>
        <item x="657"/>
        <item x="378"/>
        <item x="426"/>
        <item x="604"/>
        <item x="128"/>
        <item x="616"/>
        <item x="295"/>
        <item x="606"/>
        <item x="282"/>
        <item x="27"/>
        <item x="274"/>
        <item x="118"/>
        <item x="470"/>
        <item x="664"/>
        <item x="312"/>
        <item x="417"/>
        <item x="598"/>
        <item x="704"/>
        <item x="175"/>
        <item x="584"/>
        <item x="495"/>
        <item x="236"/>
        <item x="707"/>
        <item x="715"/>
        <item x="302"/>
        <item x="82"/>
        <item x="14"/>
        <item x="127"/>
        <item x="362"/>
        <item x="56"/>
        <item x="102"/>
        <item x="298"/>
        <item x="694"/>
        <item x="621"/>
        <item x="290"/>
        <item x="646"/>
        <item x="679"/>
        <item x="363"/>
        <item x="477"/>
        <item x="331"/>
        <item x="493"/>
        <item x="697"/>
        <item x="48"/>
        <item x="69"/>
        <item x="428"/>
        <item x="314"/>
        <item x="177"/>
        <item x="678"/>
        <item x="25"/>
        <item x="70"/>
        <item x="416"/>
        <item x="440"/>
        <item x="45"/>
        <item x="125"/>
        <item x="648"/>
        <item x="571"/>
        <item x="554"/>
        <item x="456"/>
        <item x="123"/>
        <item x="617"/>
        <item x="242"/>
        <item x="574"/>
        <item x="414"/>
        <item x="484"/>
        <item x="565"/>
        <item x="117"/>
        <item x="550"/>
        <item x="699"/>
        <item x="301"/>
        <item x="275"/>
        <item x="145"/>
        <item x="447"/>
        <item x="502"/>
        <item x="650"/>
        <item x="552"/>
        <item x="486"/>
        <item x="231"/>
        <item x="663"/>
        <item x="677"/>
        <item x="121"/>
        <item x="418"/>
        <item x="292"/>
        <item x="655"/>
        <item x="708"/>
        <item x="430"/>
        <item x="119"/>
        <item x="174"/>
        <item x="672"/>
        <item x="216"/>
        <item x="192"/>
        <item x="553"/>
        <item x="629"/>
        <item x="669"/>
        <item x="481"/>
        <item x="568"/>
        <item x="221"/>
        <item x="548"/>
        <item x="527"/>
        <item x="198"/>
        <item x="471"/>
        <item x="661"/>
        <item x="232"/>
        <item x="519"/>
        <item x="65"/>
        <item x="213"/>
        <item x="79"/>
        <item x="437"/>
        <item x="113"/>
        <item x="214"/>
        <item x="188"/>
        <item x="307"/>
        <item x="244"/>
        <item x="640"/>
        <item x="353"/>
        <item x="560"/>
        <item x="555"/>
        <item x="50"/>
        <item x="373"/>
        <item x="150"/>
        <item x="254"/>
        <item x="190"/>
        <item x="66"/>
        <item x="46"/>
        <item x="132"/>
        <item x="446"/>
        <item x="680"/>
        <item x="614"/>
        <item x="106"/>
        <item x="277"/>
        <item x="338"/>
        <item x="515"/>
        <item x="392"/>
        <item x="576"/>
        <item x="397"/>
        <item x="658"/>
        <item x="361"/>
        <item x="624"/>
        <item x="705"/>
        <item x="490"/>
        <item x="632"/>
        <item x="380"/>
        <item x="11"/>
        <item x="366"/>
        <item x="16"/>
        <item x="259"/>
        <item x="17"/>
        <item x="200"/>
        <item x="714"/>
        <item x="71"/>
        <item x="412"/>
        <item x="83"/>
        <item x="318"/>
        <item x="636"/>
        <item x="54"/>
        <item x="109"/>
        <item x="618"/>
        <item x="288"/>
        <item x="315"/>
        <item x="686"/>
        <item x="253"/>
        <item x="605"/>
        <item x="29"/>
        <item x="321"/>
        <item x="491"/>
        <item x="628"/>
        <item x="195"/>
        <item x="645"/>
        <item x="517"/>
        <item x="676"/>
        <item x="354"/>
        <item x="28"/>
        <item x="401"/>
        <item x="469"/>
        <item x="99"/>
        <item x="52"/>
        <item x="335"/>
        <item x="692"/>
        <item x="212"/>
        <item x="158"/>
        <item x="539"/>
        <item x="593"/>
        <item x="525"/>
        <item x="367"/>
        <item x="429"/>
        <item x="536"/>
        <item x="570"/>
        <item x="461"/>
        <item x="405"/>
        <item x="162"/>
        <item x="276"/>
        <item x="453"/>
        <item x="77"/>
        <item x="185"/>
        <item x="582"/>
        <item x="220"/>
        <item x="522"/>
        <item x="524"/>
        <item x="369"/>
        <item x="455"/>
        <item x="243"/>
        <item x="322"/>
        <item x="523"/>
        <item x="323"/>
        <item x="586"/>
        <item x="218"/>
        <item x="444"/>
        <item x="327"/>
        <item x="563"/>
        <item x="40"/>
        <item x="690"/>
        <item x="528"/>
        <item x="675"/>
        <item x="488"/>
        <item x="347"/>
        <item x="148"/>
        <item x="96"/>
        <item x="473"/>
        <item x="229"/>
        <item x="691"/>
        <item x="653"/>
        <item x="67"/>
        <item x="427"/>
        <item x="432"/>
        <item x="608"/>
        <item x="476"/>
        <item x="124"/>
        <item x="284"/>
        <item x="272"/>
        <item x="665"/>
        <item x="521"/>
        <item x="643"/>
        <item x="311"/>
        <item x="496"/>
        <item x="404"/>
        <item x="644"/>
        <item x="683"/>
        <item x="289"/>
        <item x="438"/>
        <item x="268"/>
        <item x="557"/>
        <item x="344"/>
        <item x="529"/>
        <item x="59"/>
        <item x="504"/>
        <item x="423"/>
        <item x="371"/>
        <item x="351"/>
        <item x="431"/>
        <item x="368"/>
        <item x="580"/>
        <item x="710"/>
        <item x="225"/>
        <item x="601"/>
        <item x="9"/>
        <item x="3"/>
        <item x="98"/>
        <item x="104"/>
        <item x="206"/>
        <item x="182"/>
        <item x="263"/>
        <item x="250"/>
        <item x="133"/>
        <item x="2"/>
        <item x="7"/>
        <item x="211"/>
        <item x="60"/>
        <item x="38"/>
        <item x="589"/>
        <item x="433"/>
        <item x="309"/>
        <item x="415"/>
        <item x="530"/>
        <item x="590"/>
        <item x="140"/>
        <item x="187"/>
        <item x="436"/>
        <item x="147"/>
        <item x="543"/>
        <item x="340"/>
        <item x="396"/>
        <item x="703"/>
        <item x="684"/>
        <item x="364"/>
        <item x="326"/>
        <item x="53"/>
        <item x="251"/>
        <item x="154"/>
        <item x="270"/>
        <item x="19"/>
        <item x="343"/>
        <item x="623"/>
        <item x="600"/>
        <item x="545"/>
        <item x="452"/>
        <item x="5"/>
        <item x="194"/>
        <item x="320"/>
        <item x="696"/>
        <item x="514"/>
        <item x="592"/>
        <item x="445"/>
        <item x="647"/>
        <item x="603"/>
        <item x="535"/>
        <item x="36"/>
        <item x="638"/>
        <item x="30"/>
        <item x="310"/>
        <item x="332"/>
        <item x="291"/>
        <item x="184"/>
        <item x="163"/>
        <item x="245"/>
        <item x="668"/>
        <item x="516"/>
        <item x="450"/>
        <item x="316"/>
        <item x="120"/>
        <item x="365"/>
        <item x="303"/>
        <item x="135"/>
        <item x="1"/>
        <item x="649"/>
        <item x="26"/>
        <item x="189"/>
        <item x="136"/>
        <item x="391"/>
        <item x="217"/>
        <item x="385"/>
        <item x="435"/>
        <item x="388"/>
        <item x="151"/>
        <item x="544"/>
        <item x="559"/>
        <item x="654"/>
        <item x="442"/>
        <item x="520"/>
        <item x="89"/>
        <item x="457"/>
        <item x="575"/>
        <item x="381"/>
        <item x="186"/>
        <item x="492"/>
        <item x="410"/>
        <item x="234"/>
        <item x="23"/>
        <item x="462"/>
        <item x="237"/>
        <item x="579"/>
        <item x="161"/>
        <item x="424"/>
        <item x="339"/>
        <item x="230"/>
        <item x="448"/>
        <item x="78"/>
        <item x="685"/>
        <item x="451"/>
        <item x="90"/>
        <item x="346"/>
        <item x="460"/>
        <item x="642"/>
        <item x="233"/>
        <item x="201"/>
        <item x="383"/>
        <item x="372"/>
        <item x="513"/>
        <item x="547"/>
        <item x="209"/>
        <item x="398"/>
        <item x="4"/>
        <item x="474"/>
        <item x="68"/>
        <item x="533"/>
        <item x="51"/>
        <item x="386"/>
        <item x="34"/>
        <item x="549"/>
        <item x="12"/>
        <item x="226"/>
        <item x="503"/>
        <item x="384"/>
        <item x="591"/>
        <item x="280"/>
        <item x="511"/>
        <item x="342"/>
        <item x="165"/>
        <item x="348"/>
        <item x="541"/>
        <item x="319"/>
        <item x="224"/>
        <item x="85"/>
        <item x="359"/>
        <item x="377"/>
        <item x="142"/>
        <item x="498"/>
        <item x="308"/>
        <item x="613"/>
        <item x="228"/>
        <item x="587"/>
        <item x="167"/>
        <item x="42"/>
        <item x="0"/>
        <item x="610"/>
        <item x="196"/>
        <item x="641"/>
        <item x="317"/>
        <item x="659"/>
        <item x="542"/>
        <item x="122"/>
        <item x="393"/>
        <item x="508"/>
        <item x="283"/>
        <item x="305"/>
        <item x="103"/>
        <item x="595"/>
        <item x="489"/>
        <item x="713"/>
        <item x="171"/>
        <item x="660"/>
        <item x="458"/>
        <item x="166"/>
        <item x="434"/>
        <item x="92"/>
        <item x="569"/>
        <item x="336"/>
        <item x="328"/>
        <item x="126"/>
        <item x="494"/>
        <item x="146"/>
        <item x="631"/>
        <item x="157"/>
        <item x="413"/>
        <item x="73"/>
        <item x="81"/>
        <item x="352"/>
        <item x="235"/>
        <item x="178"/>
        <item x="537"/>
        <item x="205"/>
        <item x="572"/>
        <item x="487"/>
        <item x="271"/>
        <item x="360"/>
        <item x="87"/>
        <item x="500"/>
        <item x="501"/>
        <item x="207"/>
        <item x="170"/>
        <item x="49"/>
        <item x="297"/>
        <item x="411"/>
        <item x="356"/>
        <item x="475"/>
        <item x="419"/>
        <item x="44"/>
        <item x="345"/>
        <item x="255"/>
        <item x="248"/>
        <item x="197"/>
        <item x="35"/>
        <item x="349"/>
        <item x="138"/>
        <item x="164"/>
        <item x="294"/>
        <item x="633"/>
        <item x="389"/>
        <item x="716"/>
        <item x="112"/>
        <item x="219"/>
        <item x="561"/>
        <item x="149"/>
        <item x="688"/>
        <item x="483"/>
        <item x="497"/>
        <item x="61"/>
        <item x="63"/>
        <item x="108"/>
        <item x="355"/>
        <item x="172"/>
        <item x="625"/>
        <item x="673"/>
        <item x="287"/>
        <item x="169"/>
        <item x="279"/>
        <item x="612"/>
        <item x="667"/>
        <item x="22"/>
        <item x="425"/>
        <item x="139"/>
        <item x="258"/>
        <item x="10"/>
        <item x="333"/>
        <item x="468"/>
        <item x="176"/>
        <item x="8"/>
        <item x="620"/>
        <item x="58"/>
        <item x="402"/>
        <item x="105"/>
        <item x="304"/>
        <item x="449"/>
        <item x="155"/>
        <item x="463"/>
        <item x="94"/>
        <item x="273"/>
        <item x="281"/>
        <item x="32"/>
        <item x="306"/>
        <item x="499"/>
        <item x="285"/>
        <item x="241"/>
        <item x="459"/>
        <item x="615"/>
        <item x="700"/>
        <item x="666"/>
        <item x="505"/>
        <item x="266"/>
        <item x="509"/>
        <item x="635"/>
        <item x="252"/>
        <item x="199"/>
        <item x="485"/>
        <item x="325"/>
        <item x="687"/>
        <item x="479"/>
        <item x="24"/>
        <item x="597"/>
        <item x="97"/>
        <item x="296"/>
        <item x="551"/>
        <item x="313"/>
        <item x="622"/>
        <item x="443"/>
        <item x="114"/>
        <item x="558"/>
        <item x="466"/>
        <item x="702"/>
        <item x="712"/>
        <item x="47"/>
        <item x="422"/>
        <item x="203"/>
        <item x="531"/>
        <item x="588"/>
        <item x="261"/>
        <item x="358"/>
        <item x="57"/>
        <item x="510"/>
        <item x="75"/>
        <item x="337"/>
        <item x="689"/>
        <item x="695"/>
        <item x="256"/>
        <item x="293"/>
        <item x="538"/>
        <item x="382"/>
        <item x="91"/>
        <item x="611"/>
        <item x="111"/>
        <item x="210"/>
        <item x="141"/>
        <item x="215"/>
        <item x="518"/>
        <item x="602"/>
        <item x="249"/>
        <item x="662"/>
        <item x="239"/>
        <item x="137"/>
        <item x="556"/>
        <item x="562"/>
        <item x="350"/>
        <item x="395"/>
        <item x="95"/>
        <item x="324"/>
        <item x="247"/>
        <item x="15"/>
        <item x="55"/>
        <item x="116"/>
        <item x="546"/>
        <item x="88"/>
        <item x="375"/>
        <item x="107"/>
        <item x="264"/>
        <item x="257"/>
        <item x="464"/>
        <item x="532"/>
        <item x="191"/>
        <item x="406"/>
        <item x="583"/>
        <item x="578"/>
        <item x="21"/>
        <item x="639"/>
        <item x="267"/>
        <item x="467"/>
        <item x="439"/>
        <item x="329"/>
        <item x="64"/>
        <item x="86"/>
        <item x="581"/>
        <item x="131"/>
        <item x="400"/>
        <item x="204"/>
        <item x="41"/>
        <item x="506"/>
        <item x="62"/>
        <item x="585"/>
        <item x="630"/>
        <item x="115"/>
        <item x="652"/>
        <item x="13"/>
        <item x="681"/>
        <item x="330"/>
        <item x="480"/>
        <item x="634"/>
        <item x="693"/>
        <item x="240"/>
        <item x="465"/>
        <item x="286"/>
        <item x="637"/>
        <item x="129"/>
        <item x="701"/>
        <item x="540"/>
        <item x="656"/>
        <item x="74"/>
        <item x="299"/>
        <item x="619"/>
        <item x="566"/>
        <item x="159"/>
        <item x="144"/>
        <item x="153"/>
        <item x="670"/>
        <item x="374"/>
        <item x="76"/>
        <item x="6"/>
        <item x="39"/>
        <item x="37"/>
        <item x="394"/>
        <item x="173"/>
        <item x="534"/>
        <item x="246"/>
        <item x="238"/>
        <item x="110"/>
        <item t="default"/>
      </items>
    </pivotField>
    <pivotField axis="axisRow" showAll="0">
      <items count="5">
        <item x="1"/>
        <item x="3"/>
        <item x="2"/>
        <item x="0"/>
        <item t="default"/>
      </items>
    </pivotField>
    <pivotField showAll="0"/>
    <pivotField axis="axisCol" showAll="0">
      <items count="3">
        <item x="1"/>
        <item x="0"/>
        <item t="default"/>
      </items>
    </pivotField>
    <pivotField dataField="1" numFmtId="2" showAll="0"/>
    <pivotField showAll="0"/>
    <pivotField showAll="0"/>
    <pivotField showAll="0"/>
  </pivotFields>
  <rowFields count="1">
    <field x="2"/>
  </rowFields>
  <rowItems count="5">
    <i>
      <x/>
    </i>
    <i>
      <x v="1"/>
    </i>
    <i>
      <x v="2"/>
    </i>
    <i>
      <x v="3"/>
    </i>
    <i t="grand">
      <x/>
    </i>
  </rowItems>
  <colFields count="1">
    <field x="4"/>
  </colFields>
  <colItems count="3">
    <i>
      <x/>
    </i>
    <i>
      <x v="1"/>
    </i>
    <i t="grand">
      <x/>
    </i>
  </colItems>
  <dataFields count="1">
    <dataField name="Average of Turnaround_Time_Hours" fld="5" subtotal="average" baseField="2" baseItem="0" numFmtId="2"/>
  </dataFields>
  <chartFormats count="11">
    <chartFormat chart="2" format="12" series="1">
      <pivotArea type="data" outline="0" fieldPosition="0">
        <references count="2">
          <reference field="4294967294" count="1" selected="0">
            <x v="0"/>
          </reference>
          <reference field="4" count="1" selected="0">
            <x v="0"/>
          </reference>
        </references>
      </pivotArea>
    </chartFormat>
    <chartFormat chart="2" format="13">
      <pivotArea type="data" outline="0" fieldPosition="0">
        <references count="3">
          <reference field="4294967294" count="1" selected="0">
            <x v="0"/>
          </reference>
          <reference field="2" count="1" selected="0">
            <x v="0"/>
          </reference>
          <reference field="4" count="1" selected="0">
            <x v="0"/>
          </reference>
        </references>
      </pivotArea>
    </chartFormat>
    <chartFormat chart="2" format="14">
      <pivotArea type="data" outline="0" fieldPosition="0">
        <references count="3">
          <reference field="4294967294" count="1" selected="0">
            <x v="0"/>
          </reference>
          <reference field="2" count="1" selected="0">
            <x v="1"/>
          </reference>
          <reference field="4" count="1" selected="0">
            <x v="0"/>
          </reference>
        </references>
      </pivotArea>
    </chartFormat>
    <chartFormat chart="2" format="15">
      <pivotArea type="data" outline="0" fieldPosition="0">
        <references count="3">
          <reference field="4294967294" count="1" selected="0">
            <x v="0"/>
          </reference>
          <reference field="2" count="1" selected="0">
            <x v="2"/>
          </reference>
          <reference field="4" count="1" selected="0">
            <x v="0"/>
          </reference>
        </references>
      </pivotArea>
    </chartFormat>
    <chartFormat chart="2" format="16">
      <pivotArea type="data" outline="0" fieldPosition="0">
        <references count="3">
          <reference field="4294967294" count="1" selected="0">
            <x v="0"/>
          </reference>
          <reference field="2" count="1" selected="0">
            <x v="3"/>
          </reference>
          <reference field="4" count="1" selected="0">
            <x v="0"/>
          </reference>
        </references>
      </pivotArea>
    </chartFormat>
    <chartFormat chart="2" format="17" series="1">
      <pivotArea type="data" outline="0" fieldPosition="0">
        <references count="2">
          <reference field="4294967294" count="1" selected="0">
            <x v="0"/>
          </reference>
          <reference field="4" count="1" selected="0">
            <x v="1"/>
          </reference>
        </references>
      </pivotArea>
    </chartFormat>
    <chartFormat chart="2" format="18">
      <pivotArea type="data" outline="0" fieldPosition="0">
        <references count="3">
          <reference field="4294967294" count="1" selected="0">
            <x v="0"/>
          </reference>
          <reference field="2" count="1" selected="0">
            <x v="0"/>
          </reference>
          <reference field="4" count="1" selected="0">
            <x v="1"/>
          </reference>
        </references>
      </pivotArea>
    </chartFormat>
    <chartFormat chart="2" format="19">
      <pivotArea type="data" outline="0" fieldPosition="0">
        <references count="3">
          <reference field="4294967294" count="1" selected="0">
            <x v="0"/>
          </reference>
          <reference field="2" count="1" selected="0">
            <x v="1"/>
          </reference>
          <reference field="4" count="1" selected="0">
            <x v="1"/>
          </reference>
        </references>
      </pivotArea>
    </chartFormat>
    <chartFormat chart="2" format="20">
      <pivotArea type="data" outline="0" fieldPosition="0">
        <references count="3">
          <reference field="4294967294" count="1" selected="0">
            <x v="0"/>
          </reference>
          <reference field="2" count="1" selected="0">
            <x v="2"/>
          </reference>
          <reference field="4" count="1" selected="0">
            <x v="1"/>
          </reference>
        </references>
      </pivotArea>
    </chartFormat>
    <chartFormat chart="2" format="21">
      <pivotArea type="data" outline="0" fieldPosition="0">
        <references count="3">
          <reference field="4294967294" count="1" selected="0">
            <x v="0"/>
          </reference>
          <reference field="2" count="1" selected="0">
            <x v="3"/>
          </reference>
          <reference field="4" count="1" selected="0">
            <x v="1"/>
          </reference>
        </references>
      </pivotArea>
    </chartFormat>
    <chartFormat chart="2"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1900D5-004F-4B26-A735-78BD6846804A}"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4" firstHeaderRow="1" firstDataRow="1" firstDataCol="1" rowPageCount="1" colPageCount="1"/>
  <pivotFields count="9">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numFmtId="14" showAll="0"/>
    <pivotField showAll="0">
      <items count="5">
        <item x="1"/>
        <item x="3"/>
        <item x="2"/>
        <item x="0"/>
        <item t="default"/>
      </items>
    </pivotField>
    <pivotField showAll="0"/>
    <pivotField axis="axisPage" showAll="0">
      <items count="3">
        <item x="1"/>
        <item x="0"/>
        <item t="default"/>
      </items>
    </pivotField>
    <pivotField numFmtId="2" showAll="0"/>
    <pivotField showAll="0"/>
    <pivotField showAll="0"/>
    <pivotField axis="axisRow" showAll="0">
      <items count="4">
        <item x="1"/>
        <item x="2"/>
        <item h="1" x="0"/>
        <item t="default"/>
      </items>
    </pivotField>
  </pivotFields>
  <rowFields count="1">
    <field x="8"/>
  </rowFields>
  <rowItems count="3">
    <i>
      <x/>
    </i>
    <i>
      <x v="1"/>
    </i>
    <i t="grand">
      <x/>
    </i>
  </rowItems>
  <colItems count="1">
    <i/>
  </colItems>
  <pageFields count="1">
    <pageField fld="4" item="1" hier="-1"/>
  </pageFields>
  <dataFields count="1">
    <dataField name="Count of Case_ID" fld="0" subtotal="count" baseField="0" baseItem="0"/>
  </dataFields>
  <chartFormats count="4">
    <chartFormat chart="3" format="9"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8" count="1" selected="0">
            <x v="0"/>
          </reference>
        </references>
      </pivotArea>
    </chartFormat>
    <chartFormat chart="3" format="1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8E49C7-5500-4505-AB67-F2FE4D44E787}" name="PivotTable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D3:E6" firstHeaderRow="1" firstDataRow="1" firstDataCol="1"/>
  <pivotFields count="9">
    <pivotField showAll="0"/>
    <pivotField numFmtId="14" showAll="0">
      <items count="718">
        <item x="577"/>
        <item x="93"/>
        <item x="709"/>
        <item x="564"/>
        <item x="698"/>
        <item x="573"/>
        <item x="72"/>
        <item x="370"/>
        <item x="512"/>
        <item x="420"/>
        <item x="143"/>
        <item x="168"/>
        <item x="507"/>
        <item x="682"/>
        <item x="407"/>
        <item x="260"/>
        <item x="134"/>
        <item x="181"/>
        <item x="269"/>
        <item x="399"/>
        <item x="152"/>
        <item x="180"/>
        <item x="208"/>
        <item x="156"/>
        <item x="403"/>
        <item x="472"/>
        <item x="454"/>
        <item x="408"/>
        <item x="627"/>
        <item x="265"/>
        <item x="130"/>
        <item x="706"/>
        <item x="101"/>
        <item x="478"/>
        <item x="33"/>
        <item x="20"/>
        <item x="390"/>
        <item x="607"/>
        <item x="262"/>
        <item x="441"/>
        <item x="567"/>
        <item x="409"/>
        <item x="651"/>
        <item x="626"/>
        <item x="300"/>
        <item x="43"/>
        <item x="599"/>
        <item x="526"/>
        <item x="594"/>
        <item x="596"/>
        <item x="674"/>
        <item x="179"/>
        <item x="711"/>
        <item x="357"/>
        <item x="223"/>
        <item x="222"/>
        <item x="160"/>
        <item x="482"/>
        <item x="193"/>
        <item x="376"/>
        <item x="227"/>
        <item x="609"/>
        <item x="341"/>
        <item x="100"/>
        <item x="84"/>
        <item x="421"/>
        <item x="379"/>
        <item x="31"/>
        <item x="387"/>
        <item x="18"/>
        <item x="671"/>
        <item x="183"/>
        <item x="202"/>
        <item x="334"/>
        <item x="278"/>
        <item x="80"/>
        <item x="657"/>
        <item x="378"/>
        <item x="426"/>
        <item x="604"/>
        <item x="128"/>
        <item x="616"/>
        <item x="295"/>
        <item x="606"/>
        <item x="282"/>
        <item x="27"/>
        <item x="274"/>
        <item x="118"/>
        <item x="470"/>
        <item x="664"/>
        <item x="312"/>
        <item x="417"/>
        <item x="598"/>
        <item x="704"/>
        <item x="175"/>
        <item x="584"/>
        <item x="495"/>
        <item x="236"/>
        <item x="707"/>
        <item x="715"/>
        <item x="302"/>
        <item x="82"/>
        <item x="14"/>
        <item x="127"/>
        <item x="362"/>
        <item x="56"/>
        <item x="102"/>
        <item x="298"/>
        <item x="694"/>
        <item x="621"/>
        <item x="290"/>
        <item x="646"/>
        <item x="679"/>
        <item x="363"/>
        <item x="477"/>
        <item x="331"/>
        <item x="493"/>
        <item x="697"/>
        <item x="48"/>
        <item x="69"/>
        <item x="428"/>
        <item x="314"/>
        <item x="177"/>
        <item x="678"/>
        <item x="25"/>
        <item x="70"/>
        <item x="416"/>
        <item x="440"/>
        <item x="45"/>
        <item x="125"/>
        <item x="648"/>
        <item x="571"/>
        <item x="554"/>
        <item x="456"/>
        <item x="123"/>
        <item x="617"/>
        <item x="242"/>
        <item x="574"/>
        <item x="414"/>
        <item x="484"/>
        <item x="565"/>
        <item x="117"/>
        <item x="550"/>
        <item x="699"/>
        <item x="301"/>
        <item x="275"/>
        <item x="145"/>
        <item x="447"/>
        <item x="502"/>
        <item x="650"/>
        <item x="552"/>
        <item x="486"/>
        <item x="231"/>
        <item x="663"/>
        <item x="677"/>
        <item x="121"/>
        <item x="418"/>
        <item x="292"/>
        <item x="655"/>
        <item x="708"/>
        <item x="430"/>
        <item x="119"/>
        <item x="174"/>
        <item x="672"/>
        <item x="216"/>
        <item x="192"/>
        <item x="553"/>
        <item x="629"/>
        <item x="669"/>
        <item x="481"/>
        <item x="568"/>
        <item x="221"/>
        <item x="548"/>
        <item x="527"/>
        <item x="198"/>
        <item x="471"/>
        <item x="661"/>
        <item x="232"/>
        <item x="519"/>
        <item x="65"/>
        <item x="213"/>
        <item x="79"/>
        <item x="437"/>
        <item x="113"/>
        <item x="214"/>
        <item x="188"/>
        <item x="307"/>
        <item x="244"/>
        <item x="640"/>
        <item x="353"/>
        <item x="560"/>
        <item x="555"/>
        <item x="50"/>
        <item x="373"/>
        <item x="150"/>
        <item x="254"/>
        <item x="190"/>
        <item x="66"/>
        <item x="46"/>
        <item x="132"/>
        <item x="446"/>
        <item x="680"/>
        <item x="614"/>
        <item x="106"/>
        <item x="277"/>
        <item x="338"/>
        <item x="515"/>
        <item x="392"/>
        <item x="576"/>
        <item x="397"/>
        <item x="658"/>
        <item x="361"/>
        <item x="624"/>
        <item x="705"/>
        <item x="490"/>
        <item x="632"/>
        <item x="380"/>
        <item x="11"/>
        <item x="366"/>
        <item x="16"/>
        <item x="259"/>
        <item x="17"/>
        <item x="200"/>
        <item x="714"/>
        <item x="71"/>
        <item x="412"/>
        <item x="83"/>
        <item x="318"/>
        <item x="636"/>
        <item x="54"/>
        <item x="109"/>
        <item x="618"/>
        <item x="288"/>
        <item x="315"/>
        <item x="686"/>
        <item x="253"/>
        <item x="605"/>
        <item x="29"/>
        <item x="321"/>
        <item x="491"/>
        <item x="628"/>
        <item x="195"/>
        <item x="645"/>
        <item x="517"/>
        <item x="676"/>
        <item x="354"/>
        <item x="28"/>
        <item x="401"/>
        <item x="469"/>
        <item x="99"/>
        <item x="52"/>
        <item x="335"/>
        <item x="692"/>
        <item x="212"/>
        <item x="158"/>
        <item x="539"/>
        <item x="593"/>
        <item x="525"/>
        <item x="367"/>
        <item x="429"/>
        <item x="536"/>
        <item x="570"/>
        <item x="461"/>
        <item x="405"/>
        <item x="162"/>
        <item x="276"/>
        <item x="453"/>
        <item x="77"/>
        <item x="185"/>
        <item x="582"/>
        <item x="220"/>
        <item x="522"/>
        <item x="524"/>
        <item x="369"/>
        <item x="455"/>
        <item x="243"/>
        <item x="322"/>
        <item x="523"/>
        <item x="323"/>
        <item x="586"/>
        <item x="218"/>
        <item x="444"/>
        <item x="327"/>
        <item x="563"/>
        <item x="40"/>
        <item x="690"/>
        <item x="528"/>
        <item x="675"/>
        <item x="488"/>
        <item x="347"/>
        <item x="148"/>
        <item x="96"/>
        <item x="473"/>
        <item x="229"/>
        <item x="691"/>
        <item x="653"/>
        <item x="67"/>
        <item x="427"/>
        <item x="432"/>
        <item x="608"/>
        <item x="476"/>
        <item x="124"/>
        <item x="284"/>
        <item x="272"/>
        <item x="665"/>
        <item x="521"/>
        <item x="643"/>
        <item x="311"/>
        <item x="496"/>
        <item x="404"/>
        <item x="644"/>
        <item x="683"/>
        <item x="289"/>
        <item x="438"/>
        <item x="268"/>
        <item x="557"/>
        <item x="344"/>
        <item x="529"/>
        <item x="59"/>
        <item x="504"/>
        <item x="423"/>
        <item x="371"/>
        <item x="351"/>
        <item x="431"/>
        <item x="368"/>
        <item x="580"/>
        <item x="710"/>
        <item x="225"/>
        <item x="601"/>
        <item x="9"/>
        <item x="3"/>
        <item x="98"/>
        <item x="104"/>
        <item x="206"/>
        <item x="182"/>
        <item x="263"/>
        <item x="250"/>
        <item x="133"/>
        <item x="2"/>
        <item x="7"/>
        <item x="211"/>
        <item x="60"/>
        <item x="38"/>
        <item x="589"/>
        <item x="433"/>
        <item x="309"/>
        <item x="415"/>
        <item x="530"/>
        <item x="590"/>
        <item x="140"/>
        <item x="187"/>
        <item x="436"/>
        <item x="147"/>
        <item x="543"/>
        <item x="340"/>
        <item x="396"/>
        <item x="703"/>
        <item x="684"/>
        <item x="364"/>
        <item x="326"/>
        <item x="53"/>
        <item x="251"/>
        <item x="154"/>
        <item x="270"/>
        <item x="19"/>
        <item x="343"/>
        <item x="623"/>
        <item x="600"/>
        <item x="545"/>
        <item x="452"/>
        <item x="5"/>
        <item x="194"/>
        <item x="320"/>
        <item x="696"/>
        <item x="514"/>
        <item x="592"/>
        <item x="445"/>
        <item x="647"/>
        <item x="603"/>
        <item x="535"/>
        <item x="36"/>
        <item x="638"/>
        <item x="30"/>
        <item x="310"/>
        <item x="332"/>
        <item x="291"/>
        <item x="184"/>
        <item x="163"/>
        <item x="245"/>
        <item x="668"/>
        <item x="516"/>
        <item x="450"/>
        <item x="316"/>
        <item x="120"/>
        <item x="365"/>
        <item x="303"/>
        <item x="135"/>
        <item x="1"/>
        <item x="649"/>
        <item x="26"/>
        <item x="189"/>
        <item x="136"/>
        <item x="391"/>
        <item x="217"/>
        <item x="385"/>
        <item x="435"/>
        <item x="388"/>
        <item x="151"/>
        <item x="544"/>
        <item x="559"/>
        <item x="654"/>
        <item x="442"/>
        <item x="520"/>
        <item x="89"/>
        <item x="457"/>
        <item x="575"/>
        <item x="381"/>
        <item x="186"/>
        <item x="492"/>
        <item x="410"/>
        <item x="234"/>
        <item x="23"/>
        <item x="462"/>
        <item x="237"/>
        <item x="579"/>
        <item x="161"/>
        <item x="424"/>
        <item x="339"/>
        <item x="230"/>
        <item x="448"/>
        <item x="78"/>
        <item x="685"/>
        <item x="451"/>
        <item x="90"/>
        <item x="346"/>
        <item x="460"/>
        <item x="642"/>
        <item x="233"/>
        <item x="201"/>
        <item x="383"/>
        <item x="372"/>
        <item x="513"/>
        <item x="547"/>
        <item x="209"/>
        <item x="398"/>
        <item x="4"/>
        <item x="474"/>
        <item x="68"/>
        <item x="533"/>
        <item x="51"/>
        <item x="386"/>
        <item x="34"/>
        <item x="549"/>
        <item x="12"/>
        <item x="226"/>
        <item x="503"/>
        <item x="384"/>
        <item x="591"/>
        <item x="280"/>
        <item x="511"/>
        <item x="342"/>
        <item x="165"/>
        <item x="348"/>
        <item x="541"/>
        <item x="319"/>
        <item x="224"/>
        <item x="85"/>
        <item x="359"/>
        <item x="377"/>
        <item x="142"/>
        <item x="498"/>
        <item x="308"/>
        <item x="613"/>
        <item x="228"/>
        <item x="587"/>
        <item x="167"/>
        <item x="42"/>
        <item x="0"/>
        <item x="610"/>
        <item x="196"/>
        <item x="641"/>
        <item x="317"/>
        <item x="659"/>
        <item x="542"/>
        <item x="122"/>
        <item x="393"/>
        <item x="508"/>
        <item x="283"/>
        <item x="305"/>
        <item x="103"/>
        <item x="595"/>
        <item x="489"/>
        <item x="713"/>
        <item x="171"/>
        <item x="660"/>
        <item x="458"/>
        <item x="166"/>
        <item x="434"/>
        <item x="92"/>
        <item x="569"/>
        <item x="336"/>
        <item x="328"/>
        <item x="126"/>
        <item x="494"/>
        <item x="146"/>
        <item x="631"/>
        <item x="157"/>
        <item x="413"/>
        <item x="73"/>
        <item x="81"/>
        <item x="352"/>
        <item x="235"/>
        <item x="178"/>
        <item x="537"/>
        <item x="205"/>
        <item x="572"/>
        <item x="487"/>
        <item x="271"/>
        <item x="360"/>
        <item x="87"/>
        <item x="500"/>
        <item x="501"/>
        <item x="207"/>
        <item x="170"/>
        <item x="49"/>
        <item x="297"/>
        <item x="411"/>
        <item x="356"/>
        <item x="475"/>
        <item x="419"/>
        <item x="44"/>
        <item x="345"/>
        <item x="255"/>
        <item x="248"/>
        <item x="197"/>
        <item x="35"/>
        <item x="349"/>
        <item x="138"/>
        <item x="164"/>
        <item x="294"/>
        <item x="633"/>
        <item x="389"/>
        <item x="716"/>
        <item x="112"/>
        <item x="219"/>
        <item x="561"/>
        <item x="149"/>
        <item x="688"/>
        <item x="483"/>
        <item x="497"/>
        <item x="61"/>
        <item x="63"/>
        <item x="108"/>
        <item x="355"/>
        <item x="172"/>
        <item x="625"/>
        <item x="673"/>
        <item x="287"/>
        <item x="169"/>
        <item x="279"/>
        <item x="612"/>
        <item x="667"/>
        <item x="22"/>
        <item x="425"/>
        <item x="139"/>
        <item x="258"/>
        <item x="10"/>
        <item x="333"/>
        <item x="468"/>
        <item x="176"/>
        <item x="8"/>
        <item x="620"/>
        <item x="58"/>
        <item x="402"/>
        <item x="105"/>
        <item x="304"/>
        <item x="449"/>
        <item x="155"/>
        <item x="463"/>
        <item x="94"/>
        <item x="273"/>
        <item x="281"/>
        <item x="32"/>
        <item x="306"/>
        <item x="499"/>
        <item x="285"/>
        <item x="241"/>
        <item x="459"/>
        <item x="615"/>
        <item x="700"/>
        <item x="666"/>
        <item x="505"/>
        <item x="266"/>
        <item x="509"/>
        <item x="635"/>
        <item x="252"/>
        <item x="199"/>
        <item x="485"/>
        <item x="325"/>
        <item x="687"/>
        <item x="479"/>
        <item x="24"/>
        <item x="597"/>
        <item x="97"/>
        <item x="296"/>
        <item x="551"/>
        <item x="313"/>
        <item x="622"/>
        <item x="443"/>
        <item x="114"/>
        <item x="558"/>
        <item x="466"/>
        <item x="702"/>
        <item x="712"/>
        <item x="47"/>
        <item x="422"/>
        <item x="203"/>
        <item x="531"/>
        <item x="588"/>
        <item x="261"/>
        <item x="358"/>
        <item x="57"/>
        <item x="510"/>
        <item x="75"/>
        <item x="337"/>
        <item x="689"/>
        <item x="695"/>
        <item x="256"/>
        <item x="293"/>
        <item x="538"/>
        <item x="382"/>
        <item x="91"/>
        <item x="611"/>
        <item x="111"/>
        <item x="210"/>
        <item x="141"/>
        <item x="215"/>
        <item x="518"/>
        <item x="602"/>
        <item x="249"/>
        <item x="662"/>
        <item x="239"/>
        <item x="137"/>
        <item x="556"/>
        <item x="562"/>
        <item x="350"/>
        <item x="395"/>
        <item x="95"/>
        <item x="324"/>
        <item x="247"/>
        <item x="15"/>
        <item x="55"/>
        <item x="116"/>
        <item x="546"/>
        <item x="88"/>
        <item x="375"/>
        <item x="107"/>
        <item x="264"/>
        <item x="257"/>
        <item x="464"/>
        <item x="532"/>
        <item x="191"/>
        <item x="406"/>
        <item x="583"/>
        <item x="578"/>
        <item x="21"/>
        <item x="639"/>
        <item x="267"/>
        <item x="467"/>
        <item x="439"/>
        <item x="329"/>
        <item x="64"/>
        <item x="86"/>
        <item x="581"/>
        <item x="131"/>
        <item x="400"/>
        <item x="204"/>
        <item x="41"/>
        <item x="506"/>
        <item x="62"/>
        <item x="585"/>
        <item x="630"/>
        <item x="115"/>
        <item x="652"/>
        <item x="13"/>
        <item x="681"/>
        <item x="330"/>
        <item x="480"/>
        <item x="634"/>
        <item x="693"/>
        <item x="240"/>
        <item x="465"/>
        <item x="286"/>
        <item x="637"/>
        <item x="129"/>
        <item x="701"/>
        <item x="540"/>
        <item x="656"/>
        <item x="74"/>
        <item x="299"/>
        <item x="619"/>
        <item x="566"/>
        <item x="159"/>
        <item x="144"/>
        <item x="153"/>
        <item x="670"/>
        <item x="374"/>
        <item x="76"/>
        <item x="6"/>
        <item x="39"/>
        <item x="37"/>
        <item x="394"/>
        <item x="173"/>
        <item x="534"/>
        <item x="246"/>
        <item x="238"/>
        <item x="110"/>
        <item t="default"/>
      </items>
    </pivotField>
    <pivotField showAll="0">
      <items count="5">
        <item x="1"/>
        <item x="3"/>
        <item x="2"/>
        <item x="0"/>
        <item t="default"/>
      </items>
    </pivotField>
    <pivotField showAll="0"/>
    <pivotField axis="axisRow" showAll="0">
      <items count="3">
        <item x="1"/>
        <item x="0"/>
        <item t="default"/>
      </items>
    </pivotField>
    <pivotField numFmtId="2" showAll="0"/>
    <pivotField dataField="1" showAll="0"/>
    <pivotField showAll="0"/>
    <pivotField showAll="0"/>
  </pivotFields>
  <rowFields count="1">
    <field x="4"/>
  </rowFields>
  <rowItems count="3">
    <i>
      <x/>
    </i>
    <i>
      <x v="1"/>
    </i>
    <i t="grand">
      <x/>
    </i>
  </rowItems>
  <colItems count="1">
    <i/>
  </colItems>
  <dataFields count="1">
    <dataField name="Count of Amendment_Required" fld="6"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80D8CE7-D5BA-4998-9492-0F41345CBFBC}" sourceName="Department">
  <pivotTables>
    <pivotTable tabId="4" name="PivotTable3"/>
    <pivotTable tabId="4" name="PivotTable1"/>
    <pivotTable tabId="4" name="PivotTable2"/>
  </pivotTables>
  <data>
    <tabular pivotCacheId="93423790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Assisted" xr10:uid="{5ED41659-5A56-4BC2-AD0D-96619D220413}" sourceName="AI_Assisted">
  <pivotTables>
    <pivotTable tabId="4" name="PivotTable3"/>
    <pivotTable tabId="4" name="PivotTable1"/>
    <pivotTable tabId="4" name="PivotTable2"/>
  </pivotTables>
  <data>
    <tabular pivotCacheId="93423790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A919974-84E3-4695-9E3E-871501EE5306}" cache="Slicer_Department" caption="Department" rowHeight="257175"/>
  <slicer name="AI_Assisted" xr10:uid="{8489BECB-35E2-4E83-BC00-D0B93B5EC7CD}" cache="Slicer_AI_Assisted" caption="AI_Assisted"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Received" xr10:uid="{710F63BF-A101-4324-9790-393045CB00A9}" sourceName="Date_Received">
  <pivotTables>
    <pivotTable tabId="4" name="PivotTable3"/>
    <pivotTable tabId="4" name="PivotTable1"/>
    <pivotTable tabId="4" name="PivotTable2"/>
  </pivotTables>
  <state minimalRefreshVersion="6" lastRefreshVersion="6" pivotCacheId="934237902"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Received" xr10:uid="{72D9E8A0-C280-41DE-B733-627C00E6A20F}" cache="NativeTimeline_Date_Received" caption="Date_Received" level="0" selectionLevel="0" scrollPosition="2024-01-01T00:00:00"/>
</timeline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9CB98-AC12-4F84-A224-4B842D13EC55}">
  <dimension ref="A1:I3001"/>
  <sheetViews>
    <sheetView workbookViewId="0">
      <selection activeCell="B5" sqref="B5"/>
    </sheetView>
  </sheetViews>
  <sheetFormatPr defaultRowHeight="14.4" x14ac:dyDescent="0.3"/>
  <cols>
    <col min="1" max="1" width="10" bestFit="1" customWidth="1"/>
    <col min="2" max="2" width="13.6640625" bestFit="1" customWidth="1"/>
    <col min="3" max="3" width="11.33203125" bestFit="1" customWidth="1"/>
    <col min="4" max="4" width="16.44140625" bestFit="1" customWidth="1"/>
    <col min="5" max="5" width="11" bestFit="1" customWidth="1"/>
    <col min="6" max="6" width="23.109375" bestFit="1" customWidth="1"/>
    <col min="7" max="7" width="20.5546875" bestFit="1" customWidth="1"/>
    <col min="8" max="8" width="11.5546875" bestFit="1" customWidth="1"/>
    <col min="9" max="9" width="15.44140625" bestFit="1" customWidth="1"/>
  </cols>
  <sheetData>
    <row r="1" spans="1:9" x14ac:dyDescent="0.3">
      <c r="A1" t="s">
        <v>0</v>
      </c>
      <c r="B1" t="s">
        <v>1</v>
      </c>
      <c r="C1" t="s">
        <v>2</v>
      </c>
      <c r="D1" t="s">
        <v>3</v>
      </c>
      <c r="E1" t="s">
        <v>4</v>
      </c>
      <c r="F1" t="s">
        <v>5</v>
      </c>
      <c r="G1" t="s">
        <v>6</v>
      </c>
      <c r="H1" t="s">
        <v>7</v>
      </c>
      <c r="I1" t="s">
        <v>8</v>
      </c>
    </row>
    <row r="2" spans="1:9" x14ac:dyDescent="0.3">
      <c r="A2" t="str">
        <f>"CASE-"&amp;TEXT(ROW()-1,"0000")</f>
        <v>CASE-0001</v>
      </c>
      <c r="B2" s="1">
        <v>45957</v>
      </c>
      <c r="C2" t="s">
        <v>9</v>
      </c>
      <c r="D2">
        <v>3</v>
      </c>
      <c r="E2" t="b">
        <v>1</v>
      </c>
      <c r="F2" s="2">
        <v>36.832072884109181</v>
      </c>
      <c r="G2" t="b">
        <v>0</v>
      </c>
      <c r="H2" t="s">
        <v>13</v>
      </c>
      <c r="I2" t="s">
        <v>33</v>
      </c>
    </row>
    <row r="3" spans="1:9" x14ac:dyDescent="0.3">
      <c r="A3" t="str">
        <f t="shared" ref="A3:A66" si="0">"CASE-"&amp;TEXT(ROW()-1,"0000")</f>
        <v>CASE-0002</v>
      </c>
      <c r="B3" s="1">
        <v>45877</v>
      </c>
      <c r="C3" t="s">
        <v>9</v>
      </c>
      <c r="D3">
        <v>2</v>
      </c>
      <c r="E3" t="b">
        <v>0</v>
      </c>
      <c r="F3" s="2">
        <v>6.7940989790945947</v>
      </c>
      <c r="G3" t="b">
        <v>0</v>
      </c>
      <c r="H3" t="s">
        <v>14</v>
      </c>
      <c r="I3" t="s">
        <v>34</v>
      </c>
    </row>
    <row r="4" spans="1:9" x14ac:dyDescent="0.3">
      <c r="A4" t="str">
        <f t="shared" si="0"/>
        <v>CASE-0003</v>
      </c>
      <c r="B4" s="1">
        <v>45818</v>
      </c>
      <c r="C4" t="s">
        <v>10</v>
      </c>
      <c r="D4">
        <v>5</v>
      </c>
      <c r="E4" t="b">
        <v>1</v>
      </c>
      <c r="F4" s="2">
        <v>9.1671568719915992</v>
      </c>
      <c r="G4" t="b">
        <v>0</v>
      </c>
      <c r="H4" t="s">
        <v>15</v>
      </c>
      <c r="I4" t="s">
        <v>34</v>
      </c>
    </row>
    <row r="5" spans="1:9" x14ac:dyDescent="0.3">
      <c r="A5" t="str">
        <f t="shared" si="0"/>
        <v>CASE-0004</v>
      </c>
      <c r="B5" s="1">
        <v>45810</v>
      </c>
      <c r="C5" t="s">
        <v>9</v>
      </c>
      <c r="D5">
        <v>5</v>
      </c>
      <c r="E5" t="b">
        <v>1</v>
      </c>
      <c r="F5" s="2">
        <v>8.1620358085431466</v>
      </c>
      <c r="G5" t="b">
        <v>1</v>
      </c>
      <c r="H5" t="s">
        <v>16</v>
      </c>
      <c r="I5" t="s">
        <v>34</v>
      </c>
    </row>
    <row r="6" spans="1:9" x14ac:dyDescent="0.3">
      <c r="A6" t="str">
        <f t="shared" si="0"/>
        <v>CASE-0005</v>
      </c>
      <c r="B6" s="1">
        <v>45925</v>
      </c>
      <c r="C6" t="s">
        <v>10</v>
      </c>
      <c r="D6">
        <v>3</v>
      </c>
      <c r="E6" t="b">
        <v>1</v>
      </c>
      <c r="F6" s="2">
        <v>32.833420463476038</v>
      </c>
      <c r="G6" t="b">
        <v>0</v>
      </c>
      <c r="H6" t="s">
        <v>14</v>
      </c>
      <c r="I6" t="s">
        <v>33</v>
      </c>
    </row>
    <row r="7" spans="1:9" x14ac:dyDescent="0.3">
      <c r="A7" t="str">
        <f t="shared" si="0"/>
        <v>CASE-0006</v>
      </c>
      <c r="B7" s="1">
        <v>45850</v>
      </c>
      <c r="C7" t="s">
        <v>9</v>
      </c>
      <c r="D7">
        <v>5</v>
      </c>
      <c r="E7" t="b">
        <v>1</v>
      </c>
      <c r="F7" s="2">
        <v>2.0292870011568169</v>
      </c>
      <c r="G7" t="b">
        <v>0</v>
      </c>
      <c r="H7" t="s">
        <v>16</v>
      </c>
      <c r="I7" t="s">
        <v>34</v>
      </c>
    </row>
    <row r="8" spans="1:9" x14ac:dyDescent="0.3">
      <c r="A8" t="str">
        <f t="shared" si="0"/>
        <v>CASE-0007</v>
      </c>
      <c r="B8" s="1">
        <v>46195</v>
      </c>
      <c r="C8" t="s">
        <v>10</v>
      </c>
      <c r="D8">
        <v>2</v>
      </c>
      <c r="E8" t="b">
        <v>1</v>
      </c>
      <c r="F8" s="2">
        <v>10.343083548761737</v>
      </c>
      <c r="G8" t="b">
        <v>0</v>
      </c>
      <c r="H8" t="s">
        <v>17</v>
      </c>
      <c r="I8" t="s">
        <v>34</v>
      </c>
    </row>
    <row r="9" spans="1:9" x14ac:dyDescent="0.3">
      <c r="A9" t="str">
        <f t="shared" si="0"/>
        <v>CASE-0008</v>
      </c>
      <c r="B9" s="1">
        <v>45819</v>
      </c>
      <c r="C9" t="s">
        <v>11</v>
      </c>
      <c r="D9">
        <v>2</v>
      </c>
      <c r="E9" t="b">
        <v>0</v>
      </c>
      <c r="F9" s="2">
        <v>5.7029902114985154</v>
      </c>
      <c r="G9" t="b">
        <v>0</v>
      </c>
      <c r="H9" t="s">
        <v>15</v>
      </c>
      <c r="I9" t="s">
        <v>34</v>
      </c>
    </row>
    <row r="10" spans="1:9" x14ac:dyDescent="0.3">
      <c r="A10" t="str">
        <f t="shared" si="0"/>
        <v>CASE-0009</v>
      </c>
      <c r="B10" s="1">
        <v>46053</v>
      </c>
      <c r="C10" t="s">
        <v>11</v>
      </c>
      <c r="D10">
        <v>3</v>
      </c>
      <c r="E10" t="b">
        <v>1</v>
      </c>
      <c r="F10" s="2">
        <v>7.1102507398826447</v>
      </c>
      <c r="G10" t="b">
        <v>0</v>
      </c>
      <c r="H10" t="s">
        <v>18</v>
      </c>
      <c r="I10" t="s">
        <v>34</v>
      </c>
    </row>
    <row r="11" spans="1:9" x14ac:dyDescent="0.3">
      <c r="A11" t="str">
        <f t="shared" si="0"/>
        <v>CASE-0010</v>
      </c>
      <c r="B11" s="1">
        <v>45809</v>
      </c>
      <c r="C11" t="s">
        <v>12</v>
      </c>
      <c r="D11">
        <v>5</v>
      </c>
      <c r="E11" t="b">
        <v>1</v>
      </c>
      <c r="F11" s="2">
        <v>7.0380604006259695</v>
      </c>
      <c r="G11" t="b">
        <v>1</v>
      </c>
      <c r="H11" t="s">
        <v>19</v>
      </c>
      <c r="I11" t="s">
        <v>34</v>
      </c>
    </row>
    <row r="12" spans="1:9" x14ac:dyDescent="0.3">
      <c r="A12" t="str">
        <f t="shared" si="0"/>
        <v>CASE-0011</v>
      </c>
      <c r="B12" s="1">
        <v>46049</v>
      </c>
      <c r="C12" t="s">
        <v>9</v>
      </c>
      <c r="D12">
        <v>2</v>
      </c>
      <c r="E12" t="b">
        <v>1</v>
      </c>
      <c r="F12" s="2">
        <v>17.221694946992013</v>
      </c>
      <c r="G12" t="b">
        <v>0</v>
      </c>
      <c r="H12" t="s">
        <v>20</v>
      </c>
      <c r="I12" t="s">
        <v>33</v>
      </c>
    </row>
    <row r="13" spans="1:9" x14ac:dyDescent="0.3">
      <c r="A13" t="str">
        <f t="shared" si="0"/>
        <v>CASE-0012</v>
      </c>
      <c r="B13" s="1">
        <v>45695</v>
      </c>
      <c r="C13" t="s">
        <v>10</v>
      </c>
      <c r="D13">
        <v>2</v>
      </c>
      <c r="E13" t="b">
        <v>1</v>
      </c>
      <c r="F13" s="2">
        <v>18.303235621792524</v>
      </c>
      <c r="G13" t="b">
        <v>0</v>
      </c>
      <c r="H13" t="s">
        <v>13</v>
      </c>
      <c r="I13" t="s">
        <v>33</v>
      </c>
    </row>
    <row r="14" spans="1:9" x14ac:dyDescent="0.3">
      <c r="A14" t="str">
        <f t="shared" si="0"/>
        <v>CASE-0013</v>
      </c>
      <c r="B14" s="1">
        <v>45933</v>
      </c>
      <c r="C14" t="s">
        <v>10</v>
      </c>
      <c r="D14">
        <v>4</v>
      </c>
      <c r="E14" t="b">
        <v>0</v>
      </c>
      <c r="F14" s="2">
        <v>6.8531120543818957</v>
      </c>
      <c r="G14" t="b">
        <v>0</v>
      </c>
      <c r="H14" t="s">
        <v>21</v>
      </c>
      <c r="I14" t="s">
        <v>34</v>
      </c>
    </row>
    <row r="15" spans="1:9" x14ac:dyDescent="0.3">
      <c r="A15" t="str">
        <f t="shared" si="0"/>
        <v>CASE-0014</v>
      </c>
      <c r="B15" s="1">
        <v>46171</v>
      </c>
      <c r="C15" t="s">
        <v>11</v>
      </c>
      <c r="D15">
        <v>3</v>
      </c>
      <c r="E15" t="b">
        <v>1</v>
      </c>
      <c r="F15" s="2">
        <v>36.800930038389325</v>
      </c>
      <c r="G15" t="b">
        <v>0</v>
      </c>
      <c r="H15" t="s">
        <v>22</v>
      </c>
      <c r="I15" t="s">
        <v>33</v>
      </c>
    </row>
    <row r="16" spans="1:9" x14ac:dyDescent="0.3">
      <c r="A16" t="str">
        <f t="shared" si="0"/>
        <v>CASE-0015</v>
      </c>
      <c r="B16" s="1">
        <v>45578</v>
      </c>
      <c r="C16" t="s">
        <v>11</v>
      </c>
      <c r="D16">
        <v>2</v>
      </c>
      <c r="E16" t="b">
        <v>0</v>
      </c>
      <c r="F16" s="2">
        <v>21.679128745598188</v>
      </c>
      <c r="G16" t="b">
        <v>0</v>
      </c>
      <c r="H16" t="s">
        <v>14</v>
      </c>
      <c r="I16" t="s">
        <v>33</v>
      </c>
    </row>
    <row r="17" spans="1:9" x14ac:dyDescent="0.3">
      <c r="A17" t="str">
        <f t="shared" si="0"/>
        <v>CASE-0016</v>
      </c>
      <c r="B17" s="1">
        <v>46135</v>
      </c>
      <c r="C17" t="s">
        <v>12</v>
      </c>
      <c r="D17">
        <v>4</v>
      </c>
      <c r="E17" t="b">
        <v>1</v>
      </c>
      <c r="F17" s="2">
        <v>7.2451413694362241</v>
      </c>
      <c r="G17" t="b">
        <v>0</v>
      </c>
      <c r="H17" t="s">
        <v>23</v>
      </c>
      <c r="I17" t="s">
        <v>34</v>
      </c>
    </row>
    <row r="18" spans="1:9" x14ac:dyDescent="0.3">
      <c r="A18" t="str">
        <f t="shared" si="0"/>
        <v>CASE-0017</v>
      </c>
      <c r="B18" s="1">
        <v>45697</v>
      </c>
      <c r="C18" t="s">
        <v>11</v>
      </c>
      <c r="D18">
        <v>4</v>
      </c>
      <c r="E18" t="b">
        <v>1</v>
      </c>
      <c r="F18" s="2">
        <v>7.858171062008072</v>
      </c>
      <c r="G18" t="b">
        <v>0</v>
      </c>
      <c r="H18" t="s">
        <v>24</v>
      </c>
      <c r="I18" t="s">
        <v>34</v>
      </c>
    </row>
    <row r="19" spans="1:9" x14ac:dyDescent="0.3">
      <c r="A19" t="str">
        <f t="shared" si="0"/>
        <v>CASE-0018</v>
      </c>
      <c r="B19" s="1">
        <v>45699</v>
      </c>
      <c r="C19" t="s">
        <v>12</v>
      </c>
      <c r="D19">
        <v>5</v>
      </c>
      <c r="E19" t="b">
        <v>1</v>
      </c>
      <c r="F19" s="2">
        <v>3.4961833170099665</v>
      </c>
      <c r="G19" t="b">
        <v>0</v>
      </c>
      <c r="H19" t="s">
        <v>15</v>
      </c>
      <c r="I19" t="s">
        <v>34</v>
      </c>
    </row>
    <row r="20" spans="1:9" x14ac:dyDescent="0.3">
      <c r="A20" t="str">
        <f t="shared" si="0"/>
        <v>CASE-0019</v>
      </c>
      <c r="B20" s="1">
        <v>45545</v>
      </c>
      <c r="C20" t="s">
        <v>11</v>
      </c>
      <c r="D20">
        <v>5</v>
      </c>
      <c r="E20" t="b">
        <v>0</v>
      </c>
      <c r="F20" s="2">
        <v>36.81722650288669</v>
      </c>
      <c r="G20" t="b">
        <v>0</v>
      </c>
      <c r="H20" t="s">
        <v>21</v>
      </c>
      <c r="I20" t="s">
        <v>33</v>
      </c>
    </row>
    <row r="21" spans="1:9" x14ac:dyDescent="0.3">
      <c r="A21" t="str">
        <f t="shared" si="0"/>
        <v>CASE-0020</v>
      </c>
      <c r="B21" s="1">
        <v>45844</v>
      </c>
      <c r="C21" t="s">
        <v>10</v>
      </c>
      <c r="D21">
        <v>4</v>
      </c>
      <c r="E21" t="b">
        <v>1</v>
      </c>
      <c r="F21" s="2">
        <v>3.5161279791067073</v>
      </c>
      <c r="G21" t="b">
        <v>0</v>
      </c>
      <c r="H21" t="s">
        <v>25</v>
      </c>
      <c r="I21" t="s">
        <v>34</v>
      </c>
    </row>
    <row r="22" spans="1:9" x14ac:dyDescent="0.3">
      <c r="A22" t="str">
        <f t="shared" si="0"/>
        <v>CASE-0021</v>
      </c>
      <c r="B22" s="1">
        <v>45509</v>
      </c>
      <c r="C22" t="s">
        <v>10</v>
      </c>
      <c r="D22">
        <v>4</v>
      </c>
      <c r="E22" t="b">
        <v>0</v>
      </c>
      <c r="F22" s="2">
        <v>20.63782233031062</v>
      </c>
      <c r="G22" t="b">
        <v>0</v>
      </c>
      <c r="H22" t="s">
        <v>26</v>
      </c>
      <c r="I22" t="s">
        <v>33</v>
      </c>
    </row>
    <row r="23" spans="1:9" x14ac:dyDescent="0.3">
      <c r="A23" t="str">
        <f t="shared" si="0"/>
        <v>CASE-0022</v>
      </c>
      <c r="B23" s="1">
        <v>46151</v>
      </c>
      <c r="C23" t="s">
        <v>12</v>
      </c>
      <c r="D23">
        <v>3</v>
      </c>
      <c r="E23" t="b">
        <v>1</v>
      </c>
      <c r="F23" s="2">
        <v>3.7256123783153834</v>
      </c>
      <c r="G23" t="b">
        <v>0</v>
      </c>
      <c r="H23" t="s">
        <v>18</v>
      </c>
      <c r="I23" t="s">
        <v>34</v>
      </c>
    </row>
    <row r="24" spans="1:9" x14ac:dyDescent="0.3">
      <c r="A24" t="str">
        <f t="shared" si="0"/>
        <v>CASE-0023</v>
      </c>
      <c r="B24" s="1">
        <v>46045</v>
      </c>
      <c r="C24" t="s">
        <v>10</v>
      </c>
      <c r="D24">
        <v>2</v>
      </c>
      <c r="E24" t="b">
        <v>1</v>
      </c>
      <c r="F24" s="2">
        <v>5.9145091096937428</v>
      </c>
      <c r="G24" t="b">
        <v>0</v>
      </c>
      <c r="H24" t="s">
        <v>27</v>
      </c>
      <c r="I24" t="s">
        <v>34</v>
      </c>
    </row>
    <row r="25" spans="1:9" x14ac:dyDescent="0.3">
      <c r="A25" t="str">
        <f t="shared" si="0"/>
        <v>CASE-0024</v>
      </c>
      <c r="B25" s="1">
        <v>45901</v>
      </c>
      <c r="C25" t="s">
        <v>10</v>
      </c>
      <c r="D25">
        <v>5</v>
      </c>
      <c r="E25" t="b">
        <v>1</v>
      </c>
      <c r="F25" s="2">
        <v>29.243298539369665</v>
      </c>
      <c r="G25" t="b">
        <v>0</v>
      </c>
      <c r="H25" t="s">
        <v>13</v>
      </c>
      <c r="I25" t="s">
        <v>33</v>
      </c>
    </row>
    <row r="26" spans="1:9" x14ac:dyDescent="0.3">
      <c r="A26" t="str">
        <f t="shared" si="0"/>
        <v>CASE-0025</v>
      </c>
      <c r="B26" s="1">
        <v>46084</v>
      </c>
      <c r="C26" t="s">
        <v>10</v>
      </c>
      <c r="D26">
        <v>4</v>
      </c>
      <c r="E26" t="b">
        <v>1</v>
      </c>
      <c r="F26" s="2">
        <v>10.719180351118116</v>
      </c>
      <c r="G26" t="b">
        <v>0</v>
      </c>
      <c r="H26" t="s">
        <v>22</v>
      </c>
      <c r="I26" t="s">
        <v>34</v>
      </c>
    </row>
    <row r="27" spans="1:9" x14ac:dyDescent="0.3">
      <c r="A27" t="str">
        <f t="shared" si="0"/>
        <v>CASE-0026</v>
      </c>
      <c r="B27" s="1">
        <v>45600</v>
      </c>
      <c r="C27" t="s">
        <v>9</v>
      </c>
      <c r="D27">
        <v>3</v>
      </c>
      <c r="E27" t="b">
        <v>0</v>
      </c>
      <c r="F27" s="2">
        <v>20.747105494031715</v>
      </c>
      <c r="G27" t="b">
        <v>0</v>
      </c>
      <c r="H27" t="s">
        <v>28</v>
      </c>
      <c r="I27" t="s">
        <v>33</v>
      </c>
    </row>
    <row r="28" spans="1:9" x14ac:dyDescent="0.3">
      <c r="A28" t="str">
        <f t="shared" si="0"/>
        <v>CASE-0027</v>
      </c>
      <c r="B28" s="1">
        <v>45879</v>
      </c>
      <c r="C28" t="s">
        <v>11</v>
      </c>
      <c r="D28">
        <v>3</v>
      </c>
      <c r="E28" t="b">
        <v>1</v>
      </c>
      <c r="F28" s="2">
        <v>9.6346910794961165</v>
      </c>
      <c r="G28" t="b">
        <v>0</v>
      </c>
      <c r="H28" t="s">
        <v>28</v>
      </c>
      <c r="I28" t="s">
        <v>34</v>
      </c>
    </row>
    <row r="29" spans="1:9" x14ac:dyDescent="0.3">
      <c r="A29" t="str">
        <f t="shared" si="0"/>
        <v>CASE-0028</v>
      </c>
      <c r="B29" s="1">
        <v>45561</v>
      </c>
      <c r="C29" t="s">
        <v>10</v>
      </c>
      <c r="D29">
        <v>4</v>
      </c>
      <c r="E29" t="b">
        <v>0</v>
      </c>
      <c r="F29" s="2">
        <v>18.723244216422557</v>
      </c>
      <c r="G29" t="b">
        <v>0</v>
      </c>
      <c r="H29" t="s">
        <v>29</v>
      </c>
      <c r="I29" t="s">
        <v>33</v>
      </c>
    </row>
    <row r="30" spans="1:9" x14ac:dyDescent="0.3">
      <c r="A30" t="str">
        <f t="shared" si="0"/>
        <v>CASE-0029</v>
      </c>
      <c r="B30" s="1">
        <v>45724</v>
      </c>
      <c r="C30" t="s">
        <v>11</v>
      </c>
      <c r="D30">
        <v>1</v>
      </c>
      <c r="E30" t="b">
        <v>0</v>
      </c>
      <c r="F30" s="2">
        <v>2.7240820253962696</v>
      </c>
      <c r="G30" t="b">
        <v>0</v>
      </c>
      <c r="H30" t="s">
        <v>30</v>
      </c>
      <c r="I30" t="s">
        <v>34</v>
      </c>
    </row>
    <row r="31" spans="1:9" x14ac:dyDescent="0.3">
      <c r="A31" t="str">
        <f t="shared" si="0"/>
        <v>CASE-0030</v>
      </c>
      <c r="B31" s="1">
        <v>45715</v>
      </c>
      <c r="C31" t="s">
        <v>10</v>
      </c>
      <c r="D31">
        <v>4</v>
      </c>
      <c r="E31" t="b">
        <v>0</v>
      </c>
      <c r="F31" s="2">
        <v>7.8663083396281195</v>
      </c>
      <c r="G31" t="b">
        <v>0</v>
      </c>
      <c r="H31" t="s">
        <v>13</v>
      </c>
      <c r="I31" t="s">
        <v>35</v>
      </c>
    </row>
    <row r="32" spans="1:9" x14ac:dyDescent="0.3">
      <c r="A32" t="str">
        <f t="shared" si="0"/>
        <v>CASE-0031</v>
      </c>
      <c r="B32" s="1">
        <v>45862</v>
      </c>
      <c r="C32" t="s">
        <v>11</v>
      </c>
      <c r="D32">
        <v>2</v>
      </c>
      <c r="E32" t="b">
        <v>0</v>
      </c>
      <c r="F32" s="2">
        <v>5.6664132759052901</v>
      </c>
      <c r="G32" t="b">
        <v>0</v>
      </c>
      <c r="H32" t="s">
        <v>13</v>
      </c>
      <c r="I32" t="s">
        <v>34</v>
      </c>
    </row>
    <row r="33" spans="1:9" x14ac:dyDescent="0.3">
      <c r="A33" t="str">
        <f t="shared" si="0"/>
        <v>CASE-0032</v>
      </c>
      <c r="B33" s="1">
        <v>45543</v>
      </c>
      <c r="C33" t="s">
        <v>10</v>
      </c>
      <c r="D33">
        <v>1</v>
      </c>
      <c r="E33" t="b">
        <v>0</v>
      </c>
      <c r="F33" s="2">
        <v>30.94528434813963</v>
      </c>
      <c r="G33" t="b">
        <v>0</v>
      </c>
      <c r="H33" t="s">
        <v>13</v>
      </c>
      <c r="I33" t="s">
        <v>33</v>
      </c>
    </row>
    <row r="34" spans="1:9" x14ac:dyDescent="0.3">
      <c r="A34" t="str">
        <f t="shared" si="0"/>
        <v>CASE-0033</v>
      </c>
      <c r="B34" s="1">
        <v>46053</v>
      </c>
      <c r="C34" t="s">
        <v>10</v>
      </c>
      <c r="D34">
        <v>3</v>
      </c>
      <c r="E34" t="b">
        <v>0</v>
      </c>
      <c r="F34" s="2">
        <v>5.8271967015396164</v>
      </c>
      <c r="G34" t="b">
        <v>0</v>
      </c>
      <c r="H34" t="s">
        <v>31</v>
      </c>
      <c r="I34" t="s">
        <v>34</v>
      </c>
    </row>
    <row r="35" spans="1:9" x14ac:dyDescent="0.3">
      <c r="A35" t="str">
        <f t="shared" si="0"/>
        <v>CASE-0034</v>
      </c>
      <c r="B35" s="1">
        <v>46065</v>
      </c>
      <c r="C35" t="s">
        <v>11</v>
      </c>
      <c r="D35">
        <v>2</v>
      </c>
      <c r="E35" t="b">
        <v>0</v>
      </c>
      <c r="F35" s="2">
        <v>33.780673681307974</v>
      </c>
      <c r="G35" t="b">
        <v>0</v>
      </c>
      <c r="H35" t="s">
        <v>15</v>
      </c>
      <c r="I35" t="s">
        <v>33</v>
      </c>
    </row>
    <row r="36" spans="1:9" x14ac:dyDescent="0.3">
      <c r="A36" t="str">
        <f t="shared" si="0"/>
        <v>CASE-0035</v>
      </c>
      <c r="B36" s="1">
        <v>45508</v>
      </c>
      <c r="C36" t="s">
        <v>12</v>
      </c>
      <c r="D36">
        <v>2</v>
      </c>
      <c r="E36" t="b">
        <v>0</v>
      </c>
      <c r="F36" s="2">
        <v>33.727598240462839</v>
      </c>
      <c r="G36" t="b">
        <v>0</v>
      </c>
      <c r="H36" t="s">
        <v>19</v>
      </c>
      <c r="I36" t="s">
        <v>33</v>
      </c>
    </row>
    <row r="37" spans="1:9" x14ac:dyDescent="0.3">
      <c r="A37" t="str">
        <f t="shared" si="0"/>
        <v>CASE-0036</v>
      </c>
      <c r="B37" s="1">
        <v>45931</v>
      </c>
      <c r="C37" t="s">
        <v>10</v>
      </c>
      <c r="D37">
        <v>5</v>
      </c>
      <c r="E37" t="b">
        <v>1</v>
      </c>
      <c r="F37" s="2">
        <v>5.1745659826945261</v>
      </c>
      <c r="G37" t="b">
        <v>0</v>
      </c>
      <c r="H37" t="s">
        <v>29</v>
      </c>
      <c r="I37" t="s">
        <v>34</v>
      </c>
    </row>
    <row r="38" spans="1:9" x14ac:dyDescent="0.3">
      <c r="A38" t="str">
        <f t="shared" si="0"/>
        <v>CASE-0037</v>
      </c>
      <c r="B38" s="1">
        <v>46017</v>
      </c>
      <c r="C38" t="s">
        <v>9</v>
      </c>
      <c r="D38">
        <v>3</v>
      </c>
      <c r="E38" t="b">
        <v>1</v>
      </c>
      <c r="F38" s="2">
        <v>6.7325971912155191</v>
      </c>
      <c r="G38" t="b">
        <v>0</v>
      </c>
      <c r="H38" t="s">
        <v>28</v>
      </c>
      <c r="I38" t="s">
        <v>34</v>
      </c>
    </row>
    <row r="39" spans="1:9" x14ac:dyDescent="0.3">
      <c r="A39" t="str">
        <f t="shared" si="0"/>
        <v>CASE-0038</v>
      </c>
      <c r="B39" s="1">
        <v>45860</v>
      </c>
      <c r="C39" t="s">
        <v>10</v>
      </c>
      <c r="D39">
        <v>4</v>
      </c>
      <c r="E39" t="b">
        <v>0</v>
      </c>
      <c r="F39" s="2">
        <v>7.9446837298303228</v>
      </c>
      <c r="G39" t="b">
        <v>0</v>
      </c>
      <c r="H39" t="s">
        <v>24</v>
      </c>
      <c r="I39" t="s">
        <v>34</v>
      </c>
    </row>
    <row r="40" spans="1:9" x14ac:dyDescent="0.3">
      <c r="A40" t="str">
        <f t="shared" si="0"/>
        <v>CASE-0039</v>
      </c>
      <c r="B40" s="1">
        <v>46197</v>
      </c>
      <c r="C40" t="s">
        <v>10</v>
      </c>
      <c r="D40">
        <v>5</v>
      </c>
      <c r="E40" t="b">
        <v>1</v>
      </c>
      <c r="F40" s="2">
        <v>16.558341261733105</v>
      </c>
      <c r="G40" t="b">
        <v>0</v>
      </c>
      <c r="H40" t="s">
        <v>14</v>
      </c>
      <c r="I40" t="s">
        <v>33</v>
      </c>
    </row>
    <row r="41" spans="1:9" x14ac:dyDescent="0.3">
      <c r="A41" t="str">
        <f t="shared" si="0"/>
        <v>CASE-0040</v>
      </c>
      <c r="B41" s="1">
        <v>45822</v>
      </c>
      <c r="C41" t="s">
        <v>11</v>
      </c>
      <c r="D41">
        <v>1</v>
      </c>
      <c r="E41" t="b">
        <v>0</v>
      </c>
      <c r="F41" s="2">
        <v>5.213022197854122</v>
      </c>
      <c r="G41" t="b">
        <v>0</v>
      </c>
      <c r="H41" t="s">
        <v>16</v>
      </c>
      <c r="I41" t="s">
        <v>34</v>
      </c>
    </row>
    <row r="42" spans="1:9" x14ac:dyDescent="0.3">
      <c r="A42" t="str">
        <f t="shared" si="0"/>
        <v>CASE-0041</v>
      </c>
      <c r="B42" s="1">
        <v>46196</v>
      </c>
      <c r="C42" t="s">
        <v>9</v>
      </c>
      <c r="D42">
        <v>5</v>
      </c>
      <c r="E42" t="b">
        <v>1</v>
      </c>
      <c r="F42" s="2">
        <v>4.3823287074643495</v>
      </c>
      <c r="G42" t="b">
        <v>0</v>
      </c>
      <c r="H42" t="s">
        <v>18</v>
      </c>
      <c r="I42" t="s">
        <v>34</v>
      </c>
    </row>
    <row r="43" spans="1:9" x14ac:dyDescent="0.3">
      <c r="A43" t="str">
        <f t="shared" si="0"/>
        <v>CASE-0042</v>
      </c>
      <c r="B43" s="1">
        <v>45763</v>
      </c>
      <c r="C43" t="s">
        <v>9</v>
      </c>
      <c r="D43">
        <v>3</v>
      </c>
      <c r="E43" t="b">
        <v>1</v>
      </c>
      <c r="F43" s="2">
        <v>7.1199691145709005</v>
      </c>
      <c r="G43" t="b">
        <v>0</v>
      </c>
      <c r="H43" t="s">
        <v>31</v>
      </c>
      <c r="I43" t="s">
        <v>34</v>
      </c>
    </row>
    <row r="44" spans="1:9" x14ac:dyDescent="0.3">
      <c r="A44" t="str">
        <f t="shared" si="0"/>
        <v>CASE-0043</v>
      </c>
      <c r="B44" s="1">
        <v>46164</v>
      </c>
      <c r="C44" t="s">
        <v>12</v>
      </c>
      <c r="D44">
        <v>3</v>
      </c>
      <c r="E44" t="b">
        <v>1</v>
      </c>
      <c r="F44" s="2">
        <v>6.4343208381955979</v>
      </c>
      <c r="G44" t="b">
        <v>0</v>
      </c>
      <c r="H44" t="s">
        <v>28</v>
      </c>
      <c r="I44" t="s">
        <v>34</v>
      </c>
    </row>
    <row r="45" spans="1:9" x14ac:dyDescent="0.3">
      <c r="A45" t="str">
        <f t="shared" si="0"/>
        <v>CASE-0044</v>
      </c>
      <c r="B45" s="1">
        <v>45956</v>
      </c>
      <c r="C45" t="s">
        <v>10</v>
      </c>
      <c r="D45">
        <v>5</v>
      </c>
      <c r="E45" t="b">
        <v>1</v>
      </c>
      <c r="F45" s="2">
        <v>6.7084845573764369</v>
      </c>
      <c r="G45" t="b">
        <v>0</v>
      </c>
      <c r="H45" t="s">
        <v>32</v>
      </c>
      <c r="I45" t="s">
        <v>34</v>
      </c>
    </row>
    <row r="46" spans="1:9" x14ac:dyDescent="0.3">
      <c r="A46" t="str">
        <f t="shared" si="0"/>
        <v>CASE-0045</v>
      </c>
      <c r="B46" s="1">
        <v>45519</v>
      </c>
      <c r="C46" t="s">
        <v>11</v>
      </c>
      <c r="D46">
        <v>3</v>
      </c>
      <c r="E46" t="b">
        <v>0</v>
      </c>
      <c r="F46" s="2">
        <v>33.85335845933362</v>
      </c>
      <c r="G46" t="b">
        <v>0</v>
      </c>
      <c r="H46" t="s">
        <v>16</v>
      </c>
      <c r="I46" t="s">
        <v>33</v>
      </c>
    </row>
    <row r="47" spans="1:9" x14ac:dyDescent="0.3">
      <c r="A47" t="str">
        <f t="shared" si="0"/>
        <v>CASE-0046</v>
      </c>
      <c r="B47" s="1">
        <v>46012</v>
      </c>
      <c r="C47" t="s">
        <v>12</v>
      </c>
      <c r="D47">
        <v>4</v>
      </c>
      <c r="E47" t="b">
        <v>0</v>
      </c>
      <c r="F47" s="2">
        <v>40.242005310982023</v>
      </c>
      <c r="G47" t="b">
        <v>0</v>
      </c>
      <c r="H47" t="s">
        <v>14</v>
      </c>
      <c r="I47" t="s">
        <v>33</v>
      </c>
    </row>
    <row r="48" spans="1:9" x14ac:dyDescent="0.3">
      <c r="A48" t="str">
        <f t="shared" si="0"/>
        <v>CASE-0047</v>
      </c>
      <c r="B48" s="1">
        <v>45604</v>
      </c>
      <c r="C48" t="s">
        <v>11</v>
      </c>
      <c r="D48">
        <v>2</v>
      </c>
      <c r="E48" t="b">
        <v>0</v>
      </c>
      <c r="F48" s="2">
        <v>24.700263408138799</v>
      </c>
      <c r="G48" t="b">
        <v>1</v>
      </c>
      <c r="H48" t="s">
        <v>25</v>
      </c>
      <c r="I48" t="s">
        <v>33</v>
      </c>
    </row>
    <row r="49" spans="1:9" x14ac:dyDescent="0.3">
      <c r="A49" t="str">
        <f t="shared" si="0"/>
        <v>CASE-0048</v>
      </c>
      <c r="B49" s="1">
        <v>45676</v>
      </c>
      <c r="C49" t="s">
        <v>12</v>
      </c>
      <c r="D49">
        <v>3</v>
      </c>
      <c r="E49" t="b">
        <v>1</v>
      </c>
      <c r="F49" s="2">
        <v>23.690192225149747</v>
      </c>
      <c r="G49" t="b">
        <v>0</v>
      </c>
      <c r="H49" t="s">
        <v>27</v>
      </c>
      <c r="I49" t="s">
        <v>33</v>
      </c>
    </row>
    <row r="50" spans="1:9" x14ac:dyDescent="0.3">
      <c r="A50" t="str">
        <f t="shared" si="0"/>
        <v>CASE-0049</v>
      </c>
      <c r="B50" s="1">
        <v>46097</v>
      </c>
      <c r="C50" t="s">
        <v>12</v>
      </c>
      <c r="D50">
        <v>3</v>
      </c>
      <c r="E50" t="b">
        <v>1</v>
      </c>
      <c r="F50" s="2">
        <v>9.4456806535331506</v>
      </c>
      <c r="G50" t="b">
        <v>0</v>
      </c>
      <c r="H50" t="s">
        <v>27</v>
      </c>
      <c r="I50" t="s">
        <v>34</v>
      </c>
    </row>
    <row r="51" spans="1:9" x14ac:dyDescent="0.3">
      <c r="A51" t="str">
        <f t="shared" si="0"/>
        <v>CASE-0050</v>
      </c>
      <c r="B51" s="1">
        <v>45594</v>
      </c>
      <c r="C51" t="s">
        <v>10</v>
      </c>
      <c r="D51">
        <v>2</v>
      </c>
      <c r="E51" t="b">
        <v>0</v>
      </c>
      <c r="F51" s="2">
        <v>25.443155769311595</v>
      </c>
      <c r="G51" t="b">
        <v>0</v>
      </c>
      <c r="H51" t="s">
        <v>19</v>
      </c>
      <c r="I51" t="s">
        <v>33</v>
      </c>
    </row>
    <row r="52" spans="1:9" x14ac:dyDescent="0.3">
      <c r="A52" t="str">
        <f t="shared" si="0"/>
        <v>CASE-0051</v>
      </c>
      <c r="B52" s="1">
        <v>46006</v>
      </c>
      <c r="C52" t="s">
        <v>11</v>
      </c>
      <c r="D52">
        <v>4</v>
      </c>
      <c r="E52" t="b">
        <v>1</v>
      </c>
      <c r="F52" s="2">
        <v>7.8508211255018754</v>
      </c>
      <c r="G52" t="b">
        <v>0</v>
      </c>
      <c r="H52" t="s">
        <v>15</v>
      </c>
      <c r="I52" t="s">
        <v>34</v>
      </c>
    </row>
    <row r="53" spans="1:9" x14ac:dyDescent="0.3">
      <c r="A53" t="str">
        <f t="shared" si="0"/>
        <v>CASE-0052</v>
      </c>
      <c r="B53" s="1">
        <v>45668</v>
      </c>
      <c r="C53" t="s">
        <v>10</v>
      </c>
      <c r="D53">
        <v>5</v>
      </c>
      <c r="E53" t="b">
        <v>1</v>
      </c>
      <c r="F53" s="2">
        <v>6.8477489569842076</v>
      </c>
      <c r="G53" t="b">
        <v>0</v>
      </c>
      <c r="H53" t="s">
        <v>13</v>
      </c>
      <c r="I53" t="s">
        <v>34</v>
      </c>
    </row>
    <row r="54" spans="1:9" x14ac:dyDescent="0.3">
      <c r="A54" t="str">
        <f t="shared" si="0"/>
        <v>CASE-0053</v>
      </c>
      <c r="B54" s="1">
        <v>45929</v>
      </c>
      <c r="C54" t="s">
        <v>12</v>
      </c>
      <c r="D54">
        <v>5</v>
      </c>
      <c r="E54" t="b">
        <v>0</v>
      </c>
      <c r="F54" s="2">
        <v>2.3646650918226091</v>
      </c>
      <c r="G54" t="b">
        <v>0</v>
      </c>
      <c r="H54" t="s">
        <v>18</v>
      </c>
      <c r="I54" t="s">
        <v>34</v>
      </c>
    </row>
    <row r="55" spans="1:9" x14ac:dyDescent="0.3">
      <c r="A55" t="str">
        <f t="shared" si="0"/>
        <v>CASE-0054</v>
      </c>
      <c r="B55" s="1">
        <v>46065</v>
      </c>
      <c r="C55" t="s">
        <v>12</v>
      </c>
      <c r="D55">
        <v>5</v>
      </c>
      <c r="E55" t="b">
        <v>0</v>
      </c>
      <c r="F55" s="2">
        <v>7.4045118151420439</v>
      </c>
      <c r="G55" t="b">
        <v>0</v>
      </c>
      <c r="H55" t="s">
        <v>29</v>
      </c>
      <c r="I55" t="s">
        <v>34</v>
      </c>
    </row>
    <row r="56" spans="1:9" x14ac:dyDescent="0.3">
      <c r="A56" t="str">
        <f t="shared" si="0"/>
        <v>CASE-0055</v>
      </c>
      <c r="B56" s="1">
        <v>45728</v>
      </c>
      <c r="C56" t="s">
        <v>11</v>
      </c>
      <c r="D56">
        <v>3</v>
      </c>
      <c r="E56" t="b">
        <v>1</v>
      </c>
      <c r="F56" s="2">
        <v>38.80219538747312</v>
      </c>
      <c r="G56" t="b">
        <v>0</v>
      </c>
      <c r="H56" t="s">
        <v>18</v>
      </c>
      <c r="I56" t="s">
        <v>33</v>
      </c>
    </row>
    <row r="57" spans="1:9" x14ac:dyDescent="0.3">
      <c r="A57" t="str">
        <f t="shared" si="0"/>
        <v>CASE-0056</v>
      </c>
      <c r="B57" s="1">
        <v>45840</v>
      </c>
      <c r="C57" t="s">
        <v>10</v>
      </c>
      <c r="D57">
        <v>5</v>
      </c>
      <c r="E57" t="b">
        <v>1</v>
      </c>
      <c r="F57" s="2">
        <v>7.8544795910242176</v>
      </c>
      <c r="G57" t="b">
        <v>0</v>
      </c>
      <c r="H57" t="s">
        <v>16</v>
      </c>
      <c r="I57" t="s">
        <v>34</v>
      </c>
    </row>
    <row r="58" spans="1:9" x14ac:dyDescent="0.3">
      <c r="A58" t="str">
        <f t="shared" si="0"/>
        <v>CASE-0057</v>
      </c>
      <c r="B58" s="1">
        <v>45707</v>
      </c>
      <c r="C58" t="s">
        <v>9</v>
      </c>
      <c r="D58">
        <v>3</v>
      </c>
      <c r="E58" t="b">
        <v>1</v>
      </c>
      <c r="F58" s="2">
        <v>6.7727576853818858</v>
      </c>
      <c r="G58" t="b">
        <v>0</v>
      </c>
      <c r="H58" t="s">
        <v>26</v>
      </c>
      <c r="I58" t="s">
        <v>34</v>
      </c>
    </row>
    <row r="59" spans="1:9" x14ac:dyDescent="0.3">
      <c r="A59" t="str">
        <f t="shared" si="0"/>
        <v>CASE-0058</v>
      </c>
      <c r="B59" s="1">
        <v>46136</v>
      </c>
      <c r="C59" t="s">
        <v>10</v>
      </c>
      <c r="D59">
        <v>2</v>
      </c>
      <c r="E59" t="b">
        <v>1</v>
      </c>
      <c r="F59" s="2">
        <v>7.6255672545337205</v>
      </c>
      <c r="G59" t="b">
        <v>0</v>
      </c>
      <c r="H59" t="s">
        <v>17</v>
      </c>
      <c r="I59" t="s">
        <v>34</v>
      </c>
    </row>
    <row r="60" spans="1:9" x14ac:dyDescent="0.3">
      <c r="A60" t="str">
        <f t="shared" si="0"/>
        <v>CASE-0059</v>
      </c>
      <c r="B60" s="1">
        <v>45581</v>
      </c>
      <c r="C60" t="s">
        <v>12</v>
      </c>
      <c r="D60">
        <v>5</v>
      </c>
      <c r="E60" t="b">
        <v>0</v>
      </c>
      <c r="F60" s="2">
        <v>33.548131387197103</v>
      </c>
      <c r="G60" t="b">
        <v>0</v>
      </c>
      <c r="H60" t="s">
        <v>13</v>
      </c>
      <c r="I60" t="s">
        <v>33</v>
      </c>
    </row>
    <row r="61" spans="1:9" x14ac:dyDescent="0.3">
      <c r="A61" t="str">
        <f t="shared" si="0"/>
        <v>CASE-0060</v>
      </c>
      <c r="B61" s="1">
        <v>46104</v>
      </c>
      <c r="C61" t="s">
        <v>12</v>
      </c>
      <c r="D61">
        <v>1</v>
      </c>
      <c r="E61" t="b">
        <v>0</v>
      </c>
      <c r="F61" s="2">
        <v>27.200174404305592</v>
      </c>
      <c r="G61" t="b">
        <v>0</v>
      </c>
      <c r="H61" t="s">
        <v>15</v>
      </c>
      <c r="I61" t="s">
        <v>33</v>
      </c>
    </row>
    <row r="62" spans="1:9" x14ac:dyDescent="0.3">
      <c r="A62" t="str">
        <f t="shared" si="0"/>
        <v>CASE-0061</v>
      </c>
      <c r="B62" s="1">
        <v>46055</v>
      </c>
      <c r="C62" t="s">
        <v>11</v>
      </c>
      <c r="D62">
        <v>1</v>
      </c>
      <c r="E62" t="b">
        <v>1</v>
      </c>
      <c r="F62" s="2">
        <v>5.7222116965659007</v>
      </c>
      <c r="G62" t="b">
        <v>0</v>
      </c>
      <c r="H62" t="s">
        <v>24</v>
      </c>
      <c r="I62" t="s">
        <v>34</v>
      </c>
    </row>
    <row r="63" spans="1:9" x14ac:dyDescent="0.3">
      <c r="A63" t="str">
        <f t="shared" si="0"/>
        <v>CASE-0062</v>
      </c>
      <c r="B63" s="1">
        <v>45798</v>
      </c>
      <c r="C63" t="s">
        <v>12</v>
      </c>
      <c r="D63">
        <v>3</v>
      </c>
      <c r="E63" t="b">
        <v>0</v>
      </c>
      <c r="F63" s="2">
        <v>2.0619860247598791</v>
      </c>
      <c r="G63" t="b">
        <v>0</v>
      </c>
      <c r="H63" t="s">
        <v>19</v>
      </c>
      <c r="I63" t="s">
        <v>34</v>
      </c>
    </row>
    <row r="64" spans="1:9" x14ac:dyDescent="0.3">
      <c r="A64" t="str">
        <f t="shared" si="0"/>
        <v>CASE-0063</v>
      </c>
      <c r="B64" s="1">
        <v>45821</v>
      </c>
      <c r="C64" t="s">
        <v>10</v>
      </c>
      <c r="D64">
        <v>2</v>
      </c>
      <c r="E64" t="b">
        <v>1</v>
      </c>
      <c r="F64" s="2">
        <v>4.6858004438641911</v>
      </c>
      <c r="G64" t="b">
        <v>0</v>
      </c>
      <c r="H64" t="s">
        <v>30</v>
      </c>
      <c r="I64" t="s">
        <v>34</v>
      </c>
    </row>
    <row r="65" spans="1:9" x14ac:dyDescent="0.3">
      <c r="A65" t="str">
        <f t="shared" si="0"/>
        <v>CASE-0064</v>
      </c>
      <c r="B65" s="1">
        <v>46033</v>
      </c>
      <c r="C65" t="s">
        <v>10</v>
      </c>
      <c r="D65">
        <v>3</v>
      </c>
      <c r="E65" t="b">
        <v>1</v>
      </c>
      <c r="F65" s="2">
        <v>26.851814683460418</v>
      </c>
      <c r="G65" t="b">
        <v>0</v>
      </c>
      <c r="H65" t="s">
        <v>16</v>
      </c>
      <c r="I65" t="s">
        <v>33</v>
      </c>
    </row>
    <row r="66" spans="1:9" x14ac:dyDescent="0.3">
      <c r="A66" t="str">
        <f t="shared" si="0"/>
        <v>CASE-0065</v>
      </c>
      <c r="B66" s="1">
        <v>46166</v>
      </c>
      <c r="C66" t="s">
        <v>12</v>
      </c>
      <c r="D66">
        <v>3</v>
      </c>
      <c r="E66" t="b">
        <v>1</v>
      </c>
      <c r="F66" s="2">
        <v>6.7675074814991039</v>
      </c>
      <c r="G66" t="b">
        <v>0</v>
      </c>
      <c r="H66" t="s">
        <v>32</v>
      </c>
      <c r="I66" t="s">
        <v>34</v>
      </c>
    </row>
    <row r="67" spans="1:9" x14ac:dyDescent="0.3">
      <c r="A67" t="str">
        <f t="shared" ref="A67:A130" si="1">"CASE-"&amp;TEXT(ROW()-1,"0000")</f>
        <v>CASE-0066</v>
      </c>
      <c r="B67" s="1">
        <v>46034</v>
      </c>
      <c r="C67" t="s">
        <v>11</v>
      </c>
      <c r="D67">
        <v>5</v>
      </c>
      <c r="E67" t="b">
        <v>1</v>
      </c>
      <c r="F67" s="2">
        <v>6.5166283333202051</v>
      </c>
      <c r="G67" t="b">
        <v>0</v>
      </c>
      <c r="H67" t="s">
        <v>17</v>
      </c>
      <c r="I67" t="s">
        <v>34</v>
      </c>
    </row>
    <row r="68" spans="1:9" x14ac:dyDescent="0.3">
      <c r="A68" t="str">
        <f t="shared" si="1"/>
        <v>CASE-0067</v>
      </c>
      <c r="B68" s="1">
        <v>46157</v>
      </c>
      <c r="C68" t="s">
        <v>12</v>
      </c>
      <c r="D68">
        <v>1</v>
      </c>
      <c r="E68" t="b">
        <v>1</v>
      </c>
      <c r="F68" s="2">
        <v>4.8643910380122506</v>
      </c>
      <c r="G68" t="b">
        <v>0</v>
      </c>
      <c r="H68" t="s">
        <v>16</v>
      </c>
      <c r="I68" t="s">
        <v>34</v>
      </c>
    </row>
    <row r="69" spans="1:9" x14ac:dyDescent="0.3">
      <c r="A69" t="str">
        <f t="shared" si="1"/>
        <v>CASE-0068</v>
      </c>
      <c r="B69" s="1">
        <v>45655</v>
      </c>
      <c r="C69" t="s">
        <v>10</v>
      </c>
      <c r="D69">
        <v>3</v>
      </c>
      <c r="E69" t="b">
        <v>0</v>
      </c>
      <c r="F69" s="2">
        <v>19.716147145254645</v>
      </c>
      <c r="G69" t="b">
        <v>0</v>
      </c>
      <c r="H69" t="s">
        <v>21</v>
      </c>
      <c r="I69" t="s">
        <v>33</v>
      </c>
    </row>
    <row r="70" spans="1:9" x14ac:dyDescent="0.3">
      <c r="A70" t="str">
        <f t="shared" si="1"/>
        <v>CASE-0069</v>
      </c>
      <c r="B70" s="1">
        <v>45675</v>
      </c>
      <c r="C70" t="s">
        <v>12</v>
      </c>
      <c r="D70">
        <v>5</v>
      </c>
      <c r="E70" t="b">
        <v>0</v>
      </c>
      <c r="F70" s="2">
        <v>21.491283844018412</v>
      </c>
      <c r="G70" t="b">
        <v>0</v>
      </c>
      <c r="H70" t="s">
        <v>22</v>
      </c>
      <c r="I70" t="s">
        <v>33</v>
      </c>
    </row>
    <row r="71" spans="1:9" x14ac:dyDescent="0.3">
      <c r="A71" t="str">
        <f t="shared" si="1"/>
        <v>CASE-0070</v>
      </c>
      <c r="B71" s="1">
        <v>45776</v>
      </c>
      <c r="C71" t="s">
        <v>11</v>
      </c>
      <c r="D71">
        <v>2</v>
      </c>
      <c r="E71" t="b">
        <v>1</v>
      </c>
      <c r="F71" s="2">
        <v>3.6463427920745621</v>
      </c>
      <c r="G71" t="b">
        <v>0</v>
      </c>
      <c r="H71" t="s">
        <v>23</v>
      </c>
      <c r="I71" t="s">
        <v>34</v>
      </c>
    </row>
    <row r="72" spans="1:9" x14ac:dyDescent="0.3">
      <c r="A72" t="str">
        <f t="shared" si="1"/>
        <v>CASE-0071</v>
      </c>
      <c r="B72" s="1">
        <v>45927</v>
      </c>
      <c r="C72" t="s">
        <v>12</v>
      </c>
      <c r="D72">
        <v>3</v>
      </c>
      <c r="E72" t="b">
        <v>1</v>
      </c>
      <c r="F72" s="2">
        <v>8.5136805136478202</v>
      </c>
      <c r="G72" t="b">
        <v>0</v>
      </c>
      <c r="H72" t="s">
        <v>31</v>
      </c>
      <c r="I72" t="s">
        <v>34</v>
      </c>
    </row>
    <row r="73" spans="1:9" x14ac:dyDescent="0.3">
      <c r="A73" t="str">
        <f t="shared" si="1"/>
        <v>CASE-0072</v>
      </c>
      <c r="B73" s="1">
        <v>45595</v>
      </c>
      <c r="C73" t="s">
        <v>10</v>
      </c>
      <c r="D73">
        <v>5</v>
      </c>
      <c r="E73" t="b">
        <v>0</v>
      </c>
      <c r="F73" s="2">
        <v>27.656320011690127</v>
      </c>
      <c r="G73" t="b">
        <v>0</v>
      </c>
      <c r="H73" t="s">
        <v>20</v>
      </c>
      <c r="I73" t="s">
        <v>33</v>
      </c>
    </row>
    <row r="74" spans="1:9" x14ac:dyDescent="0.3">
      <c r="A74" t="str">
        <f t="shared" si="1"/>
        <v>CASE-0073</v>
      </c>
      <c r="B74" s="1">
        <v>45601</v>
      </c>
      <c r="C74" t="s">
        <v>9</v>
      </c>
      <c r="D74">
        <v>5</v>
      </c>
      <c r="E74" t="b">
        <v>0</v>
      </c>
      <c r="F74" s="2">
        <v>16.273984832246981</v>
      </c>
      <c r="G74" t="b">
        <v>0</v>
      </c>
      <c r="H74" t="s">
        <v>13</v>
      </c>
      <c r="I74" t="s">
        <v>33</v>
      </c>
    </row>
    <row r="75" spans="1:9" x14ac:dyDescent="0.3">
      <c r="A75" t="str">
        <f t="shared" si="1"/>
        <v>CASE-0074</v>
      </c>
      <c r="B75" s="1">
        <v>45877</v>
      </c>
      <c r="C75" t="s">
        <v>11</v>
      </c>
      <c r="D75">
        <v>1</v>
      </c>
      <c r="E75" t="b">
        <v>1</v>
      </c>
      <c r="F75" s="2">
        <v>9.9107214738842924</v>
      </c>
      <c r="G75" t="b">
        <v>0</v>
      </c>
      <c r="H75" t="s">
        <v>28</v>
      </c>
      <c r="I75" t="s">
        <v>34</v>
      </c>
    </row>
    <row r="76" spans="1:9" x14ac:dyDescent="0.3">
      <c r="A76" t="str">
        <f t="shared" si="1"/>
        <v>CASE-0075</v>
      </c>
      <c r="B76" s="1">
        <v>45702</v>
      </c>
      <c r="C76" t="s">
        <v>11</v>
      </c>
      <c r="D76">
        <v>2</v>
      </c>
      <c r="E76" t="b">
        <v>1</v>
      </c>
      <c r="F76" s="2">
        <v>5.8912607417951097</v>
      </c>
      <c r="G76" t="b">
        <v>0</v>
      </c>
      <c r="H76" t="s">
        <v>24</v>
      </c>
      <c r="I76" t="s">
        <v>34</v>
      </c>
    </row>
    <row r="77" spans="1:9" x14ac:dyDescent="0.3">
      <c r="A77" t="str">
        <f t="shared" si="1"/>
        <v>CASE-0076</v>
      </c>
      <c r="B77" s="1">
        <v>45480</v>
      </c>
      <c r="C77" t="s">
        <v>12</v>
      </c>
      <c r="D77">
        <v>4</v>
      </c>
      <c r="E77" t="b">
        <v>0</v>
      </c>
      <c r="F77" s="2">
        <v>37.265039401586883</v>
      </c>
      <c r="G77" t="b">
        <v>0</v>
      </c>
      <c r="H77" t="s">
        <v>29</v>
      </c>
      <c r="I77" t="s">
        <v>33</v>
      </c>
    </row>
    <row r="78" spans="1:9" x14ac:dyDescent="0.3">
      <c r="A78" t="str">
        <f t="shared" si="1"/>
        <v>CASE-0077</v>
      </c>
      <c r="B78" s="1">
        <v>45988</v>
      </c>
      <c r="C78" t="s">
        <v>9</v>
      </c>
      <c r="D78">
        <v>3</v>
      </c>
      <c r="E78" t="b">
        <v>1</v>
      </c>
      <c r="F78" s="2">
        <v>32.078207941201455</v>
      </c>
      <c r="G78" t="b">
        <v>0</v>
      </c>
      <c r="H78" t="s">
        <v>15</v>
      </c>
      <c r="I78" t="s">
        <v>33</v>
      </c>
    </row>
    <row r="79" spans="1:9" x14ac:dyDescent="0.3">
      <c r="A79" t="str">
        <f t="shared" si="1"/>
        <v>CASE-0078</v>
      </c>
      <c r="B79" s="1">
        <v>46185</v>
      </c>
      <c r="C79" t="s">
        <v>12</v>
      </c>
      <c r="D79">
        <v>5</v>
      </c>
      <c r="E79" t="b">
        <v>1</v>
      </c>
      <c r="F79" s="2">
        <v>13.113618057086542</v>
      </c>
      <c r="G79" t="b">
        <v>0</v>
      </c>
      <c r="H79" t="s">
        <v>22</v>
      </c>
      <c r="I79" t="s">
        <v>33</v>
      </c>
    </row>
    <row r="80" spans="1:9" x14ac:dyDescent="0.3">
      <c r="A80" t="str">
        <f t="shared" si="1"/>
        <v>CASE-0079</v>
      </c>
      <c r="B80" s="1">
        <v>46017</v>
      </c>
      <c r="C80" t="s">
        <v>10</v>
      </c>
      <c r="D80">
        <v>2</v>
      </c>
      <c r="E80" t="b">
        <v>1</v>
      </c>
      <c r="F80" s="2">
        <v>7.0303663431265244</v>
      </c>
      <c r="G80" t="b">
        <v>0</v>
      </c>
      <c r="H80" t="s">
        <v>19</v>
      </c>
      <c r="I80" t="s">
        <v>34</v>
      </c>
    </row>
    <row r="81" spans="1:9" x14ac:dyDescent="0.3">
      <c r="A81" t="str">
        <f t="shared" si="1"/>
        <v>CASE-0080</v>
      </c>
      <c r="B81" s="1">
        <v>46106</v>
      </c>
      <c r="C81" t="s">
        <v>9</v>
      </c>
      <c r="D81">
        <v>1</v>
      </c>
      <c r="E81" t="b">
        <v>0</v>
      </c>
      <c r="F81" s="2">
        <v>5.1993406220725582</v>
      </c>
      <c r="G81" t="b">
        <v>0</v>
      </c>
      <c r="H81" t="s">
        <v>21</v>
      </c>
      <c r="I81" t="s">
        <v>35</v>
      </c>
    </row>
    <row r="82" spans="1:9" x14ac:dyDescent="0.3">
      <c r="A82" t="str">
        <f t="shared" si="1"/>
        <v>CASE-0081</v>
      </c>
      <c r="B82" s="1">
        <v>45480</v>
      </c>
      <c r="C82" t="s">
        <v>9</v>
      </c>
      <c r="D82">
        <v>5</v>
      </c>
      <c r="E82" t="b">
        <v>0</v>
      </c>
      <c r="F82" s="2">
        <v>23.590744596612684</v>
      </c>
      <c r="G82" t="b">
        <v>0</v>
      </c>
      <c r="H82" t="s">
        <v>15</v>
      </c>
      <c r="I82" t="s">
        <v>33</v>
      </c>
    </row>
    <row r="83" spans="1:9" x14ac:dyDescent="0.3">
      <c r="A83" t="str">
        <f t="shared" si="1"/>
        <v>CASE-0082</v>
      </c>
      <c r="B83" s="1">
        <v>46194</v>
      </c>
      <c r="C83" t="s">
        <v>11</v>
      </c>
      <c r="D83">
        <v>1</v>
      </c>
      <c r="E83" t="b">
        <v>1</v>
      </c>
      <c r="F83" s="2">
        <v>5.6573625875921554</v>
      </c>
      <c r="G83" t="b">
        <v>0</v>
      </c>
      <c r="H83" t="s">
        <v>24</v>
      </c>
      <c r="I83" t="s">
        <v>34</v>
      </c>
    </row>
    <row r="84" spans="1:9" x14ac:dyDescent="0.3">
      <c r="A84" t="str">
        <f t="shared" si="1"/>
        <v>CASE-0083</v>
      </c>
      <c r="B84" s="1">
        <v>45746</v>
      </c>
      <c r="C84" t="s">
        <v>12</v>
      </c>
      <c r="D84">
        <v>5</v>
      </c>
      <c r="E84" t="b">
        <v>1</v>
      </c>
      <c r="F84" s="2">
        <v>8.9927883087751734</v>
      </c>
      <c r="G84" t="b">
        <v>0</v>
      </c>
      <c r="H84" t="s">
        <v>31</v>
      </c>
      <c r="I84" t="s">
        <v>34</v>
      </c>
    </row>
    <row r="85" spans="1:9" x14ac:dyDescent="0.3">
      <c r="A85" t="str">
        <f t="shared" si="1"/>
        <v>CASE-0084</v>
      </c>
      <c r="B85" s="1">
        <v>45910</v>
      </c>
      <c r="C85" t="s">
        <v>9</v>
      </c>
      <c r="D85">
        <v>4</v>
      </c>
      <c r="E85" t="b">
        <v>1</v>
      </c>
      <c r="F85" s="2">
        <v>30.522506314013327</v>
      </c>
      <c r="G85" t="b">
        <v>0</v>
      </c>
      <c r="H85" t="s">
        <v>32</v>
      </c>
      <c r="I85" t="s">
        <v>33</v>
      </c>
    </row>
    <row r="86" spans="1:9" x14ac:dyDescent="0.3">
      <c r="A86" t="str">
        <f t="shared" si="1"/>
        <v>CASE-0085</v>
      </c>
      <c r="B86" s="1">
        <v>45657</v>
      </c>
      <c r="C86" t="s">
        <v>9</v>
      </c>
      <c r="D86">
        <v>4</v>
      </c>
      <c r="E86" t="b">
        <v>0</v>
      </c>
      <c r="F86" s="2">
        <v>23.773868877987855</v>
      </c>
      <c r="G86" t="b">
        <v>0</v>
      </c>
      <c r="H86" t="s">
        <v>27</v>
      </c>
      <c r="I86" t="s">
        <v>33</v>
      </c>
    </row>
    <row r="87" spans="1:9" x14ac:dyDescent="0.3">
      <c r="A87" t="str">
        <f t="shared" si="1"/>
        <v>CASE-0086</v>
      </c>
      <c r="B87" s="1">
        <v>45551</v>
      </c>
      <c r="C87" t="s">
        <v>10</v>
      </c>
      <c r="D87">
        <v>2</v>
      </c>
      <c r="E87" t="b">
        <v>0</v>
      </c>
      <c r="F87" s="2">
        <v>43.311454848523191</v>
      </c>
      <c r="G87" t="b">
        <v>0</v>
      </c>
      <c r="H87" t="s">
        <v>29</v>
      </c>
      <c r="I87" t="s">
        <v>33</v>
      </c>
    </row>
    <row r="88" spans="1:9" x14ac:dyDescent="0.3">
      <c r="A88" t="str">
        <f t="shared" si="1"/>
        <v>CASE-0087</v>
      </c>
      <c r="B88" s="1">
        <v>45989</v>
      </c>
      <c r="C88" t="s">
        <v>10</v>
      </c>
      <c r="D88">
        <v>3</v>
      </c>
      <c r="E88" t="b">
        <v>1</v>
      </c>
      <c r="F88" s="2">
        <v>6.0746256657138211</v>
      </c>
      <c r="G88" t="b">
        <v>0</v>
      </c>
      <c r="H88" t="s">
        <v>23</v>
      </c>
      <c r="I88" t="s">
        <v>34</v>
      </c>
    </row>
    <row r="89" spans="1:9" x14ac:dyDescent="0.3">
      <c r="A89" t="str">
        <f t="shared" si="1"/>
        <v>CASE-0088</v>
      </c>
      <c r="B89" s="1">
        <v>45577</v>
      </c>
      <c r="C89" t="s">
        <v>9</v>
      </c>
      <c r="D89">
        <v>4</v>
      </c>
      <c r="E89" t="b">
        <v>0</v>
      </c>
      <c r="F89" s="2">
        <v>29.246970746348858</v>
      </c>
      <c r="G89" t="b">
        <v>0</v>
      </c>
      <c r="H89" t="s">
        <v>26</v>
      </c>
      <c r="I89" t="s">
        <v>33</v>
      </c>
    </row>
    <row r="90" spans="1:9" x14ac:dyDescent="0.3">
      <c r="A90" t="str">
        <f t="shared" si="1"/>
        <v>CASE-0089</v>
      </c>
      <c r="B90" s="1">
        <v>45704</v>
      </c>
      <c r="C90" t="s">
        <v>12</v>
      </c>
      <c r="D90">
        <v>1</v>
      </c>
      <c r="E90" t="b">
        <v>1</v>
      </c>
      <c r="F90" s="2">
        <v>35.269197920014669</v>
      </c>
      <c r="G90" t="b">
        <v>0</v>
      </c>
      <c r="H90" t="s">
        <v>21</v>
      </c>
      <c r="I90" t="s">
        <v>33</v>
      </c>
    </row>
    <row r="91" spans="1:9" x14ac:dyDescent="0.3">
      <c r="A91" t="str">
        <f t="shared" si="1"/>
        <v>CASE-0090</v>
      </c>
      <c r="B91" s="1">
        <v>45540</v>
      </c>
      <c r="C91" t="s">
        <v>9</v>
      </c>
      <c r="D91">
        <v>2</v>
      </c>
      <c r="E91" t="b">
        <v>0</v>
      </c>
      <c r="F91" s="2">
        <v>21.478758377104864</v>
      </c>
      <c r="G91" t="b">
        <v>0</v>
      </c>
      <c r="H91" t="s">
        <v>14</v>
      </c>
      <c r="I91" t="s">
        <v>33</v>
      </c>
    </row>
    <row r="92" spans="1:9" x14ac:dyDescent="0.3">
      <c r="A92" t="str">
        <f t="shared" si="1"/>
        <v>CASE-0091</v>
      </c>
      <c r="B92" s="1">
        <v>45946</v>
      </c>
      <c r="C92" t="s">
        <v>11</v>
      </c>
      <c r="D92">
        <v>1</v>
      </c>
      <c r="E92" t="b">
        <v>1</v>
      </c>
      <c r="F92" s="2">
        <v>5.9110181949014633</v>
      </c>
      <c r="G92" t="b">
        <v>0</v>
      </c>
      <c r="H92" t="s">
        <v>30</v>
      </c>
      <c r="I92" t="s">
        <v>34</v>
      </c>
    </row>
    <row r="93" spans="1:9" x14ac:dyDescent="0.3">
      <c r="A93" t="str">
        <f t="shared" si="1"/>
        <v>CASE-0092</v>
      </c>
      <c r="B93" s="1">
        <v>46158</v>
      </c>
      <c r="C93" t="s">
        <v>10</v>
      </c>
      <c r="D93">
        <v>2</v>
      </c>
      <c r="E93" t="b">
        <v>1</v>
      </c>
      <c r="F93" s="2">
        <v>7.4273314669288659</v>
      </c>
      <c r="G93" t="b">
        <v>0</v>
      </c>
      <c r="H93" t="s">
        <v>20</v>
      </c>
      <c r="I93" t="s">
        <v>34</v>
      </c>
    </row>
    <row r="94" spans="1:9" x14ac:dyDescent="0.3">
      <c r="A94" t="str">
        <f t="shared" si="1"/>
        <v>CASE-0093</v>
      </c>
      <c r="B94" s="1">
        <v>45999</v>
      </c>
      <c r="C94" t="s">
        <v>11</v>
      </c>
      <c r="D94">
        <v>5</v>
      </c>
      <c r="E94" t="b">
        <v>0</v>
      </c>
      <c r="F94" s="2">
        <v>6.4214026964140025</v>
      </c>
      <c r="G94" t="b">
        <v>0</v>
      </c>
      <c r="H94" t="s">
        <v>25</v>
      </c>
      <c r="I94" t="s">
        <v>34</v>
      </c>
    </row>
    <row r="95" spans="1:9" x14ac:dyDescent="0.3">
      <c r="A95" t="str">
        <f t="shared" si="1"/>
        <v>CASE-0094</v>
      </c>
      <c r="B95" s="1">
        <v>46139</v>
      </c>
      <c r="C95" t="s">
        <v>10</v>
      </c>
      <c r="D95">
        <v>5</v>
      </c>
      <c r="E95" t="b">
        <v>1</v>
      </c>
      <c r="F95" s="2">
        <v>6.6807028248240279</v>
      </c>
      <c r="G95" t="b">
        <v>0</v>
      </c>
      <c r="H95" t="s">
        <v>14</v>
      </c>
      <c r="I95" t="s">
        <v>34</v>
      </c>
    </row>
    <row r="96" spans="1:9" x14ac:dyDescent="0.3">
      <c r="A96" t="str">
        <f t="shared" si="1"/>
        <v>CASE-0095</v>
      </c>
      <c r="B96" s="1">
        <v>45893</v>
      </c>
      <c r="C96" t="s">
        <v>11</v>
      </c>
      <c r="D96">
        <v>2</v>
      </c>
      <c r="E96" t="b">
        <v>1</v>
      </c>
      <c r="F96" s="2">
        <v>4.9377184778965173</v>
      </c>
      <c r="G96" t="b">
        <v>0</v>
      </c>
      <c r="H96" t="s">
        <v>14</v>
      </c>
      <c r="I96" t="s">
        <v>35</v>
      </c>
    </row>
    <row r="97" spans="1:9" x14ac:dyDescent="0.3">
      <c r="A97" t="str">
        <f t="shared" si="1"/>
        <v>CASE-0096</v>
      </c>
      <c r="B97" s="1">
        <v>45913</v>
      </c>
      <c r="C97" t="s">
        <v>11</v>
      </c>
      <c r="D97">
        <v>1</v>
      </c>
      <c r="E97" t="b">
        <v>1</v>
      </c>
      <c r="F97" s="2">
        <v>45.270612772999577</v>
      </c>
      <c r="G97" t="b">
        <v>0</v>
      </c>
      <c r="H97" t="s">
        <v>24</v>
      </c>
      <c r="I97" t="s">
        <v>33</v>
      </c>
    </row>
    <row r="98" spans="1:9" x14ac:dyDescent="0.3">
      <c r="A98" t="str">
        <f t="shared" si="1"/>
        <v>CASE-0097</v>
      </c>
      <c r="B98" s="1">
        <v>46114</v>
      </c>
      <c r="C98" t="s">
        <v>10</v>
      </c>
      <c r="D98">
        <v>3</v>
      </c>
      <c r="E98" t="b">
        <v>1</v>
      </c>
      <c r="F98" s="2">
        <v>5.8277908800359244</v>
      </c>
      <c r="G98" t="b">
        <v>0</v>
      </c>
      <c r="H98" t="s">
        <v>23</v>
      </c>
      <c r="I98" t="s">
        <v>34</v>
      </c>
    </row>
    <row r="99" spans="1:9" x14ac:dyDescent="0.3">
      <c r="A99" t="str">
        <f t="shared" si="1"/>
        <v>CASE-0098</v>
      </c>
      <c r="B99" s="1">
        <v>45978</v>
      </c>
      <c r="C99" t="s">
        <v>9</v>
      </c>
      <c r="D99">
        <v>3</v>
      </c>
      <c r="E99" t="b">
        <v>1</v>
      </c>
      <c r="F99" s="2">
        <v>4.1001736509576414</v>
      </c>
      <c r="G99" t="b">
        <v>0</v>
      </c>
      <c r="H99" t="s">
        <v>14</v>
      </c>
      <c r="I99" t="s">
        <v>34</v>
      </c>
    </row>
    <row r="100" spans="1:9" x14ac:dyDescent="0.3">
      <c r="A100" t="str">
        <f t="shared" si="1"/>
        <v>CASE-0099</v>
      </c>
      <c r="B100" s="1">
        <v>45475</v>
      </c>
      <c r="C100" t="s">
        <v>10</v>
      </c>
      <c r="D100">
        <v>1</v>
      </c>
      <c r="E100" t="b">
        <v>0</v>
      </c>
      <c r="F100" s="2">
        <v>31.089102227782064</v>
      </c>
      <c r="G100" t="b">
        <v>0</v>
      </c>
      <c r="H100" t="s">
        <v>14</v>
      </c>
      <c r="I100" t="s">
        <v>33</v>
      </c>
    </row>
    <row r="101" spans="1:9" x14ac:dyDescent="0.3">
      <c r="A101" t="str">
        <f t="shared" si="1"/>
        <v>CASE-0100</v>
      </c>
      <c r="B101" s="1">
        <v>46062</v>
      </c>
      <c r="C101" t="s">
        <v>10</v>
      </c>
      <c r="D101">
        <v>4</v>
      </c>
      <c r="E101" t="b">
        <v>1</v>
      </c>
      <c r="F101" s="2">
        <v>4.4200937976493346</v>
      </c>
      <c r="G101" t="b">
        <v>0</v>
      </c>
      <c r="H101" t="s">
        <v>15</v>
      </c>
      <c r="I101" t="s">
        <v>34</v>
      </c>
    </row>
    <row r="102" spans="1:9" x14ac:dyDescent="0.3">
      <c r="A102" t="str">
        <f t="shared" si="1"/>
        <v>CASE-0101</v>
      </c>
      <c r="B102" s="1">
        <v>46132</v>
      </c>
      <c r="C102" t="s">
        <v>11</v>
      </c>
      <c r="D102">
        <v>2</v>
      </c>
      <c r="E102" t="b">
        <v>1</v>
      </c>
      <c r="F102" s="2">
        <v>8.0233576094085368</v>
      </c>
      <c r="G102" t="b">
        <v>0</v>
      </c>
      <c r="H102" t="s">
        <v>28</v>
      </c>
      <c r="I102" t="s">
        <v>34</v>
      </c>
    </row>
    <row r="103" spans="1:9" x14ac:dyDescent="0.3">
      <c r="A103" t="str">
        <f t="shared" si="1"/>
        <v>CASE-0102</v>
      </c>
      <c r="B103" s="1">
        <v>45771</v>
      </c>
      <c r="C103" t="s">
        <v>10</v>
      </c>
      <c r="D103">
        <v>3</v>
      </c>
      <c r="E103" t="b">
        <v>1</v>
      </c>
      <c r="F103" s="2">
        <v>6.2746181471529745</v>
      </c>
      <c r="G103" t="b">
        <v>0</v>
      </c>
      <c r="H103" t="s">
        <v>21</v>
      </c>
      <c r="I103" t="s">
        <v>34</v>
      </c>
    </row>
    <row r="104" spans="1:9" x14ac:dyDescent="0.3">
      <c r="A104" t="str">
        <f t="shared" si="1"/>
        <v>CASE-0103</v>
      </c>
      <c r="B104" s="1">
        <v>45604</v>
      </c>
      <c r="C104" t="s">
        <v>12</v>
      </c>
      <c r="D104">
        <v>1</v>
      </c>
      <c r="E104" t="b">
        <v>0</v>
      </c>
      <c r="F104" s="2">
        <v>20.091520092865338</v>
      </c>
      <c r="G104" t="b">
        <v>0</v>
      </c>
      <c r="H104" t="s">
        <v>31</v>
      </c>
      <c r="I104" t="s">
        <v>33</v>
      </c>
    </row>
    <row r="105" spans="1:9" x14ac:dyDescent="0.3">
      <c r="A105" t="str">
        <f t="shared" si="1"/>
        <v>CASE-0104</v>
      </c>
      <c r="B105" s="1">
        <v>46086</v>
      </c>
      <c r="C105" t="s">
        <v>11</v>
      </c>
      <c r="D105">
        <v>3</v>
      </c>
      <c r="E105" t="b">
        <v>0</v>
      </c>
      <c r="F105" s="2">
        <v>9.7216147988775052</v>
      </c>
      <c r="G105" t="b">
        <v>0</v>
      </c>
      <c r="H105" t="s">
        <v>25</v>
      </c>
      <c r="I105" t="s">
        <v>34</v>
      </c>
    </row>
    <row r="106" spans="1:9" x14ac:dyDescent="0.3">
      <c r="A106" t="str">
        <f t="shared" si="1"/>
        <v>CASE-0105</v>
      </c>
      <c r="B106" s="1">
        <v>45811</v>
      </c>
      <c r="C106" t="s">
        <v>11</v>
      </c>
      <c r="D106">
        <v>2</v>
      </c>
      <c r="E106" t="b">
        <v>1</v>
      </c>
      <c r="F106" s="2">
        <v>6.8270134859709231</v>
      </c>
      <c r="G106" t="b">
        <v>0</v>
      </c>
      <c r="H106" t="s">
        <v>24</v>
      </c>
      <c r="I106" t="s">
        <v>34</v>
      </c>
    </row>
    <row r="107" spans="1:9" x14ac:dyDescent="0.3">
      <c r="A107" t="str">
        <f t="shared" si="1"/>
        <v>CASE-0106</v>
      </c>
      <c r="B107" s="1">
        <v>45727</v>
      </c>
      <c r="C107" t="s">
        <v>12</v>
      </c>
      <c r="D107">
        <v>1</v>
      </c>
      <c r="E107" t="b">
        <v>1</v>
      </c>
      <c r="F107" s="2">
        <v>4.6174361841750127</v>
      </c>
      <c r="G107" t="b">
        <v>0</v>
      </c>
      <c r="H107" t="s">
        <v>17</v>
      </c>
      <c r="I107" t="s">
        <v>35</v>
      </c>
    </row>
    <row r="108" spans="1:9" x14ac:dyDescent="0.3">
      <c r="A108" t="str">
        <f t="shared" si="1"/>
        <v>CASE-0107</v>
      </c>
      <c r="B108" s="1">
        <v>45539</v>
      </c>
      <c r="C108" t="s">
        <v>12</v>
      </c>
      <c r="D108">
        <v>2</v>
      </c>
      <c r="E108" t="b">
        <v>0</v>
      </c>
      <c r="F108" s="2">
        <v>24.679766119233186</v>
      </c>
      <c r="G108" t="b">
        <v>0</v>
      </c>
      <c r="H108" t="s">
        <v>23</v>
      </c>
      <c r="I108" t="s">
        <v>33</v>
      </c>
    </row>
    <row r="109" spans="1:9" x14ac:dyDescent="0.3">
      <c r="A109" t="str">
        <f t="shared" si="1"/>
        <v>CASE-0108</v>
      </c>
      <c r="B109" s="1">
        <v>45506</v>
      </c>
      <c r="C109" t="s">
        <v>10</v>
      </c>
      <c r="D109">
        <v>1</v>
      </c>
      <c r="E109" t="b">
        <v>0</v>
      </c>
      <c r="F109" s="2">
        <v>28.704861033697611</v>
      </c>
      <c r="G109" t="b">
        <v>0</v>
      </c>
      <c r="H109" t="s">
        <v>31</v>
      </c>
      <c r="I109" t="s">
        <v>33</v>
      </c>
    </row>
    <row r="110" spans="1:9" x14ac:dyDescent="0.3">
      <c r="A110" t="str">
        <f t="shared" si="1"/>
        <v>CASE-0109</v>
      </c>
      <c r="B110" s="1">
        <v>45582</v>
      </c>
      <c r="C110" t="s">
        <v>12</v>
      </c>
      <c r="D110">
        <v>3</v>
      </c>
      <c r="E110" t="b">
        <v>0</v>
      </c>
      <c r="F110" s="2">
        <v>21.046185220529981</v>
      </c>
      <c r="G110" t="b">
        <v>0</v>
      </c>
      <c r="H110" t="s">
        <v>22</v>
      </c>
      <c r="I110" t="s">
        <v>33</v>
      </c>
    </row>
    <row r="111" spans="1:9" x14ac:dyDescent="0.3">
      <c r="A111" t="str">
        <f t="shared" si="1"/>
        <v>CASE-0110</v>
      </c>
      <c r="B111" s="1">
        <v>45969</v>
      </c>
      <c r="C111" t="s">
        <v>12</v>
      </c>
      <c r="D111">
        <v>1</v>
      </c>
      <c r="E111" t="b">
        <v>1</v>
      </c>
      <c r="F111" s="2">
        <v>8.2691330100605072</v>
      </c>
      <c r="G111" t="b">
        <v>0</v>
      </c>
      <c r="H111" t="s">
        <v>26</v>
      </c>
      <c r="I111" t="s">
        <v>34</v>
      </c>
    </row>
    <row r="112" spans="1:9" x14ac:dyDescent="0.3">
      <c r="A112" t="str">
        <f t="shared" si="1"/>
        <v>CASE-0111</v>
      </c>
      <c r="B112" s="1">
        <v>45812</v>
      </c>
      <c r="C112" t="s">
        <v>9</v>
      </c>
      <c r="D112">
        <v>3</v>
      </c>
      <c r="E112" t="b">
        <v>1</v>
      </c>
      <c r="F112" s="2">
        <v>29.695031274152576</v>
      </c>
      <c r="G112" t="b">
        <v>0</v>
      </c>
      <c r="H112" t="s">
        <v>15</v>
      </c>
      <c r="I112" t="s">
        <v>33</v>
      </c>
    </row>
    <row r="113" spans="1:9" x14ac:dyDescent="0.3">
      <c r="A113" t="str">
        <f t="shared" si="1"/>
        <v>CASE-0112</v>
      </c>
      <c r="B113" s="1">
        <v>46057</v>
      </c>
      <c r="C113" t="s">
        <v>12</v>
      </c>
      <c r="D113">
        <v>1</v>
      </c>
      <c r="E113" t="b">
        <v>1</v>
      </c>
      <c r="F113" s="2">
        <v>10.587622634770344</v>
      </c>
      <c r="G113" t="b">
        <v>0</v>
      </c>
      <c r="H113" t="s">
        <v>20</v>
      </c>
      <c r="I113" t="s">
        <v>34</v>
      </c>
    </row>
    <row r="114" spans="1:9" x14ac:dyDescent="0.3">
      <c r="A114" t="str">
        <f t="shared" si="1"/>
        <v>CASE-0113</v>
      </c>
      <c r="B114" s="1">
        <v>45681</v>
      </c>
      <c r="C114" t="s">
        <v>11</v>
      </c>
      <c r="D114">
        <v>1</v>
      </c>
      <c r="E114" t="b">
        <v>1</v>
      </c>
      <c r="F114" s="2">
        <v>5.4445126261728127</v>
      </c>
      <c r="G114" t="b">
        <v>0</v>
      </c>
      <c r="H114" t="s">
        <v>29</v>
      </c>
      <c r="I114" t="s">
        <v>34</v>
      </c>
    </row>
    <row r="115" spans="1:9" x14ac:dyDescent="0.3">
      <c r="A115" t="str">
        <f t="shared" si="1"/>
        <v>CASE-0114</v>
      </c>
      <c r="B115" s="1">
        <v>46141</v>
      </c>
      <c r="C115" t="s">
        <v>11</v>
      </c>
      <c r="D115">
        <v>5</v>
      </c>
      <c r="E115" t="b">
        <v>1</v>
      </c>
      <c r="F115" s="2">
        <v>3.2962356512174966</v>
      </c>
      <c r="G115" t="b">
        <v>0</v>
      </c>
      <c r="H115" t="s">
        <v>26</v>
      </c>
      <c r="I115" t="s">
        <v>34</v>
      </c>
    </row>
    <row r="116" spans="1:9" x14ac:dyDescent="0.3">
      <c r="A116" t="str">
        <f t="shared" si="1"/>
        <v>CASE-0115</v>
      </c>
      <c r="B116" s="1">
        <v>46035</v>
      </c>
      <c r="C116" t="s">
        <v>10</v>
      </c>
      <c r="D116">
        <v>5</v>
      </c>
      <c r="E116" t="b">
        <v>1</v>
      </c>
      <c r="F116" s="2">
        <v>6.6661910650956742</v>
      </c>
      <c r="G116" t="b">
        <v>0</v>
      </c>
      <c r="H116" t="s">
        <v>20</v>
      </c>
      <c r="I116" t="s">
        <v>34</v>
      </c>
    </row>
    <row r="117" spans="1:9" x14ac:dyDescent="0.3">
      <c r="A117" t="str">
        <f t="shared" si="1"/>
        <v>CASE-0116</v>
      </c>
      <c r="B117" s="1">
        <v>45708</v>
      </c>
      <c r="C117" t="s">
        <v>9</v>
      </c>
      <c r="D117">
        <v>5</v>
      </c>
      <c r="E117" t="b">
        <v>0</v>
      </c>
      <c r="F117" s="2">
        <v>5.9458775749721653</v>
      </c>
      <c r="G117" t="b">
        <v>0</v>
      </c>
      <c r="H117" t="s">
        <v>16</v>
      </c>
      <c r="I117" t="s">
        <v>34</v>
      </c>
    </row>
    <row r="118" spans="1:9" x14ac:dyDescent="0.3">
      <c r="A118" t="str">
        <f t="shared" si="1"/>
        <v>CASE-0117</v>
      </c>
      <c r="B118" s="1">
        <v>45543</v>
      </c>
      <c r="C118" t="s">
        <v>9</v>
      </c>
      <c r="D118">
        <v>5</v>
      </c>
      <c r="E118" t="b">
        <v>0</v>
      </c>
      <c r="F118" s="2">
        <v>25.951761438382832</v>
      </c>
      <c r="G118" t="b">
        <v>0</v>
      </c>
      <c r="H118" t="s">
        <v>31</v>
      </c>
      <c r="I118" t="s">
        <v>33</v>
      </c>
    </row>
    <row r="119" spans="1:9" x14ac:dyDescent="0.3">
      <c r="A119" t="str">
        <f t="shared" si="1"/>
        <v>CASE-0118</v>
      </c>
      <c r="B119" s="1">
        <v>46203</v>
      </c>
      <c r="C119" t="s">
        <v>10</v>
      </c>
      <c r="D119">
        <v>2</v>
      </c>
      <c r="E119" t="b">
        <v>1</v>
      </c>
      <c r="F119" s="2">
        <v>8.728074893130545</v>
      </c>
      <c r="G119" t="b">
        <v>0</v>
      </c>
      <c r="H119" t="s">
        <v>21</v>
      </c>
      <c r="I119" t="s">
        <v>34</v>
      </c>
    </row>
    <row r="120" spans="1:9" x14ac:dyDescent="0.3">
      <c r="A120" t="str">
        <f t="shared" si="1"/>
        <v>CASE-0119</v>
      </c>
      <c r="B120" s="1">
        <v>46116</v>
      </c>
      <c r="C120" t="s">
        <v>9</v>
      </c>
      <c r="D120">
        <v>1</v>
      </c>
      <c r="E120" t="b">
        <v>1</v>
      </c>
      <c r="F120" s="2">
        <v>8.4276838955384115</v>
      </c>
      <c r="G120" t="b">
        <v>0</v>
      </c>
      <c r="H120" t="s">
        <v>23</v>
      </c>
      <c r="I120" t="s">
        <v>34</v>
      </c>
    </row>
    <row r="121" spans="1:9" x14ac:dyDescent="0.3">
      <c r="A121" t="str">
        <f t="shared" si="1"/>
        <v>CASE-0120</v>
      </c>
      <c r="B121" s="1">
        <v>46026</v>
      </c>
      <c r="C121" t="s">
        <v>11</v>
      </c>
      <c r="D121">
        <v>2</v>
      </c>
      <c r="E121" t="b">
        <v>1</v>
      </c>
      <c r="F121" s="2">
        <v>7.0895767161312735</v>
      </c>
      <c r="G121" t="b">
        <v>0</v>
      </c>
      <c r="H121" t="s">
        <v>14</v>
      </c>
      <c r="I121" t="s">
        <v>34</v>
      </c>
    </row>
    <row r="122" spans="1:9" x14ac:dyDescent="0.3">
      <c r="A122" t="str">
        <f t="shared" si="1"/>
        <v>CASE-0121</v>
      </c>
      <c r="B122" s="1">
        <v>45659</v>
      </c>
      <c r="C122" t="s">
        <v>12</v>
      </c>
      <c r="D122">
        <v>1</v>
      </c>
      <c r="E122" t="b">
        <v>1</v>
      </c>
      <c r="F122" s="2">
        <v>6.3030181607775111</v>
      </c>
      <c r="G122" t="b">
        <v>0</v>
      </c>
      <c r="H122" t="s">
        <v>14</v>
      </c>
      <c r="I122" t="s">
        <v>34</v>
      </c>
    </row>
    <row r="123" spans="1:9" x14ac:dyDescent="0.3">
      <c r="A123" t="str">
        <f t="shared" si="1"/>
        <v>CASE-0122</v>
      </c>
      <c r="B123" s="1">
        <v>46092</v>
      </c>
      <c r="C123" t="s">
        <v>10</v>
      </c>
      <c r="D123">
        <v>4</v>
      </c>
      <c r="E123" t="b">
        <v>1</v>
      </c>
      <c r="F123" s="2">
        <v>6.2033706280922223</v>
      </c>
      <c r="G123" t="b">
        <v>0</v>
      </c>
      <c r="H123" t="s">
        <v>16</v>
      </c>
      <c r="I123" t="s">
        <v>34</v>
      </c>
    </row>
    <row r="124" spans="1:9" x14ac:dyDescent="0.3">
      <c r="A124" t="str">
        <f t="shared" si="1"/>
        <v>CASE-0123</v>
      </c>
      <c r="B124" s="1">
        <v>46169</v>
      </c>
      <c r="C124" t="s">
        <v>12</v>
      </c>
      <c r="D124">
        <v>3</v>
      </c>
      <c r="E124" t="b">
        <v>0</v>
      </c>
      <c r="F124" s="2">
        <v>9.2566464804513267</v>
      </c>
      <c r="G124" t="b">
        <v>0</v>
      </c>
      <c r="H124" t="s">
        <v>21</v>
      </c>
      <c r="I124" t="s">
        <v>34</v>
      </c>
    </row>
    <row r="125" spans="1:9" x14ac:dyDescent="0.3">
      <c r="A125" t="str">
        <f t="shared" si="1"/>
        <v>CASE-0124</v>
      </c>
      <c r="B125" s="1">
        <v>46137</v>
      </c>
      <c r="C125" t="s">
        <v>9</v>
      </c>
      <c r="D125">
        <v>5</v>
      </c>
      <c r="E125" t="b">
        <v>1</v>
      </c>
      <c r="F125" s="2">
        <v>7.3248849120310648</v>
      </c>
      <c r="G125" t="b">
        <v>0</v>
      </c>
      <c r="H125" t="s">
        <v>26</v>
      </c>
      <c r="I125" t="s">
        <v>34</v>
      </c>
    </row>
    <row r="126" spans="1:9" x14ac:dyDescent="0.3">
      <c r="A126" t="str">
        <f t="shared" si="1"/>
        <v>CASE-0125</v>
      </c>
      <c r="B126" s="1">
        <v>45617</v>
      </c>
      <c r="C126" t="s">
        <v>11</v>
      </c>
      <c r="D126">
        <v>3</v>
      </c>
      <c r="E126" t="b">
        <v>0</v>
      </c>
      <c r="F126" s="2">
        <v>47.874328838473367</v>
      </c>
      <c r="G126" t="b">
        <v>0</v>
      </c>
      <c r="H126" t="s">
        <v>18</v>
      </c>
      <c r="I126" t="s">
        <v>33</v>
      </c>
    </row>
    <row r="127" spans="1:9" x14ac:dyDescent="0.3">
      <c r="A127" t="str">
        <f t="shared" si="1"/>
        <v>CASE-0126</v>
      </c>
      <c r="B127" s="1">
        <v>45563</v>
      </c>
      <c r="C127" t="s">
        <v>12</v>
      </c>
      <c r="D127">
        <v>4</v>
      </c>
      <c r="E127" t="b">
        <v>0</v>
      </c>
      <c r="F127" s="2">
        <v>9.8633269438047702</v>
      </c>
      <c r="G127" t="b">
        <v>0</v>
      </c>
      <c r="H127" t="s">
        <v>23</v>
      </c>
      <c r="I127" t="s">
        <v>33</v>
      </c>
    </row>
    <row r="128" spans="1:9" x14ac:dyDescent="0.3">
      <c r="A128" t="str">
        <f t="shared" si="1"/>
        <v>CASE-0127</v>
      </c>
      <c r="B128" s="1">
        <v>45637</v>
      </c>
      <c r="C128" t="s">
        <v>12</v>
      </c>
      <c r="D128">
        <v>2</v>
      </c>
      <c r="E128" t="b">
        <v>0</v>
      </c>
      <c r="F128" s="2">
        <v>19.499920780448754</v>
      </c>
      <c r="G128" t="b">
        <v>0</v>
      </c>
      <c r="H128" t="s">
        <v>30</v>
      </c>
      <c r="I128" t="s">
        <v>33</v>
      </c>
    </row>
    <row r="129" spans="1:9" x14ac:dyDescent="0.3">
      <c r="A129" t="str">
        <f t="shared" si="1"/>
        <v>CASE-0128</v>
      </c>
      <c r="B129" s="1">
        <v>45913</v>
      </c>
      <c r="C129" t="s">
        <v>12</v>
      </c>
      <c r="D129">
        <v>2</v>
      </c>
      <c r="E129" t="b">
        <v>0</v>
      </c>
      <c r="F129" s="2">
        <v>20.987365312208002</v>
      </c>
      <c r="G129" t="b">
        <v>0</v>
      </c>
      <c r="H129" t="s">
        <v>19</v>
      </c>
      <c r="I129" t="s">
        <v>33</v>
      </c>
    </row>
    <row r="130" spans="1:9" x14ac:dyDescent="0.3">
      <c r="A130" t="str">
        <f t="shared" si="1"/>
        <v>CASE-0129</v>
      </c>
      <c r="B130" s="1">
        <v>45873</v>
      </c>
      <c r="C130" t="s">
        <v>11</v>
      </c>
      <c r="D130">
        <v>4</v>
      </c>
      <c r="E130" t="b">
        <v>1</v>
      </c>
      <c r="F130" s="2">
        <v>4.7818928069283482</v>
      </c>
      <c r="G130" t="b">
        <v>0</v>
      </c>
      <c r="H130" t="s">
        <v>18</v>
      </c>
      <c r="I130" t="s">
        <v>34</v>
      </c>
    </row>
    <row r="131" spans="1:9" x14ac:dyDescent="0.3">
      <c r="A131" t="str">
        <f t="shared" ref="A131:A194" si="2">"CASE-"&amp;TEXT(ROW()-1,"0000")</f>
        <v>CASE-0130</v>
      </c>
      <c r="B131" s="1">
        <v>45631</v>
      </c>
      <c r="C131" t="s">
        <v>12</v>
      </c>
      <c r="D131">
        <v>2</v>
      </c>
      <c r="E131" t="b">
        <v>0</v>
      </c>
      <c r="F131" s="2">
        <v>18.632939823068099</v>
      </c>
      <c r="G131" t="b">
        <v>0</v>
      </c>
      <c r="H131" t="s">
        <v>31</v>
      </c>
      <c r="I131" t="s">
        <v>33</v>
      </c>
    </row>
    <row r="132" spans="1:9" x14ac:dyDescent="0.3">
      <c r="A132" t="str">
        <f t="shared" si="2"/>
        <v>CASE-0131</v>
      </c>
      <c r="B132" s="1">
        <v>45910</v>
      </c>
      <c r="C132" t="s">
        <v>12</v>
      </c>
      <c r="D132">
        <v>5</v>
      </c>
      <c r="E132" t="b">
        <v>1</v>
      </c>
      <c r="F132" s="2">
        <v>7.1368664762163485</v>
      </c>
      <c r="G132" t="b">
        <v>1</v>
      </c>
      <c r="H132" t="s">
        <v>21</v>
      </c>
      <c r="I132" t="s">
        <v>34</v>
      </c>
    </row>
    <row r="133" spans="1:9" x14ac:dyDescent="0.3">
      <c r="A133" t="str">
        <f t="shared" si="2"/>
        <v>CASE-0132</v>
      </c>
      <c r="B133" s="1">
        <v>45964</v>
      </c>
      <c r="C133" t="s">
        <v>12</v>
      </c>
      <c r="D133">
        <v>2</v>
      </c>
      <c r="E133" t="b">
        <v>1</v>
      </c>
      <c r="F133" s="2">
        <v>6.4455404041253646</v>
      </c>
      <c r="G133" t="b">
        <v>0</v>
      </c>
      <c r="H133" t="s">
        <v>26</v>
      </c>
      <c r="I133" t="s">
        <v>34</v>
      </c>
    </row>
    <row r="134" spans="1:9" x14ac:dyDescent="0.3">
      <c r="A134" t="str">
        <f t="shared" si="2"/>
        <v>CASE-0133</v>
      </c>
      <c r="B134" s="1">
        <v>45610</v>
      </c>
      <c r="C134" t="s">
        <v>10</v>
      </c>
      <c r="D134">
        <v>2</v>
      </c>
      <c r="E134" t="b">
        <v>0</v>
      </c>
      <c r="F134" s="2">
        <v>17.360676560739201</v>
      </c>
      <c r="G134" t="b">
        <v>0</v>
      </c>
      <c r="H134" t="s">
        <v>22</v>
      </c>
      <c r="I134" t="s">
        <v>33</v>
      </c>
    </row>
    <row r="135" spans="1:9" x14ac:dyDescent="0.3">
      <c r="A135" t="str">
        <f t="shared" si="2"/>
        <v>CASE-0134</v>
      </c>
      <c r="B135" s="1">
        <v>45781</v>
      </c>
      <c r="C135" t="s">
        <v>11</v>
      </c>
      <c r="D135">
        <v>2</v>
      </c>
      <c r="E135" t="b">
        <v>1</v>
      </c>
      <c r="F135" s="2">
        <v>17.318715706491385</v>
      </c>
      <c r="G135" t="b">
        <v>0</v>
      </c>
      <c r="H135" t="s">
        <v>23</v>
      </c>
      <c r="I135" t="s">
        <v>33</v>
      </c>
    </row>
    <row r="136" spans="1:9" x14ac:dyDescent="0.3">
      <c r="A136" t="str">
        <f t="shared" si="2"/>
        <v>CASE-0135</v>
      </c>
      <c r="B136" s="1">
        <v>45605</v>
      </c>
      <c r="C136" t="s">
        <v>11</v>
      </c>
      <c r="D136">
        <v>5</v>
      </c>
      <c r="E136" t="b">
        <v>0</v>
      </c>
      <c r="F136" s="2">
        <v>28.103827061325795</v>
      </c>
      <c r="G136" t="b">
        <v>0</v>
      </c>
      <c r="H136" t="s">
        <v>28</v>
      </c>
      <c r="I136" t="s">
        <v>33</v>
      </c>
    </row>
    <row r="137" spans="1:9" x14ac:dyDescent="0.3">
      <c r="A137" t="str">
        <f t="shared" si="2"/>
        <v>CASE-0136</v>
      </c>
      <c r="B137" s="1">
        <v>45982</v>
      </c>
      <c r="C137" t="s">
        <v>9</v>
      </c>
      <c r="D137">
        <v>3</v>
      </c>
      <c r="E137" t="b">
        <v>1</v>
      </c>
      <c r="F137" s="2">
        <v>17.862117541258318</v>
      </c>
      <c r="G137" t="b">
        <v>0</v>
      </c>
      <c r="H137" t="s">
        <v>18</v>
      </c>
      <c r="I137" t="s">
        <v>33</v>
      </c>
    </row>
    <row r="138" spans="1:9" x14ac:dyDescent="0.3">
      <c r="A138" t="str">
        <f t="shared" si="2"/>
        <v>CASE-0137</v>
      </c>
      <c r="B138" s="1">
        <v>45579</v>
      </c>
      <c r="C138" t="s">
        <v>9</v>
      </c>
      <c r="D138">
        <v>5</v>
      </c>
      <c r="E138" t="b">
        <v>0</v>
      </c>
      <c r="F138" s="2">
        <v>13.913124445221584</v>
      </c>
      <c r="G138" t="b">
        <v>0</v>
      </c>
      <c r="H138" t="s">
        <v>26</v>
      </c>
      <c r="I138" t="s">
        <v>33</v>
      </c>
    </row>
    <row r="139" spans="1:9" x14ac:dyDescent="0.3">
      <c r="A139" t="str">
        <f t="shared" si="2"/>
        <v>CASE-0138</v>
      </c>
      <c r="B139" s="1">
        <v>45556</v>
      </c>
      <c r="C139" t="s">
        <v>10</v>
      </c>
      <c r="D139">
        <v>1</v>
      </c>
      <c r="E139" t="b">
        <v>0</v>
      </c>
      <c r="F139" s="2">
        <v>24.364765867372764</v>
      </c>
      <c r="G139" t="b">
        <v>0</v>
      </c>
      <c r="H139" t="s">
        <v>13</v>
      </c>
      <c r="I139" t="s">
        <v>33</v>
      </c>
    </row>
    <row r="140" spans="1:9" x14ac:dyDescent="0.3">
      <c r="A140" t="str">
        <f t="shared" si="2"/>
        <v>CASE-0139</v>
      </c>
      <c r="B140" s="1">
        <v>46181</v>
      </c>
      <c r="C140" t="s">
        <v>9</v>
      </c>
      <c r="D140">
        <v>3</v>
      </c>
      <c r="E140" t="b">
        <v>1</v>
      </c>
      <c r="F140" s="2">
        <v>5.9843091790037022</v>
      </c>
      <c r="G140" t="b">
        <v>0</v>
      </c>
      <c r="H140" t="s">
        <v>19</v>
      </c>
      <c r="I140" t="s">
        <v>34</v>
      </c>
    </row>
    <row r="141" spans="1:9" x14ac:dyDescent="0.3">
      <c r="A141" t="str">
        <f t="shared" si="2"/>
        <v>CASE-0140</v>
      </c>
      <c r="B141" s="1">
        <v>45504</v>
      </c>
      <c r="C141" t="s">
        <v>9</v>
      </c>
      <c r="D141">
        <v>4</v>
      </c>
      <c r="E141" t="b">
        <v>0</v>
      </c>
      <c r="F141" s="2">
        <v>31.154623376356007</v>
      </c>
      <c r="G141" t="b">
        <v>0</v>
      </c>
      <c r="H141" t="s">
        <v>13</v>
      </c>
      <c r="I141" t="s">
        <v>33</v>
      </c>
    </row>
    <row r="142" spans="1:9" x14ac:dyDescent="0.3">
      <c r="A142" t="str">
        <f t="shared" si="2"/>
        <v>CASE-0141</v>
      </c>
      <c r="B142" s="1">
        <v>46161</v>
      </c>
      <c r="C142" t="s">
        <v>12</v>
      </c>
      <c r="D142">
        <v>4</v>
      </c>
      <c r="E142" t="b">
        <v>1</v>
      </c>
      <c r="F142" s="2">
        <v>5.856386287946405</v>
      </c>
      <c r="G142" t="b">
        <v>1</v>
      </c>
      <c r="H142" t="s">
        <v>26</v>
      </c>
      <c r="I142" t="s">
        <v>34</v>
      </c>
    </row>
    <row r="143" spans="1:9" x14ac:dyDescent="0.3">
      <c r="A143" t="str">
        <f t="shared" si="2"/>
        <v>CASE-0142</v>
      </c>
      <c r="B143" s="1">
        <v>45677</v>
      </c>
      <c r="C143" t="s">
        <v>11</v>
      </c>
      <c r="D143">
        <v>1</v>
      </c>
      <c r="E143" t="b">
        <v>1</v>
      </c>
      <c r="F143" s="2">
        <v>17.042895010083544</v>
      </c>
      <c r="G143" t="b">
        <v>0</v>
      </c>
      <c r="H143" t="s">
        <v>18</v>
      </c>
      <c r="I143" t="s">
        <v>33</v>
      </c>
    </row>
    <row r="144" spans="1:9" x14ac:dyDescent="0.3">
      <c r="A144" t="str">
        <f t="shared" si="2"/>
        <v>CASE-0143</v>
      </c>
      <c r="B144" s="1">
        <v>45817</v>
      </c>
      <c r="C144" t="s">
        <v>9</v>
      </c>
      <c r="D144">
        <v>5</v>
      </c>
      <c r="E144" t="b">
        <v>0</v>
      </c>
      <c r="F144" s="2">
        <v>25.04648179214648</v>
      </c>
      <c r="G144" t="b">
        <v>0</v>
      </c>
      <c r="H144" t="s">
        <v>30</v>
      </c>
      <c r="I144" t="s">
        <v>33</v>
      </c>
    </row>
    <row r="145" spans="1:9" x14ac:dyDescent="0.3">
      <c r="A145" t="str">
        <f t="shared" si="2"/>
        <v>CASE-0144</v>
      </c>
      <c r="B145" s="1">
        <v>45490</v>
      </c>
      <c r="C145" t="s">
        <v>11</v>
      </c>
      <c r="D145">
        <v>5</v>
      </c>
      <c r="E145" t="b">
        <v>0</v>
      </c>
      <c r="F145" s="2">
        <v>22.566026065625557</v>
      </c>
      <c r="G145" t="b">
        <v>0</v>
      </c>
      <c r="H145" t="s">
        <v>16</v>
      </c>
      <c r="I145" t="s">
        <v>33</v>
      </c>
    </row>
    <row r="146" spans="1:9" x14ac:dyDescent="0.3">
      <c r="A146" t="str">
        <f t="shared" si="2"/>
        <v>CASE-0145</v>
      </c>
      <c r="B146" s="1">
        <v>45931</v>
      </c>
      <c r="C146" t="s">
        <v>12</v>
      </c>
      <c r="D146">
        <v>5</v>
      </c>
      <c r="E146" t="b">
        <v>0</v>
      </c>
      <c r="F146" s="2">
        <v>7.9118855399433947</v>
      </c>
      <c r="G146" t="b">
        <v>0</v>
      </c>
      <c r="H146" t="s">
        <v>21</v>
      </c>
      <c r="I146" t="s">
        <v>34</v>
      </c>
    </row>
    <row r="147" spans="1:9" x14ac:dyDescent="0.3">
      <c r="A147" t="str">
        <f t="shared" si="2"/>
        <v>CASE-0146</v>
      </c>
      <c r="B147" s="1">
        <v>45876</v>
      </c>
      <c r="C147" t="s">
        <v>11</v>
      </c>
      <c r="D147">
        <v>1</v>
      </c>
      <c r="E147" t="b">
        <v>1</v>
      </c>
      <c r="F147" s="2">
        <v>1.9262787865412845</v>
      </c>
      <c r="G147" t="b">
        <v>0</v>
      </c>
      <c r="H147" t="s">
        <v>14</v>
      </c>
      <c r="I147" t="s">
        <v>34</v>
      </c>
    </row>
    <row r="148" spans="1:9" x14ac:dyDescent="0.3">
      <c r="A148" t="str">
        <f t="shared" si="2"/>
        <v>CASE-0147</v>
      </c>
      <c r="B148" s="1">
        <v>45881</v>
      </c>
      <c r="C148" t="s">
        <v>12</v>
      </c>
      <c r="D148">
        <v>2</v>
      </c>
      <c r="E148" t="b">
        <v>1</v>
      </c>
      <c r="F148" s="2">
        <v>6.7004257031761645</v>
      </c>
      <c r="G148" t="b">
        <v>0</v>
      </c>
      <c r="H148" t="s">
        <v>17</v>
      </c>
      <c r="I148" t="s">
        <v>34</v>
      </c>
    </row>
    <row r="149" spans="1:9" x14ac:dyDescent="0.3">
      <c r="A149" t="str">
        <f t="shared" si="2"/>
        <v>CASE-0148</v>
      </c>
      <c r="B149" s="1">
        <v>46126</v>
      </c>
      <c r="C149" t="s">
        <v>11</v>
      </c>
      <c r="D149">
        <v>4</v>
      </c>
      <c r="E149" t="b">
        <v>1</v>
      </c>
      <c r="F149" s="2">
        <v>6.0159260239364114</v>
      </c>
      <c r="G149" t="b">
        <v>0</v>
      </c>
      <c r="H149" t="s">
        <v>32</v>
      </c>
      <c r="I149" t="s">
        <v>34</v>
      </c>
    </row>
    <row r="150" spans="1:9" x14ac:dyDescent="0.3">
      <c r="A150" t="str">
        <f t="shared" si="2"/>
        <v>CASE-0149</v>
      </c>
      <c r="B150" s="1">
        <v>46019</v>
      </c>
      <c r="C150" t="s">
        <v>9</v>
      </c>
      <c r="D150">
        <v>1</v>
      </c>
      <c r="E150" t="b">
        <v>1</v>
      </c>
      <c r="F150" s="2">
        <v>9.1023417020161563</v>
      </c>
      <c r="G150" t="b">
        <v>0</v>
      </c>
      <c r="H150" t="s">
        <v>25</v>
      </c>
      <c r="I150" t="s">
        <v>34</v>
      </c>
    </row>
    <row r="151" spans="1:9" x14ac:dyDescent="0.3">
      <c r="A151" t="str">
        <f t="shared" si="2"/>
        <v>CASE-0150</v>
      </c>
      <c r="B151" s="1">
        <v>46047</v>
      </c>
      <c r="C151" t="s">
        <v>12</v>
      </c>
      <c r="D151">
        <v>4</v>
      </c>
      <c r="E151" t="b">
        <v>1</v>
      </c>
      <c r="F151" s="2">
        <v>5.5091318567163601</v>
      </c>
      <c r="G151" t="b">
        <v>0</v>
      </c>
      <c r="H151" t="s">
        <v>21</v>
      </c>
      <c r="I151" t="s">
        <v>34</v>
      </c>
    </row>
    <row r="152" spans="1:9" x14ac:dyDescent="0.3">
      <c r="A152" t="str">
        <f t="shared" si="2"/>
        <v>CASE-0151</v>
      </c>
      <c r="B152" s="1">
        <v>45829</v>
      </c>
      <c r="C152" t="s">
        <v>12</v>
      </c>
      <c r="D152">
        <v>3</v>
      </c>
      <c r="E152" t="b">
        <v>0</v>
      </c>
      <c r="F152" s="2">
        <v>3.7918425077437306</v>
      </c>
      <c r="G152" t="b">
        <v>0</v>
      </c>
      <c r="H152" t="s">
        <v>19</v>
      </c>
      <c r="I152" t="s">
        <v>34</v>
      </c>
    </row>
    <row r="153" spans="1:9" x14ac:dyDescent="0.3">
      <c r="A153" t="str">
        <f t="shared" si="2"/>
        <v>CASE-0152</v>
      </c>
      <c r="B153" s="1">
        <v>45702</v>
      </c>
      <c r="C153" t="s">
        <v>12</v>
      </c>
      <c r="D153">
        <v>1</v>
      </c>
      <c r="E153" t="b">
        <v>1</v>
      </c>
      <c r="F153" s="2">
        <v>5.2424147345618204</v>
      </c>
      <c r="G153" t="b">
        <v>0</v>
      </c>
      <c r="H153" t="s">
        <v>17</v>
      </c>
      <c r="I153" t="s">
        <v>34</v>
      </c>
    </row>
    <row r="154" spans="1:9" x14ac:dyDescent="0.3">
      <c r="A154" t="str">
        <f t="shared" si="2"/>
        <v>CASE-0153</v>
      </c>
      <c r="B154" s="1">
        <v>46118</v>
      </c>
      <c r="C154" t="s">
        <v>10</v>
      </c>
      <c r="D154">
        <v>5</v>
      </c>
      <c r="E154" t="b">
        <v>1</v>
      </c>
      <c r="F154" s="2">
        <v>4.1482674131198882</v>
      </c>
      <c r="G154" t="b">
        <v>0</v>
      </c>
      <c r="H154" t="s">
        <v>18</v>
      </c>
      <c r="I154" t="s">
        <v>34</v>
      </c>
    </row>
    <row r="155" spans="1:9" x14ac:dyDescent="0.3">
      <c r="A155" t="str">
        <f t="shared" si="2"/>
        <v>CASE-0154</v>
      </c>
      <c r="B155" s="1">
        <v>45949</v>
      </c>
      <c r="C155" t="s">
        <v>9</v>
      </c>
      <c r="D155">
        <v>3</v>
      </c>
      <c r="E155" t="b">
        <v>1</v>
      </c>
      <c r="F155" s="2">
        <v>2.5000994570021149</v>
      </c>
      <c r="G155" t="b">
        <v>0</v>
      </c>
      <c r="H155" t="s">
        <v>15</v>
      </c>
      <c r="I155" t="s">
        <v>34</v>
      </c>
    </row>
    <row r="156" spans="1:9" x14ac:dyDescent="0.3">
      <c r="A156" t="str">
        <f t="shared" si="2"/>
        <v>CASE-0155</v>
      </c>
      <c r="B156" s="1">
        <v>45715</v>
      </c>
      <c r="C156" t="s">
        <v>11</v>
      </c>
      <c r="D156">
        <v>2</v>
      </c>
      <c r="E156" t="b">
        <v>1</v>
      </c>
      <c r="F156" s="2">
        <v>9.5891647207641562</v>
      </c>
      <c r="G156" t="b">
        <v>0</v>
      </c>
      <c r="H156" t="s">
        <v>13</v>
      </c>
      <c r="I156" t="s">
        <v>34</v>
      </c>
    </row>
    <row r="157" spans="1:9" x14ac:dyDescent="0.3">
      <c r="A157" t="str">
        <f t="shared" si="2"/>
        <v>CASE-0156</v>
      </c>
      <c r="B157" s="1">
        <v>45484</v>
      </c>
      <c r="C157" t="s">
        <v>10</v>
      </c>
      <c r="D157">
        <v>4</v>
      </c>
      <c r="E157" t="b">
        <v>0</v>
      </c>
      <c r="F157" s="2">
        <v>27.935428328516785</v>
      </c>
      <c r="G157" t="b">
        <v>0</v>
      </c>
      <c r="H157" t="s">
        <v>32</v>
      </c>
      <c r="I157" t="s">
        <v>33</v>
      </c>
    </row>
    <row r="158" spans="1:9" x14ac:dyDescent="0.3">
      <c r="A158" t="str">
        <f t="shared" si="2"/>
        <v>CASE-0157</v>
      </c>
      <c r="B158" s="1">
        <v>46190</v>
      </c>
      <c r="C158" t="s">
        <v>12</v>
      </c>
      <c r="D158">
        <v>1</v>
      </c>
      <c r="E158" t="b">
        <v>1</v>
      </c>
      <c r="F158" s="2">
        <v>5.9219013088730561</v>
      </c>
      <c r="G158" t="b">
        <v>0</v>
      </c>
      <c r="H158" t="s">
        <v>15</v>
      </c>
      <c r="I158" t="s">
        <v>34</v>
      </c>
    </row>
    <row r="159" spans="1:9" x14ac:dyDescent="0.3">
      <c r="A159" t="str">
        <f t="shared" si="2"/>
        <v>CASE-0158</v>
      </c>
      <c r="B159" s="1">
        <v>45622</v>
      </c>
      <c r="C159" t="s">
        <v>10</v>
      </c>
      <c r="D159">
        <v>1</v>
      </c>
      <c r="E159" t="b">
        <v>0</v>
      </c>
      <c r="F159" s="2">
        <v>21.682352868230769</v>
      </c>
      <c r="G159" t="b">
        <v>0</v>
      </c>
      <c r="H159" t="s">
        <v>24</v>
      </c>
      <c r="I159" t="s">
        <v>33</v>
      </c>
    </row>
    <row r="160" spans="1:9" x14ac:dyDescent="0.3">
      <c r="A160" t="str">
        <f t="shared" si="2"/>
        <v>CASE-0159</v>
      </c>
      <c r="B160" s="1">
        <v>45984</v>
      </c>
      <c r="C160" t="s">
        <v>10</v>
      </c>
      <c r="D160">
        <v>5</v>
      </c>
      <c r="E160" t="b">
        <v>1</v>
      </c>
      <c r="F160" s="2">
        <v>7.2829202580616963</v>
      </c>
      <c r="G160" t="b">
        <v>0</v>
      </c>
      <c r="H160" t="s">
        <v>23</v>
      </c>
      <c r="I160" t="s">
        <v>34</v>
      </c>
    </row>
    <row r="161" spans="1:9" x14ac:dyDescent="0.3">
      <c r="A161" t="str">
        <f t="shared" si="2"/>
        <v>CASE-0160</v>
      </c>
      <c r="B161" s="1">
        <v>45832</v>
      </c>
      <c r="C161" t="s">
        <v>9</v>
      </c>
      <c r="D161">
        <v>4</v>
      </c>
      <c r="E161" t="b">
        <v>1</v>
      </c>
      <c r="F161" s="2">
        <v>9.4328993365108449</v>
      </c>
      <c r="G161" t="b">
        <v>0</v>
      </c>
      <c r="H161" t="s">
        <v>18</v>
      </c>
      <c r="I161" t="s">
        <v>34</v>
      </c>
    </row>
    <row r="162" spans="1:9" x14ac:dyDescent="0.3">
      <c r="A162" t="str">
        <f t="shared" si="2"/>
        <v>CASE-0161</v>
      </c>
      <c r="B162" s="1">
        <v>45770</v>
      </c>
      <c r="C162" t="s">
        <v>10</v>
      </c>
      <c r="D162">
        <v>5</v>
      </c>
      <c r="E162" t="b">
        <v>1</v>
      </c>
      <c r="F162" s="2">
        <v>5.7842068146648522</v>
      </c>
      <c r="G162" t="b">
        <v>0</v>
      </c>
      <c r="H162" t="s">
        <v>20</v>
      </c>
      <c r="I162" t="s">
        <v>34</v>
      </c>
    </row>
    <row r="163" spans="1:9" x14ac:dyDescent="0.3">
      <c r="A163" t="str">
        <f t="shared" si="2"/>
        <v>CASE-0162</v>
      </c>
      <c r="B163" s="1">
        <v>46029</v>
      </c>
      <c r="C163" t="s">
        <v>10</v>
      </c>
      <c r="D163">
        <v>4</v>
      </c>
      <c r="E163" t="b">
        <v>0</v>
      </c>
      <c r="F163" s="2">
        <v>22.071902530096832</v>
      </c>
      <c r="G163" t="b">
        <v>0</v>
      </c>
      <c r="H163" t="s">
        <v>15</v>
      </c>
      <c r="I163" t="s">
        <v>33</v>
      </c>
    </row>
    <row r="164" spans="1:9" x14ac:dyDescent="0.3">
      <c r="A164" t="str">
        <f t="shared" si="2"/>
        <v>CASE-0163</v>
      </c>
      <c r="B164" s="1">
        <v>45672</v>
      </c>
      <c r="C164" t="s">
        <v>11</v>
      </c>
      <c r="D164">
        <v>5</v>
      </c>
      <c r="E164" t="b">
        <v>1</v>
      </c>
      <c r="F164" s="2">
        <v>4.6161025355268608</v>
      </c>
      <c r="G164" t="b">
        <v>0</v>
      </c>
      <c r="H164" t="s">
        <v>32</v>
      </c>
      <c r="I164" t="s">
        <v>34</v>
      </c>
    </row>
    <row r="165" spans="1:9" x14ac:dyDescent="0.3">
      <c r="A165" t="str">
        <f t="shared" si="2"/>
        <v>CASE-0164</v>
      </c>
      <c r="B165" s="1">
        <v>45887</v>
      </c>
      <c r="C165" t="s">
        <v>10</v>
      </c>
      <c r="D165">
        <v>5</v>
      </c>
      <c r="E165" t="b">
        <v>1</v>
      </c>
      <c r="F165" s="2">
        <v>2.7068021709672707</v>
      </c>
      <c r="G165" t="b">
        <v>0</v>
      </c>
      <c r="H165" t="s">
        <v>21</v>
      </c>
      <c r="I165" t="s">
        <v>34</v>
      </c>
    </row>
    <row r="166" spans="1:9" x14ac:dyDescent="0.3">
      <c r="A166" t="str">
        <f t="shared" si="2"/>
        <v>CASE-0165</v>
      </c>
      <c r="B166" s="1">
        <v>45494</v>
      </c>
      <c r="C166" t="s">
        <v>12</v>
      </c>
      <c r="D166">
        <v>3</v>
      </c>
      <c r="E166" t="b">
        <v>0</v>
      </c>
      <c r="F166" s="2">
        <v>23.145313636545829</v>
      </c>
      <c r="G166" t="b">
        <v>0</v>
      </c>
      <c r="H166" t="s">
        <v>21</v>
      </c>
      <c r="I166" t="s">
        <v>33</v>
      </c>
    </row>
    <row r="167" spans="1:9" x14ac:dyDescent="0.3">
      <c r="A167" t="str">
        <f t="shared" si="2"/>
        <v>CASE-0166</v>
      </c>
      <c r="B167" s="1">
        <v>46191</v>
      </c>
      <c r="C167" t="s">
        <v>10</v>
      </c>
      <c r="D167">
        <v>1</v>
      </c>
      <c r="E167" t="b">
        <v>1</v>
      </c>
      <c r="F167" s="2">
        <v>37.637654597346156</v>
      </c>
      <c r="G167" t="b">
        <v>0</v>
      </c>
      <c r="H167" t="s">
        <v>31</v>
      </c>
      <c r="I167" t="s">
        <v>33</v>
      </c>
    </row>
    <row r="168" spans="1:9" x14ac:dyDescent="0.3">
      <c r="A168" t="str">
        <f t="shared" si="2"/>
        <v>CASE-0167</v>
      </c>
      <c r="B168" s="1">
        <v>45842</v>
      </c>
      <c r="C168" t="s">
        <v>10</v>
      </c>
      <c r="D168">
        <v>4</v>
      </c>
      <c r="E168" t="b">
        <v>0</v>
      </c>
      <c r="F168" s="2">
        <v>6.0205264847579567</v>
      </c>
      <c r="G168" t="b">
        <v>0</v>
      </c>
      <c r="H168" t="s">
        <v>32</v>
      </c>
      <c r="I168" t="s">
        <v>34</v>
      </c>
    </row>
    <row r="169" spans="1:9" x14ac:dyDescent="0.3">
      <c r="A169" t="str">
        <f t="shared" si="2"/>
        <v>CASE-0168</v>
      </c>
      <c r="B169" s="1">
        <v>46060</v>
      </c>
      <c r="C169" t="s">
        <v>9</v>
      </c>
      <c r="D169">
        <v>2</v>
      </c>
      <c r="E169" t="b">
        <v>1</v>
      </c>
      <c r="F169" s="2">
        <v>7.269808942556085</v>
      </c>
      <c r="G169" t="b">
        <v>0</v>
      </c>
      <c r="H169" t="s">
        <v>24</v>
      </c>
      <c r="I169" t="s">
        <v>34</v>
      </c>
    </row>
    <row r="170" spans="1:9" x14ac:dyDescent="0.3">
      <c r="A170" t="str">
        <f t="shared" si="2"/>
        <v>CASE-0169</v>
      </c>
      <c r="B170" s="1">
        <v>45497</v>
      </c>
      <c r="C170" t="s">
        <v>12</v>
      </c>
      <c r="D170">
        <v>1</v>
      </c>
      <c r="E170" t="b">
        <v>0</v>
      </c>
      <c r="F170" s="2">
        <v>30.978704223960509</v>
      </c>
      <c r="G170" t="b">
        <v>0</v>
      </c>
      <c r="H170" t="s">
        <v>14</v>
      </c>
      <c r="I170" t="s">
        <v>33</v>
      </c>
    </row>
    <row r="171" spans="1:9" x14ac:dyDescent="0.3">
      <c r="A171" t="str">
        <f t="shared" si="2"/>
        <v>CASE-0170</v>
      </c>
      <c r="B171" s="1">
        <v>45986</v>
      </c>
      <c r="C171" t="s">
        <v>11</v>
      </c>
      <c r="D171">
        <v>3</v>
      </c>
      <c r="E171" t="b">
        <v>1</v>
      </c>
      <c r="F171" s="2">
        <v>4.6654657558652781</v>
      </c>
      <c r="G171" t="b">
        <v>0</v>
      </c>
      <c r="H171" t="s">
        <v>15</v>
      </c>
      <c r="I171" t="s">
        <v>34</v>
      </c>
    </row>
    <row r="172" spans="1:9" x14ac:dyDescent="0.3">
      <c r="A172" t="str">
        <f t="shared" si="2"/>
        <v>CASE-0171</v>
      </c>
      <c r="B172" s="1">
        <v>45579</v>
      </c>
      <c r="C172" t="s">
        <v>12</v>
      </c>
      <c r="D172">
        <v>5</v>
      </c>
      <c r="E172" t="b">
        <v>0</v>
      </c>
      <c r="F172" s="2">
        <v>14.359840720637818</v>
      </c>
      <c r="G172" t="b">
        <v>0</v>
      </c>
      <c r="H172" t="s">
        <v>15</v>
      </c>
      <c r="I172" t="s">
        <v>33</v>
      </c>
    </row>
    <row r="173" spans="1:9" x14ac:dyDescent="0.3">
      <c r="A173" t="str">
        <f t="shared" si="2"/>
        <v>CASE-0172</v>
      </c>
      <c r="B173" s="1">
        <v>45732</v>
      </c>
      <c r="C173" t="s">
        <v>11</v>
      </c>
      <c r="D173">
        <v>4</v>
      </c>
      <c r="E173" t="b">
        <v>1</v>
      </c>
      <c r="F173" s="2">
        <v>5.3509858428432686</v>
      </c>
      <c r="G173" t="b">
        <v>0</v>
      </c>
      <c r="H173" t="s">
        <v>19</v>
      </c>
      <c r="I173" t="s">
        <v>34</v>
      </c>
    </row>
    <row r="174" spans="1:9" x14ac:dyDescent="0.3">
      <c r="A174" t="str">
        <f t="shared" si="2"/>
        <v>CASE-0173</v>
      </c>
      <c r="B174" s="1">
        <v>46189</v>
      </c>
      <c r="C174" t="s">
        <v>12</v>
      </c>
      <c r="D174">
        <v>3</v>
      </c>
      <c r="E174" t="b">
        <v>0</v>
      </c>
      <c r="F174" s="2">
        <v>4.6715191389700808</v>
      </c>
      <c r="G174" t="b">
        <v>0</v>
      </c>
      <c r="H174" t="s">
        <v>25</v>
      </c>
      <c r="I174" t="s">
        <v>34</v>
      </c>
    </row>
    <row r="175" spans="1:9" x14ac:dyDescent="0.3">
      <c r="A175" t="str">
        <f t="shared" si="2"/>
        <v>CASE-0174</v>
      </c>
      <c r="B175" s="1">
        <v>45531</v>
      </c>
      <c r="C175" t="s">
        <v>12</v>
      </c>
      <c r="D175">
        <v>3</v>
      </c>
      <c r="E175" t="b">
        <v>0</v>
      </c>
      <c r="F175" s="2">
        <v>4.4175608104431099</v>
      </c>
      <c r="G175" t="b">
        <v>0</v>
      </c>
      <c r="H175" t="s">
        <v>29</v>
      </c>
      <c r="I175" t="s">
        <v>33</v>
      </c>
    </row>
    <row r="176" spans="1:9" x14ac:dyDescent="0.3">
      <c r="A176" t="str">
        <f t="shared" si="2"/>
        <v>CASE-0175</v>
      </c>
      <c r="B176" s="1">
        <v>45905</v>
      </c>
      <c r="C176" t="s">
        <v>11</v>
      </c>
      <c r="D176">
        <v>5</v>
      </c>
      <c r="E176" t="b">
        <v>1</v>
      </c>
      <c r="F176" s="2">
        <v>5.3981421032085875</v>
      </c>
      <c r="G176" t="b">
        <v>0</v>
      </c>
      <c r="H176" t="s">
        <v>17</v>
      </c>
      <c r="I176" t="s">
        <v>34</v>
      </c>
    </row>
    <row r="177" spans="1:9" x14ac:dyDescent="0.3">
      <c r="A177" t="str">
        <f t="shared" si="2"/>
        <v>CASE-0176</v>
      </c>
      <c r="B177" s="1">
        <v>45743</v>
      </c>
      <c r="C177" t="s">
        <v>11</v>
      </c>
      <c r="D177">
        <v>3</v>
      </c>
      <c r="E177" t="b">
        <v>0</v>
      </c>
      <c r="F177" s="2">
        <v>34.280423203562876</v>
      </c>
      <c r="G177" t="b">
        <v>0</v>
      </c>
      <c r="H177" t="s">
        <v>31</v>
      </c>
      <c r="I177" t="s">
        <v>33</v>
      </c>
    </row>
    <row r="178" spans="1:9" x14ac:dyDescent="0.3">
      <c r="A178" t="str">
        <f t="shared" si="2"/>
        <v>CASE-0177</v>
      </c>
      <c r="B178" s="1">
        <v>45867</v>
      </c>
      <c r="C178" t="s">
        <v>12</v>
      </c>
      <c r="D178">
        <v>5</v>
      </c>
      <c r="E178" t="b">
        <v>0</v>
      </c>
      <c r="F178" s="2">
        <v>7.8991166519058655</v>
      </c>
      <c r="G178" t="b">
        <v>0</v>
      </c>
      <c r="H178" t="s">
        <v>31</v>
      </c>
      <c r="I178" t="s">
        <v>34</v>
      </c>
    </row>
    <row r="179" spans="1:9" x14ac:dyDescent="0.3">
      <c r="A179" t="str">
        <f t="shared" si="2"/>
        <v>CASE-0178</v>
      </c>
      <c r="B179" s="1">
        <v>46020</v>
      </c>
      <c r="C179" t="s">
        <v>12</v>
      </c>
      <c r="D179">
        <v>4</v>
      </c>
      <c r="E179" t="b">
        <v>1</v>
      </c>
      <c r="F179" s="2">
        <v>4.8458155438996382</v>
      </c>
      <c r="G179" t="b">
        <v>0</v>
      </c>
      <c r="H179" t="s">
        <v>17</v>
      </c>
      <c r="I179" t="s">
        <v>34</v>
      </c>
    </row>
    <row r="180" spans="1:9" x14ac:dyDescent="0.3">
      <c r="A180" t="str">
        <f t="shared" si="2"/>
        <v>CASE-0179</v>
      </c>
      <c r="B180" s="1">
        <v>45941</v>
      </c>
      <c r="C180" t="s">
        <v>12</v>
      </c>
      <c r="D180">
        <v>3</v>
      </c>
      <c r="E180" t="b">
        <v>1</v>
      </c>
      <c r="F180" s="2">
        <v>16.220040045688936</v>
      </c>
      <c r="G180" t="b">
        <v>0</v>
      </c>
      <c r="H180" t="s">
        <v>21</v>
      </c>
      <c r="I180" t="s">
        <v>33</v>
      </c>
    </row>
    <row r="181" spans="1:9" x14ac:dyDescent="0.3">
      <c r="A181" t="str">
        <f t="shared" si="2"/>
        <v>CASE-0180</v>
      </c>
      <c r="B181" s="1">
        <v>45976</v>
      </c>
      <c r="C181" t="s">
        <v>11</v>
      </c>
      <c r="D181">
        <v>1</v>
      </c>
      <c r="E181" t="b">
        <v>1</v>
      </c>
      <c r="F181" s="2">
        <v>4.6248497554528125</v>
      </c>
      <c r="G181" t="b">
        <v>0</v>
      </c>
      <c r="H181" t="s">
        <v>17</v>
      </c>
      <c r="I181" t="s">
        <v>34</v>
      </c>
    </row>
    <row r="182" spans="1:9" x14ac:dyDescent="0.3">
      <c r="A182" t="str">
        <f t="shared" si="2"/>
        <v>CASE-0181</v>
      </c>
      <c r="B182" s="1">
        <v>45955</v>
      </c>
      <c r="C182" t="s">
        <v>10</v>
      </c>
      <c r="D182">
        <v>4</v>
      </c>
      <c r="E182" t="b">
        <v>0</v>
      </c>
      <c r="F182" s="2">
        <v>6.6522468454037185</v>
      </c>
      <c r="G182" t="b">
        <v>0</v>
      </c>
      <c r="H182" t="s">
        <v>20</v>
      </c>
      <c r="I182" t="s">
        <v>34</v>
      </c>
    </row>
    <row r="183" spans="1:9" x14ac:dyDescent="0.3">
      <c r="A183" t="str">
        <f t="shared" si="2"/>
        <v>CASE-0182</v>
      </c>
      <c r="B183" s="1">
        <v>45485</v>
      </c>
      <c r="C183" t="s">
        <v>10</v>
      </c>
      <c r="D183">
        <v>1</v>
      </c>
      <c r="E183" t="b">
        <v>0</v>
      </c>
      <c r="F183" s="2">
        <v>17.951323967922647</v>
      </c>
      <c r="G183" t="b">
        <v>0</v>
      </c>
      <c r="H183" t="s">
        <v>19</v>
      </c>
      <c r="I183" t="s">
        <v>33</v>
      </c>
    </row>
    <row r="184" spans="1:9" x14ac:dyDescent="0.3">
      <c r="A184" t="str">
        <f t="shared" si="2"/>
        <v>CASE-0183</v>
      </c>
      <c r="B184" s="1">
        <v>45631</v>
      </c>
      <c r="C184" t="s">
        <v>9</v>
      </c>
      <c r="D184">
        <v>2</v>
      </c>
      <c r="E184" t="b">
        <v>0</v>
      </c>
      <c r="F184" s="2">
        <v>24.048037632544499</v>
      </c>
      <c r="G184" t="b">
        <v>0</v>
      </c>
      <c r="H184" t="s">
        <v>24</v>
      </c>
      <c r="I184" t="s">
        <v>33</v>
      </c>
    </row>
    <row r="185" spans="1:9" x14ac:dyDescent="0.3">
      <c r="A185" t="str">
        <f t="shared" si="2"/>
        <v>CASE-0184</v>
      </c>
      <c r="B185" s="1">
        <v>46041</v>
      </c>
      <c r="C185" t="s">
        <v>9</v>
      </c>
      <c r="D185">
        <v>4</v>
      </c>
      <c r="E185" t="b">
        <v>1</v>
      </c>
      <c r="F185" s="2">
        <v>3.3390527559102043</v>
      </c>
      <c r="G185" t="b">
        <v>0</v>
      </c>
      <c r="H185" t="s">
        <v>22</v>
      </c>
      <c r="I185" t="s">
        <v>34</v>
      </c>
    </row>
    <row r="186" spans="1:9" x14ac:dyDescent="0.3">
      <c r="A186" t="str">
        <f t="shared" si="2"/>
        <v>CASE-0185</v>
      </c>
      <c r="B186" s="1">
        <v>46005</v>
      </c>
      <c r="C186" t="s">
        <v>10</v>
      </c>
      <c r="D186">
        <v>2</v>
      </c>
      <c r="E186" t="b">
        <v>1</v>
      </c>
      <c r="F186" s="2">
        <v>6.9919438710089832</v>
      </c>
      <c r="G186" t="b">
        <v>0</v>
      </c>
      <c r="H186" t="s">
        <v>25</v>
      </c>
      <c r="I186" t="s">
        <v>34</v>
      </c>
    </row>
    <row r="187" spans="1:9" x14ac:dyDescent="0.3">
      <c r="A187" t="str">
        <f t="shared" si="2"/>
        <v>CASE-0186</v>
      </c>
      <c r="B187" s="1">
        <v>45973</v>
      </c>
      <c r="C187" t="s">
        <v>9</v>
      </c>
      <c r="D187">
        <v>1</v>
      </c>
      <c r="E187" t="b">
        <v>1</v>
      </c>
      <c r="F187" s="2">
        <v>7.4880111886570102</v>
      </c>
      <c r="G187" t="b">
        <v>0</v>
      </c>
      <c r="H187" t="s">
        <v>16</v>
      </c>
      <c r="I187" t="s">
        <v>34</v>
      </c>
    </row>
    <row r="188" spans="1:9" x14ac:dyDescent="0.3">
      <c r="A188" t="str">
        <f t="shared" si="2"/>
        <v>CASE-0187</v>
      </c>
      <c r="B188" s="1">
        <v>46037</v>
      </c>
      <c r="C188" t="s">
        <v>10</v>
      </c>
      <c r="D188">
        <v>1</v>
      </c>
      <c r="E188" t="b">
        <v>1</v>
      </c>
      <c r="F188" s="2">
        <v>6.2398583112712505</v>
      </c>
      <c r="G188" t="b">
        <v>0</v>
      </c>
      <c r="H188" t="s">
        <v>25</v>
      </c>
      <c r="I188" t="s">
        <v>34</v>
      </c>
    </row>
    <row r="189" spans="1:9" x14ac:dyDescent="0.3">
      <c r="A189" t="str">
        <f t="shared" si="2"/>
        <v>CASE-0188</v>
      </c>
      <c r="B189" s="1">
        <v>46199</v>
      </c>
      <c r="C189" t="s">
        <v>10</v>
      </c>
      <c r="D189">
        <v>5</v>
      </c>
      <c r="E189" t="b">
        <v>1</v>
      </c>
      <c r="F189" s="2">
        <v>29.495977181509566</v>
      </c>
      <c r="G189" t="b">
        <v>0</v>
      </c>
      <c r="H189" t="s">
        <v>28</v>
      </c>
      <c r="I189" t="s">
        <v>33</v>
      </c>
    </row>
    <row r="190" spans="1:9" x14ac:dyDescent="0.3">
      <c r="A190" t="str">
        <f t="shared" si="2"/>
        <v>CASE-0189</v>
      </c>
      <c r="B190" s="1">
        <v>45638</v>
      </c>
      <c r="C190" t="s">
        <v>11</v>
      </c>
      <c r="D190">
        <v>3</v>
      </c>
      <c r="E190" t="b">
        <v>0</v>
      </c>
      <c r="F190" s="2">
        <v>21.429223280538569</v>
      </c>
      <c r="G190" t="b">
        <v>0</v>
      </c>
      <c r="H190" t="s">
        <v>32</v>
      </c>
      <c r="I190" t="s">
        <v>33</v>
      </c>
    </row>
    <row r="191" spans="1:9" x14ac:dyDescent="0.3">
      <c r="A191" t="str">
        <f t="shared" si="2"/>
        <v>CASE-0190</v>
      </c>
      <c r="B191" s="1">
        <v>45570</v>
      </c>
      <c r="C191" t="s">
        <v>12</v>
      </c>
      <c r="D191">
        <v>2</v>
      </c>
      <c r="E191" t="b">
        <v>0</v>
      </c>
      <c r="F191" s="2">
        <v>12.080203053047986</v>
      </c>
      <c r="G191" t="b">
        <v>0</v>
      </c>
      <c r="H191" t="s">
        <v>14</v>
      </c>
      <c r="I191" t="s">
        <v>33</v>
      </c>
    </row>
    <row r="192" spans="1:9" x14ac:dyDescent="0.3">
      <c r="A192" t="str">
        <f t="shared" si="2"/>
        <v>CASE-0191</v>
      </c>
      <c r="B192" s="1">
        <v>46052</v>
      </c>
      <c r="C192" t="s">
        <v>9</v>
      </c>
      <c r="D192">
        <v>2</v>
      </c>
      <c r="E192" t="b">
        <v>0</v>
      </c>
      <c r="F192" s="2">
        <v>4.7183496298313639</v>
      </c>
      <c r="G192" t="b">
        <v>0</v>
      </c>
      <c r="H192" t="s">
        <v>16</v>
      </c>
      <c r="I192" t="s">
        <v>34</v>
      </c>
    </row>
    <row r="193" spans="1:9" x14ac:dyDescent="0.3">
      <c r="A193" t="str">
        <f t="shared" si="2"/>
        <v>CASE-0192</v>
      </c>
      <c r="B193" s="1">
        <v>45956</v>
      </c>
      <c r="C193" t="s">
        <v>12</v>
      </c>
      <c r="D193">
        <v>2</v>
      </c>
      <c r="E193" t="b">
        <v>1</v>
      </c>
      <c r="F193" s="2">
        <v>25.623185359358349</v>
      </c>
      <c r="G193" t="b">
        <v>0</v>
      </c>
      <c r="H193" t="s">
        <v>22</v>
      </c>
      <c r="I193" t="s">
        <v>33</v>
      </c>
    </row>
    <row r="194" spans="1:9" x14ac:dyDescent="0.3">
      <c r="A194" t="str">
        <f t="shared" si="2"/>
        <v>CASE-0193</v>
      </c>
      <c r="B194" s="1">
        <v>45850</v>
      </c>
      <c r="C194" t="s">
        <v>10</v>
      </c>
      <c r="D194">
        <v>3</v>
      </c>
      <c r="E194" t="b">
        <v>1</v>
      </c>
      <c r="F194" s="2">
        <v>8.5298729130100153</v>
      </c>
      <c r="G194" t="b">
        <v>0</v>
      </c>
      <c r="H194" t="s">
        <v>26</v>
      </c>
      <c r="I194" t="s">
        <v>34</v>
      </c>
    </row>
    <row r="195" spans="1:9" x14ac:dyDescent="0.3">
      <c r="A195" t="str">
        <f t="shared" ref="A195:A258" si="3">"CASE-"&amp;TEXT(ROW()-1,"0000")</f>
        <v>CASE-0194</v>
      </c>
      <c r="B195" s="1">
        <v>45598</v>
      </c>
      <c r="C195" t="s">
        <v>9</v>
      </c>
      <c r="D195">
        <v>5</v>
      </c>
      <c r="E195" t="b">
        <v>0</v>
      </c>
      <c r="F195" s="2">
        <v>23.370879554487928</v>
      </c>
      <c r="G195" t="b">
        <v>0</v>
      </c>
      <c r="H195" t="s">
        <v>32</v>
      </c>
      <c r="I195" t="s">
        <v>33</v>
      </c>
    </row>
    <row r="196" spans="1:9" x14ac:dyDescent="0.3">
      <c r="A196" t="str">
        <f t="shared" si="3"/>
        <v>CASE-0195</v>
      </c>
      <c r="B196" s="1">
        <v>45992</v>
      </c>
      <c r="C196" t="s">
        <v>11</v>
      </c>
      <c r="D196">
        <v>4</v>
      </c>
      <c r="E196" t="b">
        <v>1</v>
      </c>
      <c r="F196" s="2">
        <v>7.9790696195665642</v>
      </c>
      <c r="G196" t="b">
        <v>0</v>
      </c>
      <c r="H196" t="s">
        <v>27</v>
      </c>
      <c r="I196" t="s">
        <v>34</v>
      </c>
    </row>
    <row r="197" spans="1:9" x14ac:dyDescent="0.3">
      <c r="A197" t="str">
        <f t="shared" si="3"/>
        <v>CASE-0196</v>
      </c>
      <c r="B197" s="1">
        <v>45526</v>
      </c>
      <c r="C197" t="s">
        <v>9</v>
      </c>
      <c r="D197">
        <v>2</v>
      </c>
      <c r="E197" t="b">
        <v>0</v>
      </c>
      <c r="F197" s="2">
        <v>38.495499161382646</v>
      </c>
      <c r="G197" t="b">
        <v>0</v>
      </c>
      <c r="H197" t="s">
        <v>17</v>
      </c>
      <c r="I197" t="s">
        <v>33</v>
      </c>
    </row>
    <row r="198" spans="1:9" x14ac:dyDescent="0.3">
      <c r="A198" t="str">
        <f t="shared" si="3"/>
        <v>CASE-0197</v>
      </c>
      <c r="B198" s="1">
        <v>45495</v>
      </c>
      <c r="C198" t="s">
        <v>12</v>
      </c>
      <c r="D198">
        <v>2</v>
      </c>
      <c r="E198" t="b">
        <v>0</v>
      </c>
      <c r="F198" s="2">
        <v>33.985162111152874</v>
      </c>
      <c r="G198" t="b">
        <v>0</v>
      </c>
      <c r="H198" t="s">
        <v>19</v>
      </c>
      <c r="I198" t="s">
        <v>33</v>
      </c>
    </row>
    <row r="199" spans="1:9" x14ac:dyDescent="0.3">
      <c r="A199" t="str">
        <f t="shared" si="3"/>
        <v>CASE-0198</v>
      </c>
      <c r="B199" s="1">
        <v>45491</v>
      </c>
      <c r="C199" t="s">
        <v>11</v>
      </c>
      <c r="D199">
        <v>3</v>
      </c>
      <c r="E199" t="b">
        <v>0</v>
      </c>
      <c r="F199" s="2">
        <v>26.752131272146194</v>
      </c>
      <c r="G199" t="b">
        <v>0</v>
      </c>
      <c r="H199" t="s">
        <v>32</v>
      </c>
      <c r="I199" t="s">
        <v>33</v>
      </c>
    </row>
    <row r="200" spans="1:9" x14ac:dyDescent="0.3">
      <c r="A200" t="str">
        <f t="shared" si="3"/>
        <v>CASE-0199</v>
      </c>
      <c r="B200" s="1">
        <v>45814</v>
      </c>
      <c r="C200" t="s">
        <v>12</v>
      </c>
      <c r="D200">
        <v>1</v>
      </c>
      <c r="E200" t="b">
        <v>1</v>
      </c>
      <c r="F200" s="2">
        <v>5.4192336260857523</v>
      </c>
      <c r="G200" t="b">
        <v>0</v>
      </c>
      <c r="H200" t="s">
        <v>26</v>
      </c>
      <c r="I200" t="s">
        <v>34</v>
      </c>
    </row>
    <row r="201" spans="1:9" x14ac:dyDescent="0.3">
      <c r="A201" t="str">
        <f t="shared" si="3"/>
        <v>CASE-0200</v>
      </c>
      <c r="B201" s="1">
        <v>45547</v>
      </c>
      <c r="C201" t="s">
        <v>11</v>
      </c>
      <c r="D201">
        <v>2</v>
      </c>
      <c r="E201" t="b">
        <v>0</v>
      </c>
      <c r="F201" s="2">
        <v>20.053355134179725</v>
      </c>
      <c r="G201" t="b">
        <v>0</v>
      </c>
      <c r="H201" t="s">
        <v>24</v>
      </c>
      <c r="I201" t="s">
        <v>33</v>
      </c>
    </row>
    <row r="202" spans="1:9" x14ac:dyDescent="0.3">
      <c r="A202" t="str">
        <f t="shared" si="3"/>
        <v>CASE-0201</v>
      </c>
      <c r="B202" s="1">
        <v>45866</v>
      </c>
      <c r="C202" t="s">
        <v>11</v>
      </c>
      <c r="D202">
        <v>1</v>
      </c>
      <c r="E202" t="b">
        <v>1</v>
      </c>
      <c r="F202" s="2">
        <v>5.097502415942115</v>
      </c>
      <c r="G202" t="b">
        <v>0</v>
      </c>
      <c r="H202" t="s">
        <v>20</v>
      </c>
      <c r="I202" t="s">
        <v>34</v>
      </c>
    </row>
    <row r="203" spans="1:9" x14ac:dyDescent="0.3">
      <c r="A203" t="str">
        <f t="shared" si="3"/>
        <v>CASE-0202</v>
      </c>
      <c r="B203" s="1">
        <v>45747</v>
      </c>
      <c r="C203" t="s">
        <v>11</v>
      </c>
      <c r="D203">
        <v>2</v>
      </c>
      <c r="E203" t="b">
        <v>1</v>
      </c>
      <c r="F203" s="2">
        <v>24.868240379147966</v>
      </c>
      <c r="G203" t="b">
        <v>0</v>
      </c>
      <c r="H203" t="s">
        <v>18</v>
      </c>
      <c r="I203" t="s">
        <v>33</v>
      </c>
    </row>
    <row r="204" spans="1:9" x14ac:dyDescent="0.3">
      <c r="A204" t="str">
        <f t="shared" si="3"/>
        <v>CASE-0203</v>
      </c>
      <c r="B204" s="1">
        <v>45519</v>
      </c>
      <c r="C204" t="s">
        <v>11</v>
      </c>
      <c r="D204">
        <v>5</v>
      </c>
      <c r="E204" t="b">
        <v>0</v>
      </c>
      <c r="F204" s="2">
        <v>13.593431222618447</v>
      </c>
      <c r="G204" t="b">
        <v>1</v>
      </c>
      <c r="H204" t="s">
        <v>16</v>
      </c>
      <c r="I204" t="s">
        <v>33</v>
      </c>
    </row>
    <row r="205" spans="1:9" x14ac:dyDescent="0.3">
      <c r="A205" t="str">
        <f t="shared" si="3"/>
        <v>CASE-0204</v>
      </c>
      <c r="B205" s="1">
        <v>45545</v>
      </c>
      <c r="C205" t="s">
        <v>12</v>
      </c>
      <c r="D205">
        <v>3</v>
      </c>
      <c r="E205" t="b">
        <v>0</v>
      </c>
      <c r="F205" s="2">
        <v>19.828082564671831</v>
      </c>
      <c r="G205" t="b">
        <v>0</v>
      </c>
      <c r="H205" t="s">
        <v>24</v>
      </c>
      <c r="I205" t="s">
        <v>33</v>
      </c>
    </row>
    <row r="206" spans="1:9" x14ac:dyDescent="0.3">
      <c r="A206" t="str">
        <f t="shared" si="3"/>
        <v>CASE-0205</v>
      </c>
      <c r="B206" s="1">
        <v>45897</v>
      </c>
      <c r="C206" t="s">
        <v>12</v>
      </c>
      <c r="D206">
        <v>2</v>
      </c>
      <c r="E206" t="b">
        <v>1</v>
      </c>
      <c r="F206" s="2">
        <v>6.0958804491978569</v>
      </c>
      <c r="G206" t="b">
        <v>0</v>
      </c>
      <c r="H206" t="s">
        <v>27</v>
      </c>
      <c r="I206" t="s">
        <v>34</v>
      </c>
    </row>
    <row r="207" spans="1:9" x14ac:dyDescent="0.3">
      <c r="A207" t="str">
        <f t="shared" si="3"/>
        <v>CASE-0206</v>
      </c>
      <c r="B207" s="1">
        <v>46020</v>
      </c>
      <c r="C207" t="s">
        <v>10</v>
      </c>
      <c r="D207">
        <v>3</v>
      </c>
      <c r="E207" t="b">
        <v>0</v>
      </c>
      <c r="F207" s="2">
        <v>29.052291304833865</v>
      </c>
      <c r="G207" t="b">
        <v>0</v>
      </c>
      <c r="H207" t="s">
        <v>16</v>
      </c>
      <c r="I207" t="s">
        <v>33</v>
      </c>
    </row>
    <row r="208" spans="1:9" x14ac:dyDescent="0.3">
      <c r="A208" t="str">
        <f t="shared" si="3"/>
        <v>CASE-0207</v>
      </c>
      <c r="B208" s="1">
        <v>45746</v>
      </c>
      <c r="C208" t="s">
        <v>12</v>
      </c>
      <c r="D208">
        <v>2</v>
      </c>
      <c r="E208" t="b">
        <v>1</v>
      </c>
      <c r="F208" s="2">
        <v>7.3326926856318329</v>
      </c>
      <c r="G208" t="b">
        <v>0</v>
      </c>
      <c r="H208" t="s">
        <v>21</v>
      </c>
      <c r="I208" t="s">
        <v>34</v>
      </c>
    </row>
    <row r="209" spans="1:9" x14ac:dyDescent="0.3">
      <c r="A209" t="str">
        <f t="shared" si="3"/>
        <v>CASE-0208</v>
      </c>
      <c r="B209" s="1">
        <v>45637</v>
      </c>
      <c r="C209" t="s">
        <v>10</v>
      </c>
      <c r="D209">
        <v>3</v>
      </c>
      <c r="E209" t="b">
        <v>0</v>
      </c>
      <c r="F209" s="2">
        <v>8.9026826964589034</v>
      </c>
      <c r="G209" t="b">
        <v>0</v>
      </c>
      <c r="H209" t="s">
        <v>15</v>
      </c>
      <c r="I209" t="s">
        <v>33</v>
      </c>
    </row>
    <row r="210" spans="1:9" x14ac:dyDescent="0.3">
      <c r="A210" t="str">
        <f t="shared" si="3"/>
        <v>CASE-0209</v>
      </c>
      <c r="B210" s="1">
        <v>45830</v>
      </c>
      <c r="C210" t="s">
        <v>10</v>
      </c>
      <c r="D210">
        <v>5</v>
      </c>
      <c r="E210" t="b">
        <v>1</v>
      </c>
      <c r="F210" s="2">
        <v>5.244943681158535</v>
      </c>
      <c r="G210" t="b">
        <v>0</v>
      </c>
      <c r="H210" t="s">
        <v>26</v>
      </c>
      <c r="I210" t="s">
        <v>34</v>
      </c>
    </row>
    <row r="211" spans="1:9" x14ac:dyDescent="0.3">
      <c r="A211" t="str">
        <f t="shared" si="3"/>
        <v>CASE-0210</v>
      </c>
      <c r="B211" s="1">
        <v>45661</v>
      </c>
      <c r="C211" t="s">
        <v>10</v>
      </c>
      <c r="D211">
        <v>2</v>
      </c>
      <c r="E211" t="b">
        <v>0</v>
      </c>
      <c r="F211" s="2">
        <v>5.397403119325844</v>
      </c>
      <c r="G211" t="b">
        <v>0</v>
      </c>
      <c r="H211" t="s">
        <v>17</v>
      </c>
      <c r="I211" t="s">
        <v>34</v>
      </c>
    </row>
    <row r="212" spans="1:9" x14ac:dyDescent="0.3">
      <c r="A212" t="str">
        <f t="shared" si="3"/>
        <v>CASE-0211</v>
      </c>
      <c r="B212" s="1">
        <v>45880</v>
      </c>
      <c r="C212" t="s">
        <v>10</v>
      </c>
      <c r="D212">
        <v>3</v>
      </c>
      <c r="E212" t="b">
        <v>1</v>
      </c>
      <c r="F212" s="2">
        <v>7.0595627186065686</v>
      </c>
      <c r="G212" t="b">
        <v>0</v>
      </c>
      <c r="H212" t="s">
        <v>20</v>
      </c>
      <c r="I212" t="s">
        <v>34</v>
      </c>
    </row>
    <row r="213" spans="1:9" x14ac:dyDescent="0.3">
      <c r="A213" t="str">
        <f t="shared" si="3"/>
        <v>CASE-0212</v>
      </c>
      <c r="B213" s="1">
        <v>45674</v>
      </c>
      <c r="C213" t="s">
        <v>10</v>
      </c>
      <c r="D213">
        <v>1</v>
      </c>
      <c r="E213" t="b">
        <v>1</v>
      </c>
      <c r="F213" s="2">
        <v>5.3725114583658531</v>
      </c>
      <c r="G213" t="b">
        <v>0</v>
      </c>
      <c r="H213" t="s">
        <v>13</v>
      </c>
      <c r="I213" t="s">
        <v>35</v>
      </c>
    </row>
    <row r="214" spans="1:9" x14ac:dyDescent="0.3">
      <c r="A214" t="str">
        <f t="shared" si="3"/>
        <v>CASE-0213</v>
      </c>
      <c r="B214" s="1">
        <v>46146</v>
      </c>
      <c r="C214" t="s">
        <v>9</v>
      </c>
      <c r="D214">
        <v>5</v>
      </c>
      <c r="E214" t="b">
        <v>1</v>
      </c>
      <c r="F214" s="2">
        <v>8.5565968337044787</v>
      </c>
      <c r="G214" t="b">
        <v>0</v>
      </c>
      <c r="H214" t="s">
        <v>18</v>
      </c>
      <c r="I214" t="s">
        <v>34</v>
      </c>
    </row>
    <row r="215" spans="1:9" x14ac:dyDescent="0.3">
      <c r="A215" t="str">
        <f t="shared" si="3"/>
        <v>CASE-0214</v>
      </c>
      <c r="B215" s="1">
        <v>45641</v>
      </c>
      <c r="C215" t="s">
        <v>11</v>
      </c>
      <c r="D215">
        <v>1</v>
      </c>
      <c r="E215" t="b">
        <v>0</v>
      </c>
      <c r="F215" s="2">
        <v>11.561884107211712</v>
      </c>
      <c r="G215" t="b">
        <v>0</v>
      </c>
      <c r="H215" t="s">
        <v>18</v>
      </c>
      <c r="I215" t="s">
        <v>33</v>
      </c>
    </row>
    <row r="216" spans="1:9" x14ac:dyDescent="0.3">
      <c r="A216" t="str">
        <f t="shared" si="3"/>
        <v>CASE-0215</v>
      </c>
      <c r="B216" s="1">
        <v>45533</v>
      </c>
      <c r="C216" t="s">
        <v>10</v>
      </c>
      <c r="D216">
        <v>4</v>
      </c>
      <c r="E216" t="b">
        <v>0</v>
      </c>
      <c r="F216" s="2">
        <v>50.348298808541436</v>
      </c>
      <c r="G216" t="b">
        <v>0</v>
      </c>
      <c r="H216" t="s">
        <v>13</v>
      </c>
      <c r="I216" t="s">
        <v>33</v>
      </c>
    </row>
    <row r="217" spans="1:9" x14ac:dyDescent="0.3">
      <c r="A217" t="str">
        <f t="shared" si="3"/>
        <v>CASE-0216</v>
      </c>
      <c r="B217" s="1">
        <v>45999</v>
      </c>
      <c r="C217" t="s">
        <v>11</v>
      </c>
      <c r="D217">
        <v>1</v>
      </c>
      <c r="E217" t="b">
        <v>0</v>
      </c>
      <c r="F217" s="2">
        <v>12.081730364881116</v>
      </c>
      <c r="G217" t="b">
        <v>0</v>
      </c>
      <c r="H217" t="s">
        <v>29</v>
      </c>
      <c r="I217" t="s">
        <v>33</v>
      </c>
    </row>
    <row r="218" spans="1:9" x14ac:dyDescent="0.3">
      <c r="A218" t="str">
        <f t="shared" si="3"/>
        <v>CASE-0217</v>
      </c>
      <c r="B218" s="1">
        <v>45851</v>
      </c>
      <c r="C218" t="s">
        <v>11</v>
      </c>
      <c r="D218">
        <v>1</v>
      </c>
      <c r="E218" t="b">
        <v>1</v>
      </c>
      <c r="F218" s="2">
        <v>20.428162943964956</v>
      </c>
      <c r="G218" t="b">
        <v>1</v>
      </c>
      <c r="H218" t="s">
        <v>17</v>
      </c>
      <c r="I218" t="s">
        <v>33</v>
      </c>
    </row>
    <row r="219" spans="1:9" x14ac:dyDescent="0.3">
      <c r="A219" t="str">
        <f t="shared" si="3"/>
        <v>CASE-0218</v>
      </c>
      <c r="B219" s="1">
        <v>45719</v>
      </c>
      <c r="C219" t="s">
        <v>12</v>
      </c>
      <c r="D219">
        <v>3</v>
      </c>
      <c r="E219" t="b">
        <v>1</v>
      </c>
      <c r="F219" s="2">
        <v>3.757594101316303</v>
      </c>
      <c r="G219" t="b">
        <v>0</v>
      </c>
      <c r="H219" t="s">
        <v>14</v>
      </c>
      <c r="I219" t="s">
        <v>34</v>
      </c>
    </row>
    <row r="220" spans="1:9" x14ac:dyDescent="0.3">
      <c r="A220" t="str">
        <f t="shared" si="3"/>
        <v>CASE-0219</v>
      </c>
      <c r="B220" s="1">
        <v>45959</v>
      </c>
      <c r="C220" t="s">
        <v>12</v>
      </c>
      <c r="D220">
        <v>4</v>
      </c>
      <c r="E220" t="b">
        <v>1</v>
      </c>
      <c r="F220" s="2">
        <v>3.7125930779845531</v>
      </c>
      <c r="G220" t="b">
        <v>0</v>
      </c>
      <c r="H220" t="s">
        <v>18</v>
      </c>
      <c r="I220" t="s">
        <v>34</v>
      </c>
    </row>
    <row r="221" spans="1:9" x14ac:dyDescent="0.3">
      <c r="A221" t="str">
        <f t="shared" si="3"/>
        <v>CASE-0220</v>
      </c>
      <c r="B221" s="1">
        <v>46016</v>
      </c>
      <c r="C221" t="s">
        <v>11</v>
      </c>
      <c r="D221">
        <v>2</v>
      </c>
      <c r="E221" t="b">
        <v>0</v>
      </c>
      <c r="F221" s="2">
        <v>10.728276297690176</v>
      </c>
      <c r="G221" t="b">
        <v>0</v>
      </c>
      <c r="H221" t="s">
        <v>27</v>
      </c>
      <c r="I221" t="s">
        <v>34</v>
      </c>
    </row>
    <row r="222" spans="1:9" x14ac:dyDescent="0.3">
      <c r="A222" t="str">
        <f t="shared" si="3"/>
        <v>CASE-0221</v>
      </c>
      <c r="B222" s="1">
        <v>45650</v>
      </c>
      <c r="C222" t="s">
        <v>12</v>
      </c>
      <c r="D222">
        <v>1</v>
      </c>
      <c r="E222" t="b">
        <v>0</v>
      </c>
      <c r="F222" s="2">
        <v>39.124965133401737</v>
      </c>
      <c r="G222" t="b">
        <v>0</v>
      </c>
      <c r="H222" t="s">
        <v>25</v>
      </c>
      <c r="I222" t="s">
        <v>33</v>
      </c>
    </row>
    <row r="223" spans="1:9" x14ac:dyDescent="0.3">
      <c r="A223" t="str">
        <f t="shared" si="3"/>
        <v>CASE-0222</v>
      </c>
      <c r="B223" s="1">
        <v>46079</v>
      </c>
      <c r="C223" t="s">
        <v>9</v>
      </c>
      <c r="D223">
        <v>5</v>
      </c>
      <c r="E223" t="b">
        <v>1</v>
      </c>
      <c r="F223" s="2">
        <v>1.2096433067115662</v>
      </c>
      <c r="G223" t="b">
        <v>0</v>
      </c>
      <c r="H223" t="s">
        <v>15</v>
      </c>
      <c r="I223" t="s">
        <v>34</v>
      </c>
    </row>
    <row r="224" spans="1:9" x14ac:dyDescent="0.3">
      <c r="A224" t="str">
        <f t="shared" si="3"/>
        <v>CASE-0223</v>
      </c>
      <c r="B224" s="1">
        <v>45543</v>
      </c>
      <c r="C224" t="s">
        <v>11</v>
      </c>
      <c r="D224">
        <v>1</v>
      </c>
      <c r="E224" t="b">
        <v>0</v>
      </c>
      <c r="F224" s="2">
        <v>28.509971046723916</v>
      </c>
      <c r="G224" t="b">
        <v>0</v>
      </c>
      <c r="H224" t="s">
        <v>32</v>
      </c>
      <c r="I224" t="s">
        <v>33</v>
      </c>
    </row>
    <row r="225" spans="1:9" x14ac:dyDescent="0.3">
      <c r="A225" t="str">
        <f t="shared" si="3"/>
        <v>CASE-0224</v>
      </c>
      <c r="B225" s="1">
        <v>45700</v>
      </c>
      <c r="C225" t="s">
        <v>10</v>
      </c>
      <c r="D225">
        <v>1</v>
      </c>
      <c r="E225" t="b">
        <v>1</v>
      </c>
      <c r="F225" s="2">
        <v>7.571997754304812</v>
      </c>
      <c r="G225" t="b">
        <v>0</v>
      </c>
      <c r="H225" t="s">
        <v>27</v>
      </c>
      <c r="I225" t="s">
        <v>34</v>
      </c>
    </row>
    <row r="226" spans="1:9" x14ac:dyDescent="0.3">
      <c r="A226" t="str">
        <f t="shared" si="3"/>
        <v>CASE-0225</v>
      </c>
      <c r="B226" s="1">
        <v>45918</v>
      </c>
      <c r="C226" t="s">
        <v>11</v>
      </c>
      <c r="D226">
        <v>1</v>
      </c>
      <c r="E226" t="b">
        <v>1</v>
      </c>
      <c r="F226" s="2">
        <v>9.6162208332945269</v>
      </c>
      <c r="G226" t="b">
        <v>0</v>
      </c>
      <c r="H226" t="s">
        <v>18</v>
      </c>
      <c r="I226" t="s">
        <v>34</v>
      </c>
    </row>
    <row r="227" spans="1:9" x14ac:dyDescent="0.3">
      <c r="A227" t="str">
        <f t="shared" si="3"/>
        <v>CASE-0226</v>
      </c>
      <c r="B227" s="1">
        <v>45548</v>
      </c>
      <c r="C227" t="s">
        <v>10</v>
      </c>
      <c r="D227">
        <v>4</v>
      </c>
      <c r="E227" t="b">
        <v>0</v>
      </c>
      <c r="F227" s="2">
        <v>25.085948663083617</v>
      </c>
      <c r="G227" t="b">
        <v>1</v>
      </c>
      <c r="H227" t="s">
        <v>25</v>
      </c>
      <c r="I227" t="s">
        <v>33</v>
      </c>
    </row>
    <row r="228" spans="1:9" x14ac:dyDescent="0.3">
      <c r="A228" t="str">
        <f t="shared" si="3"/>
        <v>CASE-0227</v>
      </c>
      <c r="B228" s="1">
        <v>46099</v>
      </c>
      <c r="C228" t="s">
        <v>11</v>
      </c>
      <c r="D228">
        <v>4</v>
      </c>
      <c r="E228" t="b">
        <v>1</v>
      </c>
      <c r="F228" s="2">
        <v>4.932861981180527</v>
      </c>
      <c r="G228" t="b">
        <v>0</v>
      </c>
      <c r="H228" t="s">
        <v>29</v>
      </c>
      <c r="I228" t="s">
        <v>34</v>
      </c>
    </row>
    <row r="229" spans="1:9" x14ac:dyDescent="0.3">
      <c r="A229" t="str">
        <f t="shared" si="3"/>
        <v>CASE-0228</v>
      </c>
      <c r="B229" s="1">
        <v>46163</v>
      </c>
      <c r="C229" t="s">
        <v>9</v>
      </c>
      <c r="D229">
        <v>1</v>
      </c>
      <c r="E229" t="b">
        <v>1</v>
      </c>
      <c r="F229" s="2">
        <v>32.119204336832325</v>
      </c>
      <c r="G229" t="b">
        <v>0</v>
      </c>
      <c r="H229" t="s">
        <v>28</v>
      </c>
      <c r="I229" t="s">
        <v>33</v>
      </c>
    </row>
    <row r="230" spans="1:9" x14ac:dyDescent="0.3">
      <c r="A230" t="str">
        <f t="shared" si="3"/>
        <v>CASE-0229</v>
      </c>
      <c r="B230" s="1">
        <v>45988</v>
      </c>
      <c r="C230" t="s">
        <v>10</v>
      </c>
      <c r="D230">
        <v>1</v>
      </c>
      <c r="E230" t="b">
        <v>1</v>
      </c>
      <c r="F230" s="2">
        <v>5.5976481573127232</v>
      </c>
      <c r="G230" t="b">
        <v>0</v>
      </c>
      <c r="H230" t="s">
        <v>31</v>
      </c>
      <c r="I230" t="s">
        <v>34</v>
      </c>
    </row>
    <row r="231" spans="1:9" x14ac:dyDescent="0.3">
      <c r="A231" t="str">
        <f t="shared" si="3"/>
        <v>CASE-0230</v>
      </c>
      <c r="B231" s="1">
        <v>45994</v>
      </c>
      <c r="C231" t="s">
        <v>12</v>
      </c>
      <c r="D231">
        <v>3</v>
      </c>
      <c r="E231" t="b">
        <v>1</v>
      </c>
      <c r="F231" s="2">
        <v>7.3167325355778665</v>
      </c>
      <c r="G231" t="b">
        <v>0</v>
      </c>
      <c r="H231" t="s">
        <v>13</v>
      </c>
      <c r="I231" t="s">
        <v>34</v>
      </c>
    </row>
    <row r="232" spans="1:9" x14ac:dyDescent="0.3">
      <c r="A232" t="str">
        <f t="shared" si="3"/>
        <v>CASE-0231</v>
      </c>
      <c r="B232" s="1">
        <v>45813</v>
      </c>
      <c r="C232" t="s">
        <v>12</v>
      </c>
      <c r="D232">
        <v>2</v>
      </c>
      <c r="E232" t="b">
        <v>1</v>
      </c>
      <c r="F232" s="2">
        <v>28.925887061202872</v>
      </c>
      <c r="G232" t="b">
        <v>0</v>
      </c>
      <c r="H232" t="s">
        <v>32</v>
      </c>
      <c r="I232" t="s">
        <v>33</v>
      </c>
    </row>
    <row r="233" spans="1:9" x14ac:dyDescent="0.3">
      <c r="A233" t="str">
        <f t="shared" si="3"/>
        <v>CASE-0232</v>
      </c>
      <c r="B233" s="1">
        <v>46004</v>
      </c>
      <c r="C233" t="s">
        <v>9</v>
      </c>
      <c r="D233">
        <v>4</v>
      </c>
      <c r="E233" t="b">
        <v>1</v>
      </c>
      <c r="F233" s="2">
        <v>29.810613753388921</v>
      </c>
      <c r="G233" t="b">
        <v>0</v>
      </c>
      <c r="H233" t="s">
        <v>16</v>
      </c>
      <c r="I233" t="s">
        <v>33</v>
      </c>
    </row>
    <row r="234" spans="1:9" x14ac:dyDescent="0.3">
      <c r="A234" t="str">
        <f t="shared" si="3"/>
        <v>CASE-0233</v>
      </c>
      <c r="B234" s="1">
        <v>45496</v>
      </c>
      <c r="C234" t="s">
        <v>10</v>
      </c>
      <c r="D234">
        <v>4</v>
      </c>
      <c r="E234" t="b">
        <v>0</v>
      </c>
      <c r="F234" s="2">
        <v>25.317977716760577</v>
      </c>
      <c r="G234" t="b">
        <v>0</v>
      </c>
      <c r="H234" t="s">
        <v>31</v>
      </c>
      <c r="I234" t="s">
        <v>33</v>
      </c>
    </row>
    <row r="235" spans="1:9" x14ac:dyDescent="0.3">
      <c r="A235" t="str">
        <f t="shared" si="3"/>
        <v>CASE-0234</v>
      </c>
      <c r="B235" s="1">
        <v>45743</v>
      </c>
      <c r="C235" t="s">
        <v>12</v>
      </c>
      <c r="D235">
        <v>2</v>
      </c>
      <c r="E235" t="b">
        <v>1</v>
      </c>
      <c r="F235" s="2">
        <v>0.12609180845537526</v>
      </c>
      <c r="G235" t="b">
        <v>0</v>
      </c>
      <c r="H235" t="s">
        <v>13</v>
      </c>
      <c r="I235" t="s">
        <v>34</v>
      </c>
    </row>
    <row r="236" spans="1:9" x14ac:dyDescent="0.3">
      <c r="A236" t="str">
        <f t="shared" si="3"/>
        <v>CASE-0235</v>
      </c>
      <c r="B236" s="1">
        <v>45923</v>
      </c>
      <c r="C236" t="s">
        <v>9</v>
      </c>
      <c r="D236">
        <v>4</v>
      </c>
      <c r="E236" t="b">
        <v>1</v>
      </c>
      <c r="F236" s="2">
        <v>8.3950863718498834</v>
      </c>
      <c r="G236" t="b">
        <v>0</v>
      </c>
      <c r="H236" t="s">
        <v>14</v>
      </c>
      <c r="I236" t="s">
        <v>34</v>
      </c>
    </row>
    <row r="237" spans="1:9" x14ac:dyDescent="0.3">
      <c r="A237" t="str">
        <f t="shared" si="3"/>
        <v>CASE-0236</v>
      </c>
      <c r="B237" s="1">
        <v>46117</v>
      </c>
      <c r="C237" t="s">
        <v>10</v>
      </c>
      <c r="D237">
        <v>2</v>
      </c>
      <c r="E237" t="b">
        <v>1</v>
      </c>
      <c r="F237" s="2">
        <v>3.0579534501825463</v>
      </c>
      <c r="G237" t="b">
        <v>0</v>
      </c>
      <c r="H237" t="s">
        <v>24</v>
      </c>
      <c r="I237" t="s">
        <v>34</v>
      </c>
    </row>
    <row r="238" spans="1:9" x14ac:dyDescent="0.3">
      <c r="A238" t="str">
        <f t="shared" si="3"/>
        <v>CASE-0237</v>
      </c>
      <c r="B238" s="1">
        <v>45820</v>
      </c>
      <c r="C238" t="s">
        <v>10</v>
      </c>
      <c r="D238">
        <v>1</v>
      </c>
      <c r="E238" t="b">
        <v>1</v>
      </c>
      <c r="F238" s="2">
        <v>8.2441410632493568</v>
      </c>
      <c r="G238" t="b">
        <v>0</v>
      </c>
      <c r="H238" t="s">
        <v>18</v>
      </c>
      <c r="I238" t="s">
        <v>34</v>
      </c>
    </row>
    <row r="239" spans="1:9" x14ac:dyDescent="0.3">
      <c r="A239" t="str">
        <f t="shared" si="3"/>
        <v>CASE-0238</v>
      </c>
      <c r="B239" s="1">
        <v>46161</v>
      </c>
      <c r="C239" t="s">
        <v>9</v>
      </c>
      <c r="D239">
        <v>1</v>
      </c>
      <c r="E239" t="b">
        <v>1</v>
      </c>
      <c r="F239" s="2">
        <v>6.0015105745619817</v>
      </c>
      <c r="G239" t="b">
        <v>0</v>
      </c>
      <c r="H239" t="s">
        <v>29</v>
      </c>
      <c r="I239" t="s">
        <v>34</v>
      </c>
    </row>
    <row r="240" spans="1:9" x14ac:dyDescent="0.3">
      <c r="A240" t="str">
        <f t="shared" si="3"/>
        <v>CASE-0239</v>
      </c>
      <c r="B240" s="1">
        <v>45731</v>
      </c>
      <c r="C240" t="s">
        <v>10</v>
      </c>
      <c r="D240">
        <v>5</v>
      </c>
      <c r="E240" t="b">
        <v>0</v>
      </c>
      <c r="F240" s="2">
        <v>6.9993491108428678</v>
      </c>
      <c r="G240" t="b">
        <v>0</v>
      </c>
      <c r="H240" t="s">
        <v>28</v>
      </c>
      <c r="I240" t="s">
        <v>34</v>
      </c>
    </row>
    <row r="241" spans="1:9" x14ac:dyDescent="0.3">
      <c r="A241" t="str">
        <f t="shared" si="3"/>
        <v>CASE-0240</v>
      </c>
      <c r="B241" s="1">
        <v>45656</v>
      </c>
      <c r="C241" t="s">
        <v>12</v>
      </c>
      <c r="D241">
        <v>3</v>
      </c>
      <c r="E241" t="b">
        <v>0</v>
      </c>
      <c r="F241" s="2">
        <v>21.742623002393323</v>
      </c>
      <c r="G241" t="b">
        <v>0</v>
      </c>
      <c r="H241" t="s">
        <v>14</v>
      </c>
      <c r="I241" t="s">
        <v>33</v>
      </c>
    </row>
    <row r="242" spans="1:9" x14ac:dyDescent="0.3">
      <c r="A242" t="str">
        <f t="shared" si="3"/>
        <v>CASE-0241</v>
      </c>
      <c r="B242" s="1">
        <v>45660</v>
      </c>
      <c r="C242" t="s">
        <v>11</v>
      </c>
      <c r="D242">
        <v>2</v>
      </c>
      <c r="E242" t="b">
        <v>1</v>
      </c>
      <c r="F242" s="2">
        <v>22.214212225771298</v>
      </c>
      <c r="G242" t="b">
        <v>0</v>
      </c>
      <c r="H242" t="s">
        <v>21</v>
      </c>
      <c r="I242" t="s">
        <v>33</v>
      </c>
    </row>
    <row r="243" spans="1:9" x14ac:dyDescent="0.3">
      <c r="A243" t="str">
        <f t="shared" si="3"/>
        <v>CASE-0242</v>
      </c>
      <c r="B243" s="1">
        <v>45509</v>
      </c>
      <c r="C243" t="s">
        <v>12</v>
      </c>
      <c r="D243">
        <v>3</v>
      </c>
      <c r="E243" t="b">
        <v>0</v>
      </c>
      <c r="F243" s="2">
        <v>23.510756026880458</v>
      </c>
      <c r="G243" t="b">
        <v>0</v>
      </c>
      <c r="H243" t="s">
        <v>19</v>
      </c>
      <c r="I243" t="s">
        <v>33</v>
      </c>
    </row>
    <row r="244" spans="1:9" x14ac:dyDescent="0.3">
      <c r="A244" t="str">
        <f t="shared" si="3"/>
        <v>CASE-0243</v>
      </c>
      <c r="B244" s="1">
        <v>46120</v>
      </c>
      <c r="C244" t="s">
        <v>11</v>
      </c>
      <c r="D244">
        <v>3</v>
      </c>
      <c r="E244" t="b">
        <v>1</v>
      </c>
      <c r="F244" s="2">
        <v>2.8264797066914911</v>
      </c>
      <c r="G244" t="b">
        <v>0</v>
      </c>
      <c r="H244" t="s">
        <v>26</v>
      </c>
      <c r="I244" t="s">
        <v>35</v>
      </c>
    </row>
    <row r="245" spans="1:9" x14ac:dyDescent="0.3">
      <c r="A245" t="str">
        <f t="shared" si="3"/>
        <v>CASE-0244</v>
      </c>
      <c r="B245" s="1">
        <v>45746</v>
      </c>
      <c r="C245" t="s">
        <v>12</v>
      </c>
      <c r="D245">
        <v>4</v>
      </c>
      <c r="E245" t="b">
        <v>1</v>
      </c>
      <c r="F245" s="2">
        <v>3.7875906150499907</v>
      </c>
      <c r="G245" t="b">
        <v>0</v>
      </c>
      <c r="H245" t="s">
        <v>19</v>
      </c>
      <c r="I245" t="s">
        <v>34</v>
      </c>
    </row>
    <row r="246" spans="1:9" x14ac:dyDescent="0.3">
      <c r="A246" t="str">
        <f t="shared" si="3"/>
        <v>CASE-0245</v>
      </c>
      <c r="B246" s="1">
        <v>45959</v>
      </c>
      <c r="C246" t="s">
        <v>9</v>
      </c>
      <c r="D246">
        <v>1</v>
      </c>
      <c r="E246" t="b">
        <v>1</v>
      </c>
      <c r="F246" s="2">
        <v>6.3312957768748621</v>
      </c>
      <c r="G246" t="b">
        <v>0</v>
      </c>
      <c r="H246" t="s">
        <v>32</v>
      </c>
      <c r="I246" t="s">
        <v>34</v>
      </c>
    </row>
    <row r="247" spans="1:9" x14ac:dyDescent="0.3">
      <c r="A247" t="str">
        <f t="shared" si="3"/>
        <v>CASE-0246</v>
      </c>
      <c r="B247" s="1">
        <v>45640</v>
      </c>
      <c r="C247" t="s">
        <v>10</v>
      </c>
      <c r="D247">
        <v>4</v>
      </c>
      <c r="E247" t="b">
        <v>0</v>
      </c>
      <c r="F247" s="2">
        <v>39.168127252137253</v>
      </c>
      <c r="G247" t="b">
        <v>0</v>
      </c>
      <c r="H247" t="s">
        <v>32</v>
      </c>
      <c r="I247" t="s">
        <v>33</v>
      </c>
    </row>
    <row r="248" spans="1:9" x14ac:dyDescent="0.3">
      <c r="A248" t="str">
        <f t="shared" si="3"/>
        <v>CASE-0247</v>
      </c>
      <c r="B248" s="1">
        <v>46196</v>
      </c>
      <c r="C248" t="s">
        <v>9</v>
      </c>
      <c r="D248">
        <v>2</v>
      </c>
      <c r="E248" t="b">
        <v>1</v>
      </c>
      <c r="F248" s="2">
        <v>7.351059219105692</v>
      </c>
      <c r="G248" t="b">
        <v>0</v>
      </c>
      <c r="H248" t="s">
        <v>17</v>
      </c>
      <c r="I248" t="s">
        <v>34</v>
      </c>
    </row>
    <row r="249" spans="1:9" x14ac:dyDescent="0.3">
      <c r="A249" t="str">
        <f t="shared" si="3"/>
        <v>CASE-0248</v>
      </c>
      <c r="B249" s="1">
        <v>45883</v>
      </c>
      <c r="C249" t="s">
        <v>12</v>
      </c>
      <c r="D249">
        <v>4</v>
      </c>
      <c r="E249" t="b">
        <v>1</v>
      </c>
      <c r="F249" s="2">
        <v>6.1637991756378323</v>
      </c>
      <c r="G249" t="b">
        <v>0</v>
      </c>
      <c r="H249" t="s">
        <v>16</v>
      </c>
      <c r="I249" t="s">
        <v>34</v>
      </c>
    </row>
    <row r="250" spans="1:9" x14ac:dyDescent="0.3">
      <c r="A250" t="str">
        <f t="shared" si="3"/>
        <v>CASE-0249</v>
      </c>
      <c r="B250" s="1">
        <v>45582</v>
      </c>
      <c r="C250" t="s">
        <v>10</v>
      </c>
      <c r="D250">
        <v>1</v>
      </c>
      <c r="E250" t="b">
        <v>0</v>
      </c>
      <c r="F250" s="2">
        <v>30.847326311650725</v>
      </c>
      <c r="G250" t="b">
        <v>0</v>
      </c>
      <c r="H250" t="s">
        <v>13</v>
      </c>
      <c r="I250" t="s">
        <v>33</v>
      </c>
    </row>
    <row r="251" spans="1:9" x14ac:dyDescent="0.3">
      <c r="A251" t="str">
        <f t="shared" si="3"/>
        <v>CASE-0250</v>
      </c>
      <c r="B251" s="1">
        <v>45759</v>
      </c>
      <c r="C251" t="s">
        <v>12</v>
      </c>
      <c r="D251">
        <v>3</v>
      </c>
      <c r="E251" t="b">
        <v>1</v>
      </c>
      <c r="F251" s="2">
        <v>7.3581659271493454</v>
      </c>
      <c r="G251" t="b">
        <v>0</v>
      </c>
      <c r="H251" t="s">
        <v>13</v>
      </c>
      <c r="I251" t="s">
        <v>34</v>
      </c>
    </row>
    <row r="252" spans="1:9" x14ac:dyDescent="0.3">
      <c r="A252" t="str">
        <f t="shared" si="3"/>
        <v>CASE-0251</v>
      </c>
      <c r="B252" s="1">
        <v>46027</v>
      </c>
      <c r="C252" t="s">
        <v>11</v>
      </c>
      <c r="D252">
        <v>1</v>
      </c>
      <c r="E252" t="b">
        <v>1</v>
      </c>
      <c r="F252" s="2">
        <v>9.1387548262628595</v>
      </c>
      <c r="G252" t="b">
        <v>0</v>
      </c>
      <c r="H252" t="s">
        <v>29</v>
      </c>
      <c r="I252" t="s">
        <v>34</v>
      </c>
    </row>
    <row r="253" spans="1:9" x14ac:dyDescent="0.3">
      <c r="A253" t="str">
        <f t="shared" si="3"/>
        <v>CASE-0252</v>
      </c>
      <c r="B253" s="1">
        <v>45876</v>
      </c>
      <c r="C253" t="s">
        <v>12</v>
      </c>
      <c r="D253">
        <v>4</v>
      </c>
      <c r="E253" t="b">
        <v>1</v>
      </c>
      <c r="F253" s="2">
        <v>6.3358453045471457</v>
      </c>
      <c r="G253" t="b">
        <v>0</v>
      </c>
      <c r="H253" t="s">
        <v>14</v>
      </c>
      <c r="I253" t="s">
        <v>34</v>
      </c>
    </row>
    <row r="254" spans="1:9" x14ac:dyDescent="0.3">
      <c r="A254" t="str">
        <f t="shared" si="3"/>
        <v>CASE-0253</v>
      </c>
      <c r="B254" s="1">
        <v>45749</v>
      </c>
      <c r="C254" t="s">
        <v>11</v>
      </c>
      <c r="D254">
        <v>3</v>
      </c>
      <c r="E254" t="b">
        <v>1</v>
      </c>
      <c r="F254" s="2">
        <v>6.0074536017750741</v>
      </c>
      <c r="G254" t="b">
        <v>0</v>
      </c>
      <c r="H254" t="s">
        <v>26</v>
      </c>
      <c r="I254" t="s">
        <v>34</v>
      </c>
    </row>
    <row r="255" spans="1:9" x14ac:dyDescent="0.3">
      <c r="A255" t="str">
        <f t="shared" si="3"/>
        <v>CASE-0254</v>
      </c>
      <c r="B255" s="1">
        <v>45551</v>
      </c>
      <c r="C255" t="s">
        <v>9</v>
      </c>
      <c r="D255">
        <v>3</v>
      </c>
      <c r="E255" t="b">
        <v>0</v>
      </c>
      <c r="F255" s="2">
        <v>25.585469244238979</v>
      </c>
      <c r="G255" t="b">
        <v>0</v>
      </c>
      <c r="H255" t="s">
        <v>30</v>
      </c>
      <c r="I255" t="s">
        <v>33</v>
      </c>
    </row>
    <row r="256" spans="1:9" x14ac:dyDescent="0.3">
      <c r="A256" t="str">
        <f t="shared" si="3"/>
        <v>CASE-0255</v>
      </c>
      <c r="B256" s="1">
        <v>45647</v>
      </c>
      <c r="C256" t="s">
        <v>12</v>
      </c>
      <c r="D256">
        <v>5</v>
      </c>
      <c r="E256" t="b">
        <v>0</v>
      </c>
      <c r="F256" s="2">
        <v>20.82999816470948</v>
      </c>
      <c r="G256" t="b">
        <v>0</v>
      </c>
      <c r="H256" t="s">
        <v>31</v>
      </c>
      <c r="I256" t="s">
        <v>33</v>
      </c>
    </row>
    <row r="257" spans="1:9" x14ac:dyDescent="0.3">
      <c r="A257" t="str">
        <f t="shared" si="3"/>
        <v>CASE-0256</v>
      </c>
      <c r="B257" s="1">
        <v>45530</v>
      </c>
      <c r="C257" t="s">
        <v>12</v>
      </c>
      <c r="D257">
        <v>5</v>
      </c>
      <c r="E257" t="b">
        <v>0</v>
      </c>
      <c r="F257" s="2">
        <v>23.334435690461358</v>
      </c>
      <c r="G257" t="b">
        <v>0</v>
      </c>
      <c r="H257" t="s">
        <v>30</v>
      </c>
      <c r="I257" t="s">
        <v>33</v>
      </c>
    </row>
    <row r="258" spans="1:9" x14ac:dyDescent="0.3">
      <c r="A258" t="str">
        <f t="shared" si="3"/>
        <v>CASE-0257</v>
      </c>
      <c r="B258" s="1">
        <v>45675</v>
      </c>
      <c r="C258" t="s">
        <v>11</v>
      </c>
      <c r="D258">
        <v>5</v>
      </c>
      <c r="E258" t="b">
        <v>1</v>
      </c>
      <c r="F258" s="2">
        <v>7.7835846178572892</v>
      </c>
      <c r="G258" t="b">
        <v>0</v>
      </c>
      <c r="H258" t="s">
        <v>22</v>
      </c>
      <c r="I258" t="s">
        <v>34</v>
      </c>
    </row>
    <row r="259" spans="1:9" x14ac:dyDescent="0.3">
      <c r="A259" t="str">
        <f t="shared" ref="A259:A322" si="4">"CASE-"&amp;TEXT(ROW()-1,"0000")</f>
        <v>CASE-0258</v>
      </c>
      <c r="B259" s="1">
        <v>45529</v>
      </c>
      <c r="C259" t="s">
        <v>10</v>
      </c>
      <c r="D259">
        <v>3</v>
      </c>
      <c r="E259" t="b">
        <v>0</v>
      </c>
      <c r="F259" s="2">
        <v>16.643496291868452</v>
      </c>
      <c r="G259" t="b">
        <v>0</v>
      </c>
      <c r="H259" t="s">
        <v>27</v>
      </c>
      <c r="I259" t="s">
        <v>33</v>
      </c>
    </row>
    <row r="260" spans="1:9" x14ac:dyDescent="0.3">
      <c r="A260" t="str">
        <f t="shared" si="4"/>
        <v>CASE-0259</v>
      </c>
      <c r="B260" s="1">
        <v>45945</v>
      </c>
      <c r="C260" t="s">
        <v>10</v>
      </c>
      <c r="D260">
        <v>3</v>
      </c>
      <c r="E260" t="b">
        <v>1</v>
      </c>
      <c r="F260" s="2">
        <v>4.383116039008546</v>
      </c>
      <c r="G260" t="b">
        <v>0</v>
      </c>
      <c r="H260" t="s">
        <v>17</v>
      </c>
      <c r="I260" t="s">
        <v>34</v>
      </c>
    </row>
    <row r="261" spans="1:9" x14ac:dyDescent="0.3">
      <c r="A261" t="str">
        <f t="shared" si="4"/>
        <v>CASE-0260</v>
      </c>
      <c r="B261" s="1">
        <v>45807</v>
      </c>
      <c r="C261" t="s">
        <v>10</v>
      </c>
      <c r="D261">
        <v>3</v>
      </c>
      <c r="E261" t="b">
        <v>0</v>
      </c>
      <c r="F261" s="2">
        <v>5.2985061044147015</v>
      </c>
      <c r="G261" t="b">
        <v>0</v>
      </c>
      <c r="H261" t="s">
        <v>21</v>
      </c>
      <c r="I261" t="s">
        <v>34</v>
      </c>
    </row>
    <row r="262" spans="1:9" x14ac:dyDescent="0.3">
      <c r="A262" t="str">
        <f t="shared" si="4"/>
        <v>CASE-0261</v>
      </c>
      <c r="B262" s="1">
        <v>45749</v>
      </c>
      <c r="C262" t="s">
        <v>12</v>
      </c>
      <c r="D262">
        <v>2</v>
      </c>
      <c r="E262" t="b">
        <v>0</v>
      </c>
      <c r="F262" s="2">
        <v>6.1847854110005862</v>
      </c>
      <c r="G262" t="b">
        <v>0</v>
      </c>
      <c r="H262" t="s">
        <v>23</v>
      </c>
      <c r="I262" t="s">
        <v>34</v>
      </c>
    </row>
    <row r="263" spans="1:9" x14ac:dyDescent="0.3">
      <c r="A263" t="str">
        <f t="shared" si="4"/>
        <v>CASE-0262</v>
      </c>
      <c r="B263" s="1">
        <v>45934</v>
      </c>
      <c r="C263" t="s">
        <v>9</v>
      </c>
      <c r="D263">
        <v>1</v>
      </c>
      <c r="E263" t="b">
        <v>1</v>
      </c>
      <c r="F263" s="2">
        <v>1.7217251295055824</v>
      </c>
      <c r="G263" t="b">
        <v>0</v>
      </c>
      <c r="H263" t="s">
        <v>19</v>
      </c>
      <c r="I263" t="s">
        <v>33</v>
      </c>
    </row>
    <row r="264" spans="1:9" x14ac:dyDescent="0.3">
      <c r="A264" t="str">
        <f t="shared" si="4"/>
        <v>CASE-0263</v>
      </c>
      <c r="B264" s="1">
        <v>45536</v>
      </c>
      <c r="C264" t="s">
        <v>9</v>
      </c>
      <c r="D264">
        <v>5</v>
      </c>
      <c r="E264" t="b">
        <v>0</v>
      </c>
      <c r="F264" s="2">
        <v>22.915664005294012</v>
      </c>
      <c r="G264" t="b">
        <v>0</v>
      </c>
      <c r="H264" t="s">
        <v>19</v>
      </c>
      <c r="I264" t="s">
        <v>33</v>
      </c>
    </row>
    <row r="265" spans="1:9" x14ac:dyDescent="0.3">
      <c r="A265" t="str">
        <f t="shared" si="4"/>
        <v>CASE-0264</v>
      </c>
      <c r="B265" s="1">
        <v>45953</v>
      </c>
      <c r="C265" t="s">
        <v>9</v>
      </c>
      <c r="D265">
        <v>3</v>
      </c>
      <c r="E265" t="b">
        <v>1</v>
      </c>
      <c r="F265" s="2">
        <v>27.039627852889225</v>
      </c>
      <c r="G265" t="b">
        <v>0</v>
      </c>
      <c r="H265" t="s">
        <v>22</v>
      </c>
      <c r="I265" t="s">
        <v>33</v>
      </c>
    </row>
    <row r="266" spans="1:9" x14ac:dyDescent="0.3">
      <c r="A266" t="str">
        <f t="shared" si="4"/>
        <v>CASE-0265</v>
      </c>
      <c r="B266" s="1">
        <v>45773</v>
      </c>
      <c r="C266" t="s">
        <v>12</v>
      </c>
      <c r="D266">
        <v>4</v>
      </c>
      <c r="E266" t="b">
        <v>0</v>
      </c>
      <c r="F266" s="2">
        <v>6.893486547540145</v>
      </c>
      <c r="G266" t="b">
        <v>0</v>
      </c>
      <c r="H266" t="s">
        <v>24</v>
      </c>
      <c r="I266" t="s">
        <v>34</v>
      </c>
    </row>
    <row r="267" spans="1:9" x14ac:dyDescent="0.3">
      <c r="A267" t="str">
        <f t="shared" si="4"/>
        <v>CASE-0266</v>
      </c>
      <c r="B267" s="1">
        <v>45908</v>
      </c>
      <c r="C267" t="s">
        <v>9</v>
      </c>
      <c r="D267">
        <v>5</v>
      </c>
      <c r="E267" t="b">
        <v>1</v>
      </c>
      <c r="F267" s="2">
        <v>23.582410904964725</v>
      </c>
      <c r="G267" t="b">
        <v>0</v>
      </c>
      <c r="H267" t="s">
        <v>19</v>
      </c>
      <c r="I267" t="s">
        <v>33</v>
      </c>
    </row>
    <row r="268" spans="1:9" x14ac:dyDescent="0.3">
      <c r="A268" t="str">
        <f t="shared" si="4"/>
        <v>CASE-0267</v>
      </c>
      <c r="B268" s="1">
        <v>45770</v>
      </c>
      <c r="C268" t="s">
        <v>12</v>
      </c>
      <c r="D268">
        <v>5</v>
      </c>
      <c r="E268" t="b">
        <v>0</v>
      </c>
      <c r="F268" s="2">
        <v>6.3981772847981553</v>
      </c>
      <c r="G268" t="b">
        <v>0</v>
      </c>
      <c r="H268" t="s">
        <v>24</v>
      </c>
      <c r="I268" t="s">
        <v>34</v>
      </c>
    </row>
    <row r="269" spans="1:9" x14ac:dyDescent="0.3">
      <c r="A269" t="str">
        <f t="shared" si="4"/>
        <v>CASE-0268</v>
      </c>
      <c r="B269" s="1">
        <v>45628</v>
      </c>
      <c r="C269" t="s">
        <v>12</v>
      </c>
      <c r="D269">
        <v>3</v>
      </c>
      <c r="E269" t="b">
        <v>0</v>
      </c>
      <c r="F269" s="2">
        <v>34.014255496913869</v>
      </c>
      <c r="G269" t="b">
        <v>0</v>
      </c>
      <c r="H269" t="s">
        <v>24</v>
      </c>
      <c r="I269" t="s">
        <v>33</v>
      </c>
    </row>
    <row r="270" spans="1:9" x14ac:dyDescent="0.3">
      <c r="A270" t="str">
        <f t="shared" si="4"/>
        <v>CASE-0269</v>
      </c>
      <c r="B270" s="1">
        <v>45653</v>
      </c>
      <c r="C270" t="s">
        <v>12</v>
      </c>
      <c r="D270">
        <v>5</v>
      </c>
      <c r="E270" t="b">
        <v>0</v>
      </c>
      <c r="F270" s="2">
        <v>25.930128648496108</v>
      </c>
      <c r="G270" t="b">
        <v>0</v>
      </c>
      <c r="H270" t="s">
        <v>29</v>
      </c>
      <c r="I270" t="s">
        <v>33</v>
      </c>
    </row>
    <row r="271" spans="1:9" x14ac:dyDescent="0.3">
      <c r="A271" t="str">
        <f t="shared" si="4"/>
        <v>CASE-0270</v>
      </c>
      <c r="B271" s="1">
        <v>45917</v>
      </c>
      <c r="C271" t="s">
        <v>12</v>
      </c>
      <c r="D271">
        <v>5</v>
      </c>
      <c r="E271" t="b">
        <v>0</v>
      </c>
      <c r="F271" s="2">
        <v>5.9553669761212005</v>
      </c>
      <c r="G271" t="b">
        <v>0</v>
      </c>
      <c r="H271" t="s">
        <v>25</v>
      </c>
      <c r="I271" t="s">
        <v>34</v>
      </c>
    </row>
    <row r="272" spans="1:9" x14ac:dyDescent="0.3">
      <c r="A272" t="str">
        <f t="shared" si="4"/>
        <v>CASE-0271</v>
      </c>
      <c r="B272" s="1">
        <v>45900</v>
      </c>
      <c r="C272" t="s">
        <v>9</v>
      </c>
      <c r="D272">
        <v>1</v>
      </c>
      <c r="E272" t="b">
        <v>1</v>
      </c>
      <c r="F272" s="2">
        <v>5.9055564160281468</v>
      </c>
      <c r="G272" t="b">
        <v>0</v>
      </c>
      <c r="H272" t="s">
        <v>22</v>
      </c>
      <c r="I272" t="s">
        <v>34</v>
      </c>
    </row>
    <row r="273" spans="1:9" x14ac:dyDescent="0.3">
      <c r="A273" t="str">
        <f t="shared" si="4"/>
        <v>CASE-0272</v>
      </c>
      <c r="B273" s="1">
        <v>45991</v>
      </c>
      <c r="C273" t="s">
        <v>9</v>
      </c>
      <c r="D273">
        <v>2</v>
      </c>
      <c r="E273" t="b">
        <v>0</v>
      </c>
      <c r="F273" s="2">
        <v>4.4914767564030988</v>
      </c>
      <c r="G273" t="b">
        <v>0</v>
      </c>
      <c r="H273" t="s">
        <v>21</v>
      </c>
      <c r="I273" t="s">
        <v>34</v>
      </c>
    </row>
    <row r="274" spans="1:9" x14ac:dyDescent="0.3">
      <c r="A274" t="str">
        <f t="shared" si="4"/>
        <v>CASE-0273</v>
      </c>
      <c r="B274" s="1">
        <v>45573</v>
      </c>
      <c r="C274" t="s">
        <v>10</v>
      </c>
      <c r="D274">
        <v>5</v>
      </c>
      <c r="E274" t="b">
        <v>0</v>
      </c>
      <c r="F274" s="2">
        <v>27.869998705509701</v>
      </c>
      <c r="G274" t="b">
        <v>0</v>
      </c>
      <c r="H274" t="s">
        <v>23</v>
      </c>
      <c r="I274" t="s">
        <v>33</v>
      </c>
    </row>
    <row r="275" spans="1:9" x14ac:dyDescent="0.3">
      <c r="A275" t="str">
        <f t="shared" si="4"/>
        <v>CASE-0274</v>
      </c>
      <c r="B275" s="1">
        <v>45903</v>
      </c>
      <c r="C275" t="s">
        <v>10</v>
      </c>
      <c r="D275">
        <v>1</v>
      </c>
      <c r="E275" t="b">
        <v>1</v>
      </c>
      <c r="F275" s="2">
        <v>27.089664090904158</v>
      </c>
      <c r="G275" t="b">
        <v>0</v>
      </c>
      <c r="H275" t="s">
        <v>24</v>
      </c>
      <c r="I275" t="s">
        <v>33</v>
      </c>
    </row>
    <row r="276" spans="1:9" x14ac:dyDescent="0.3">
      <c r="A276" t="str">
        <f t="shared" si="4"/>
        <v>CASE-0275</v>
      </c>
      <c r="B276" s="1">
        <v>45771</v>
      </c>
      <c r="C276" t="s">
        <v>9</v>
      </c>
      <c r="D276">
        <v>2</v>
      </c>
      <c r="E276" t="b">
        <v>1</v>
      </c>
      <c r="F276" s="2">
        <v>8.2545904966576007</v>
      </c>
      <c r="G276" t="b">
        <v>0</v>
      </c>
      <c r="H276" t="s">
        <v>32</v>
      </c>
      <c r="I276" t="s">
        <v>34</v>
      </c>
    </row>
    <row r="277" spans="1:9" x14ac:dyDescent="0.3">
      <c r="A277" t="str">
        <f t="shared" si="4"/>
        <v>CASE-0276</v>
      </c>
      <c r="B277" s="1">
        <v>46202</v>
      </c>
      <c r="C277" t="s">
        <v>9</v>
      </c>
      <c r="D277">
        <v>4</v>
      </c>
      <c r="E277" t="b">
        <v>1</v>
      </c>
      <c r="F277" s="2">
        <v>21.437043847786747</v>
      </c>
      <c r="G277" t="b">
        <v>0</v>
      </c>
      <c r="H277" t="s">
        <v>31</v>
      </c>
      <c r="I277" t="s">
        <v>33</v>
      </c>
    </row>
    <row r="278" spans="1:9" x14ac:dyDescent="0.3">
      <c r="A278" t="str">
        <f t="shared" si="4"/>
        <v>CASE-0277</v>
      </c>
      <c r="B278" s="1">
        <v>46125</v>
      </c>
      <c r="C278" t="s">
        <v>12</v>
      </c>
      <c r="D278">
        <v>4</v>
      </c>
      <c r="E278" t="b">
        <v>1</v>
      </c>
      <c r="F278" s="2">
        <v>7.762912831303443</v>
      </c>
      <c r="G278" t="b">
        <v>0</v>
      </c>
      <c r="H278" t="s">
        <v>26</v>
      </c>
      <c r="I278" t="s">
        <v>34</v>
      </c>
    </row>
    <row r="279" spans="1:9" x14ac:dyDescent="0.3">
      <c r="A279" t="str">
        <f t="shared" si="4"/>
        <v>CASE-0278</v>
      </c>
      <c r="B279" s="1">
        <v>46177</v>
      </c>
      <c r="C279" t="s">
        <v>9</v>
      </c>
      <c r="D279">
        <v>3</v>
      </c>
      <c r="E279" t="b">
        <v>1</v>
      </c>
      <c r="F279" s="2">
        <v>4.8982687251454271</v>
      </c>
      <c r="G279" t="b">
        <v>0</v>
      </c>
      <c r="H279" t="s">
        <v>15</v>
      </c>
      <c r="I279" t="s">
        <v>34</v>
      </c>
    </row>
    <row r="280" spans="1:9" x14ac:dyDescent="0.3">
      <c r="A280" t="str">
        <f t="shared" si="4"/>
        <v>CASE-0279</v>
      </c>
      <c r="B280" s="1">
        <v>46069</v>
      </c>
      <c r="C280" t="s">
        <v>12</v>
      </c>
      <c r="D280">
        <v>4</v>
      </c>
      <c r="E280" t="b">
        <v>1</v>
      </c>
      <c r="F280" s="2">
        <v>6.6400818473721577</v>
      </c>
      <c r="G280" t="b">
        <v>0</v>
      </c>
      <c r="H280" t="s">
        <v>19</v>
      </c>
      <c r="I280" t="s">
        <v>34</v>
      </c>
    </row>
    <row r="281" spans="1:9" x14ac:dyDescent="0.3">
      <c r="A281" t="str">
        <f t="shared" si="4"/>
        <v>CASE-0280</v>
      </c>
      <c r="B281" s="1">
        <v>45536</v>
      </c>
      <c r="C281" t="s">
        <v>12</v>
      </c>
      <c r="D281">
        <v>4</v>
      </c>
      <c r="E281" t="b">
        <v>0</v>
      </c>
      <c r="F281" s="2">
        <v>22.676307906186491</v>
      </c>
      <c r="G281" t="b">
        <v>0</v>
      </c>
      <c r="H281" t="s">
        <v>22</v>
      </c>
      <c r="I281" t="s">
        <v>33</v>
      </c>
    </row>
    <row r="282" spans="1:9" x14ac:dyDescent="0.3">
      <c r="A282" t="str">
        <f t="shared" si="4"/>
        <v>CASE-0281</v>
      </c>
      <c r="B282" s="1">
        <v>45612</v>
      </c>
      <c r="C282" t="s">
        <v>11</v>
      </c>
      <c r="D282">
        <v>1</v>
      </c>
      <c r="E282" t="b">
        <v>0</v>
      </c>
      <c r="F282" s="2">
        <v>17.645241569049965</v>
      </c>
      <c r="G282" t="b">
        <v>0</v>
      </c>
      <c r="H282" t="s">
        <v>25</v>
      </c>
      <c r="I282" t="s">
        <v>33</v>
      </c>
    </row>
    <row r="283" spans="1:9" x14ac:dyDescent="0.3">
      <c r="A283" t="str">
        <f t="shared" si="4"/>
        <v>CASE-0282</v>
      </c>
      <c r="B283" s="1">
        <v>45925</v>
      </c>
      <c r="C283" t="s">
        <v>12</v>
      </c>
      <c r="D283">
        <v>2</v>
      </c>
      <c r="E283" t="b">
        <v>1</v>
      </c>
      <c r="F283" s="2">
        <v>24.249003718364861</v>
      </c>
      <c r="G283" t="b">
        <v>0</v>
      </c>
      <c r="H283" t="s">
        <v>17</v>
      </c>
      <c r="I283" t="s">
        <v>33</v>
      </c>
    </row>
    <row r="284" spans="1:9" x14ac:dyDescent="0.3">
      <c r="A284" t="str">
        <f t="shared" si="4"/>
        <v>CASE-0283</v>
      </c>
      <c r="B284" s="1">
        <v>45992</v>
      </c>
      <c r="C284" t="s">
        <v>9</v>
      </c>
      <c r="D284">
        <v>2</v>
      </c>
      <c r="E284" t="b">
        <v>1</v>
      </c>
      <c r="F284" s="2">
        <v>10.739655298621305</v>
      </c>
      <c r="G284" t="b">
        <v>0</v>
      </c>
      <c r="H284" t="s">
        <v>19</v>
      </c>
      <c r="I284" t="s">
        <v>34</v>
      </c>
    </row>
    <row r="285" spans="1:9" x14ac:dyDescent="0.3">
      <c r="A285" t="str">
        <f t="shared" si="4"/>
        <v>CASE-0284</v>
      </c>
      <c r="B285" s="1">
        <v>45641</v>
      </c>
      <c r="C285" t="s">
        <v>10</v>
      </c>
      <c r="D285">
        <v>2</v>
      </c>
      <c r="E285" t="b">
        <v>0</v>
      </c>
      <c r="F285" s="2">
        <v>19.446677871971289</v>
      </c>
      <c r="G285" t="b">
        <v>0</v>
      </c>
      <c r="H285" t="s">
        <v>24</v>
      </c>
      <c r="I285" t="s">
        <v>33</v>
      </c>
    </row>
    <row r="286" spans="1:9" x14ac:dyDescent="0.3">
      <c r="A286" t="str">
        <f t="shared" si="4"/>
        <v>CASE-0285</v>
      </c>
      <c r="B286" s="1">
        <v>45754</v>
      </c>
      <c r="C286" t="s">
        <v>9</v>
      </c>
      <c r="D286">
        <v>2</v>
      </c>
      <c r="E286" t="b">
        <v>1</v>
      </c>
      <c r="F286" s="2">
        <v>6.2699412690017144</v>
      </c>
      <c r="G286" t="b">
        <v>0</v>
      </c>
      <c r="H286" t="s">
        <v>14</v>
      </c>
      <c r="I286" t="s">
        <v>34</v>
      </c>
    </row>
    <row r="287" spans="1:9" x14ac:dyDescent="0.3">
      <c r="A287" t="str">
        <f t="shared" si="4"/>
        <v>CASE-0286</v>
      </c>
      <c r="B287" s="1">
        <v>45663</v>
      </c>
      <c r="C287" t="s">
        <v>12</v>
      </c>
      <c r="D287">
        <v>3</v>
      </c>
      <c r="E287" t="b">
        <v>1</v>
      </c>
      <c r="F287" s="2">
        <v>6.0661818151294264</v>
      </c>
      <c r="G287" t="b">
        <v>0</v>
      </c>
      <c r="H287" t="s">
        <v>21</v>
      </c>
      <c r="I287" t="s">
        <v>34</v>
      </c>
    </row>
    <row r="288" spans="1:9" x14ac:dyDescent="0.3">
      <c r="A288" t="str">
        <f t="shared" si="4"/>
        <v>CASE-0287</v>
      </c>
      <c r="B288" s="1">
        <v>45868</v>
      </c>
      <c r="C288" t="s">
        <v>11</v>
      </c>
      <c r="D288">
        <v>2</v>
      </c>
      <c r="E288" t="b">
        <v>1</v>
      </c>
      <c r="F288" s="2">
        <v>6.9986531939978027</v>
      </c>
      <c r="G288" t="b">
        <v>0</v>
      </c>
      <c r="H288" t="s">
        <v>29</v>
      </c>
      <c r="I288" t="s">
        <v>35</v>
      </c>
    </row>
    <row r="289" spans="1:9" x14ac:dyDescent="0.3">
      <c r="A289" t="str">
        <f t="shared" si="4"/>
        <v>CASE-0288</v>
      </c>
      <c r="B289" s="1">
        <v>46201</v>
      </c>
      <c r="C289" t="s">
        <v>11</v>
      </c>
      <c r="D289">
        <v>4</v>
      </c>
      <c r="E289" t="b">
        <v>0</v>
      </c>
      <c r="F289" s="2">
        <v>8.3554584245306405</v>
      </c>
      <c r="G289" t="b">
        <v>0</v>
      </c>
      <c r="H289" t="s">
        <v>16</v>
      </c>
      <c r="I289" t="s">
        <v>34</v>
      </c>
    </row>
    <row r="290" spans="1:9" x14ac:dyDescent="0.3">
      <c r="A290" t="str">
        <f t="shared" si="4"/>
        <v>CASE-0289</v>
      </c>
      <c r="B290" s="1">
        <v>45573</v>
      </c>
      <c r="C290" t="s">
        <v>10</v>
      </c>
      <c r="D290">
        <v>5</v>
      </c>
      <c r="E290" t="b">
        <v>0</v>
      </c>
      <c r="F290" s="2">
        <v>24.779626693826135</v>
      </c>
      <c r="G290" t="b">
        <v>0</v>
      </c>
      <c r="H290" t="s">
        <v>26</v>
      </c>
      <c r="I290" t="s">
        <v>33</v>
      </c>
    </row>
    <row r="291" spans="1:9" x14ac:dyDescent="0.3">
      <c r="A291" t="str">
        <f t="shared" si="4"/>
        <v>CASE-0290</v>
      </c>
      <c r="B291" s="1">
        <v>46134</v>
      </c>
      <c r="C291" t="s">
        <v>11</v>
      </c>
      <c r="D291">
        <v>3</v>
      </c>
      <c r="E291" t="b">
        <v>1</v>
      </c>
      <c r="F291" s="2">
        <v>3.9532910104252315</v>
      </c>
      <c r="G291" t="b">
        <v>0</v>
      </c>
      <c r="H291" t="s">
        <v>19</v>
      </c>
      <c r="I291" t="s">
        <v>35</v>
      </c>
    </row>
    <row r="292" spans="1:9" x14ac:dyDescent="0.3">
      <c r="A292" t="str">
        <f t="shared" si="4"/>
        <v>CASE-0291</v>
      </c>
      <c r="B292" s="1">
        <v>46015</v>
      </c>
      <c r="C292" t="s">
        <v>11</v>
      </c>
      <c r="D292">
        <v>2</v>
      </c>
      <c r="E292" t="b">
        <v>1</v>
      </c>
      <c r="F292" s="2">
        <v>7.7501516269413067</v>
      </c>
      <c r="G292" t="b">
        <v>0</v>
      </c>
      <c r="H292" t="s">
        <v>27</v>
      </c>
      <c r="I292" t="s">
        <v>34</v>
      </c>
    </row>
    <row r="293" spans="1:9" x14ac:dyDescent="0.3">
      <c r="A293" t="str">
        <f t="shared" si="4"/>
        <v>CASE-0292</v>
      </c>
      <c r="B293" s="1">
        <v>46123</v>
      </c>
      <c r="C293" t="s">
        <v>9</v>
      </c>
      <c r="D293">
        <v>3</v>
      </c>
      <c r="E293" t="b">
        <v>1</v>
      </c>
      <c r="F293" s="2">
        <v>8.0739874754709682</v>
      </c>
      <c r="G293" t="b">
        <v>0</v>
      </c>
      <c r="H293" t="s">
        <v>21</v>
      </c>
      <c r="I293" t="s">
        <v>34</v>
      </c>
    </row>
    <row r="294" spans="1:9" x14ac:dyDescent="0.3">
      <c r="A294" t="str">
        <f t="shared" si="4"/>
        <v>CASE-0293</v>
      </c>
      <c r="B294" s="1">
        <v>45816</v>
      </c>
      <c r="C294" t="s">
        <v>10</v>
      </c>
      <c r="D294">
        <v>3</v>
      </c>
      <c r="E294" t="b">
        <v>0</v>
      </c>
      <c r="F294" s="2">
        <v>6.0339928472534892</v>
      </c>
      <c r="G294" t="b">
        <v>0</v>
      </c>
      <c r="H294" t="s">
        <v>19</v>
      </c>
      <c r="I294" t="s">
        <v>34</v>
      </c>
    </row>
    <row r="295" spans="1:9" x14ac:dyDescent="0.3">
      <c r="A295" t="str">
        <f t="shared" si="4"/>
        <v>CASE-0294</v>
      </c>
      <c r="B295" s="1">
        <v>45841</v>
      </c>
      <c r="C295" t="s">
        <v>10</v>
      </c>
      <c r="D295">
        <v>1</v>
      </c>
      <c r="E295" t="b">
        <v>1</v>
      </c>
      <c r="F295" s="2">
        <v>4.6754916646925393</v>
      </c>
      <c r="G295" t="b">
        <v>0</v>
      </c>
      <c r="H295" t="s">
        <v>29</v>
      </c>
      <c r="I295" t="s">
        <v>34</v>
      </c>
    </row>
    <row r="296" spans="1:9" x14ac:dyDescent="0.3">
      <c r="A296" t="str">
        <f t="shared" si="4"/>
        <v>CASE-0295</v>
      </c>
      <c r="B296" s="1">
        <v>46078</v>
      </c>
      <c r="C296" t="s">
        <v>10</v>
      </c>
      <c r="D296">
        <v>5</v>
      </c>
      <c r="E296" t="b">
        <v>1</v>
      </c>
      <c r="F296" s="2">
        <v>8.6266346460588714</v>
      </c>
      <c r="G296" t="b">
        <v>0</v>
      </c>
      <c r="H296" t="s">
        <v>13</v>
      </c>
      <c r="I296" t="s">
        <v>35</v>
      </c>
    </row>
    <row r="297" spans="1:9" x14ac:dyDescent="0.3">
      <c r="A297" t="str">
        <f t="shared" si="4"/>
        <v>CASE-0296</v>
      </c>
      <c r="B297" s="1">
        <v>45713</v>
      </c>
      <c r="C297" t="s">
        <v>11</v>
      </c>
      <c r="D297">
        <v>4</v>
      </c>
      <c r="E297" t="b">
        <v>1</v>
      </c>
      <c r="F297" s="2">
        <v>6.9100119176646464</v>
      </c>
      <c r="G297" t="b">
        <v>0</v>
      </c>
      <c r="H297" t="s">
        <v>24</v>
      </c>
      <c r="I297" t="s">
        <v>34</v>
      </c>
    </row>
    <row r="298" spans="1:9" x14ac:dyDescent="0.3">
      <c r="A298" t="str">
        <f t="shared" si="4"/>
        <v>CASE-0297</v>
      </c>
      <c r="B298" s="1">
        <v>45673</v>
      </c>
      <c r="C298" t="s">
        <v>9</v>
      </c>
      <c r="D298">
        <v>3</v>
      </c>
      <c r="E298" t="b">
        <v>1</v>
      </c>
      <c r="F298" s="2">
        <v>8.3341748562069711</v>
      </c>
      <c r="G298" t="b">
        <v>0</v>
      </c>
      <c r="H298" t="s">
        <v>28</v>
      </c>
      <c r="I298" t="s">
        <v>34</v>
      </c>
    </row>
    <row r="299" spans="1:9" x14ac:dyDescent="0.3">
      <c r="A299" t="str">
        <f t="shared" si="4"/>
        <v>CASE-0298</v>
      </c>
      <c r="B299" s="1">
        <v>45905</v>
      </c>
      <c r="C299" t="s">
        <v>10</v>
      </c>
      <c r="D299">
        <v>1</v>
      </c>
      <c r="E299" t="b">
        <v>1</v>
      </c>
      <c r="F299" s="2">
        <v>7.7516769456179011</v>
      </c>
      <c r="G299" t="b">
        <v>0</v>
      </c>
      <c r="H299" t="s">
        <v>28</v>
      </c>
      <c r="I299" t="s">
        <v>35</v>
      </c>
    </row>
    <row r="300" spans="1:9" x14ac:dyDescent="0.3">
      <c r="A300" t="str">
        <f t="shared" si="4"/>
        <v>CASE-0299</v>
      </c>
      <c r="B300" s="1">
        <v>46014</v>
      </c>
      <c r="C300" t="s">
        <v>12</v>
      </c>
      <c r="D300">
        <v>2</v>
      </c>
      <c r="E300" t="b">
        <v>1</v>
      </c>
      <c r="F300" s="2">
        <v>25.100570751015663</v>
      </c>
      <c r="G300" t="b">
        <v>0</v>
      </c>
      <c r="H300" t="s">
        <v>18</v>
      </c>
      <c r="I300" t="s">
        <v>33</v>
      </c>
    </row>
    <row r="301" spans="1:9" x14ac:dyDescent="0.3">
      <c r="A301" t="str">
        <f t="shared" si="4"/>
        <v>CASE-0300</v>
      </c>
      <c r="B301" s="1">
        <v>46110</v>
      </c>
      <c r="C301" t="s">
        <v>12</v>
      </c>
      <c r="D301">
        <v>2</v>
      </c>
      <c r="E301" t="b">
        <v>0</v>
      </c>
      <c r="F301" s="2">
        <v>8.0295250249200301</v>
      </c>
      <c r="G301" t="b">
        <v>0</v>
      </c>
      <c r="H301" t="s">
        <v>25</v>
      </c>
      <c r="I301" t="s">
        <v>34</v>
      </c>
    </row>
    <row r="302" spans="1:9" x14ac:dyDescent="0.3">
      <c r="A302" t="str">
        <f t="shared" si="4"/>
        <v>CASE-0301</v>
      </c>
      <c r="B302" s="1">
        <v>46191</v>
      </c>
      <c r="C302" t="s">
        <v>11</v>
      </c>
      <c r="D302">
        <v>4</v>
      </c>
      <c r="E302" t="b">
        <v>1</v>
      </c>
      <c r="F302" s="2">
        <v>21.761913459890653</v>
      </c>
      <c r="G302" t="b">
        <v>0</v>
      </c>
      <c r="H302" t="s">
        <v>26</v>
      </c>
      <c r="I302" t="s">
        <v>33</v>
      </c>
    </row>
    <row r="303" spans="1:9" x14ac:dyDescent="0.3">
      <c r="A303" t="str">
        <f t="shared" si="4"/>
        <v>CASE-0302</v>
      </c>
      <c r="B303" s="1">
        <v>46143</v>
      </c>
      <c r="C303" t="s">
        <v>10</v>
      </c>
      <c r="D303">
        <v>5</v>
      </c>
      <c r="E303" t="b">
        <v>1</v>
      </c>
      <c r="F303" s="2">
        <v>29.987596103869318</v>
      </c>
      <c r="G303" t="b">
        <v>0</v>
      </c>
      <c r="H303" t="s">
        <v>32</v>
      </c>
      <c r="I303" t="s">
        <v>33</v>
      </c>
    </row>
    <row r="304" spans="1:9" x14ac:dyDescent="0.3">
      <c r="A304" t="str">
        <f t="shared" si="4"/>
        <v>CASE-0303</v>
      </c>
      <c r="B304" s="1">
        <v>45811</v>
      </c>
      <c r="C304" t="s">
        <v>12</v>
      </c>
      <c r="D304">
        <v>1</v>
      </c>
      <c r="E304" t="b">
        <v>1</v>
      </c>
      <c r="F304" s="2">
        <v>4.2364897281755507</v>
      </c>
      <c r="G304" t="b">
        <v>0</v>
      </c>
      <c r="H304" t="s">
        <v>26</v>
      </c>
      <c r="I304" t="s">
        <v>34</v>
      </c>
    </row>
    <row r="305" spans="1:9" x14ac:dyDescent="0.3">
      <c r="A305" t="str">
        <f t="shared" si="4"/>
        <v>CASE-0304</v>
      </c>
      <c r="B305" s="1">
        <v>45475</v>
      </c>
      <c r="C305" t="s">
        <v>10</v>
      </c>
      <c r="D305">
        <v>2</v>
      </c>
      <c r="E305" t="b">
        <v>0</v>
      </c>
      <c r="F305" s="2">
        <v>21.607834918934579</v>
      </c>
      <c r="G305" t="b">
        <v>0</v>
      </c>
      <c r="H305" t="s">
        <v>21</v>
      </c>
      <c r="I305" t="s">
        <v>33</v>
      </c>
    </row>
    <row r="306" spans="1:9" x14ac:dyDescent="0.3">
      <c r="A306" t="str">
        <f t="shared" si="4"/>
        <v>CASE-0305</v>
      </c>
      <c r="B306" s="1">
        <v>45672</v>
      </c>
      <c r="C306" t="s">
        <v>9</v>
      </c>
      <c r="D306">
        <v>4</v>
      </c>
      <c r="E306" t="b">
        <v>0</v>
      </c>
      <c r="F306" s="2">
        <v>6.6714253430627011</v>
      </c>
      <c r="G306" t="b">
        <v>0</v>
      </c>
      <c r="H306" t="s">
        <v>14</v>
      </c>
      <c r="I306" t="s">
        <v>34</v>
      </c>
    </row>
    <row r="307" spans="1:9" x14ac:dyDescent="0.3">
      <c r="A307" t="str">
        <f t="shared" si="4"/>
        <v>CASE-0306</v>
      </c>
      <c r="B307" s="1">
        <v>46048</v>
      </c>
      <c r="C307" t="s">
        <v>12</v>
      </c>
      <c r="D307">
        <v>1</v>
      </c>
      <c r="E307" t="b">
        <v>1</v>
      </c>
      <c r="F307" s="2">
        <v>7.0282176380825119</v>
      </c>
      <c r="G307" t="b">
        <v>0</v>
      </c>
      <c r="H307" t="s">
        <v>30</v>
      </c>
      <c r="I307" t="s">
        <v>34</v>
      </c>
    </row>
    <row r="308" spans="1:9" x14ac:dyDescent="0.3">
      <c r="A308" t="str">
        <f t="shared" si="4"/>
        <v>CASE-0307</v>
      </c>
      <c r="B308" s="1">
        <v>45484</v>
      </c>
      <c r="C308" t="s">
        <v>10</v>
      </c>
      <c r="D308">
        <v>1</v>
      </c>
      <c r="E308" t="b">
        <v>0</v>
      </c>
      <c r="F308" s="2">
        <v>29.846552617196743</v>
      </c>
      <c r="G308" t="b">
        <v>0</v>
      </c>
      <c r="H308" t="s">
        <v>15</v>
      </c>
      <c r="I308" t="s">
        <v>33</v>
      </c>
    </row>
    <row r="309" spans="1:9" x14ac:dyDescent="0.3">
      <c r="A309" t="str">
        <f t="shared" si="4"/>
        <v>CASE-0308</v>
      </c>
      <c r="B309" s="1">
        <v>45698</v>
      </c>
      <c r="C309" t="s">
        <v>11</v>
      </c>
      <c r="D309">
        <v>5</v>
      </c>
      <c r="E309" t="b">
        <v>1</v>
      </c>
      <c r="F309" s="2">
        <v>31.557327628210167</v>
      </c>
      <c r="G309" t="b">
        <v>0</v>
      </c>
      <c r="H309" t="s">
        <v>14</v>
      </c>
      <c r="I309" t="s">
        <v>33</v>
      </c>
    </row>
    <row r="310" spans="1:9" x14ac:dyDescent="0.3">
      <c r="A310" t="str">
        <f t="shared" si="4"/>
        <v>CASE-0309</v>
      </c>
      <c r="B310" s="1">
        <v>45905</v>
      </c>
      <c r="C310" t="s">
        <v>11</v>
      </c>
      <c r="D310">
        <v>5</v>
      </c>
      <c r="E310" t="b">
        <v>1</v>
      </c>
      <c r="F310" s="2">
        <v>25.142554283858161</v>
      </c>
      <c r="G310" t="b">
        <v>0</v>
      </c>
      <c r="H310" t="s">
        <v>32</v>
      </c>
      <c r="I310" t="s">
        <v>33</v>
      </c>
    </row>
    <row r="311" spans="1:9" x14ac:dyDescent="0.3">
      <c r="A311" t="str">
        <f t="shared" si="4"/>
        <v>CASE-0310</v>
      </c>
      <c r="B311" s="1">
        <v>46052</v>
      </c>
      <c r="C311" t="s">
        <v>9</v>
      </c>
      <c r="D311">
        <v>4</v>
      </c>
      <c r="E311" t="b">
        <v>0</v>
      </c>
      <c r="F311" s="2">
        <v>5.2755131968690732</v>
      </c>
      <c r="G311" t="b">
        <v>0</v>
      </c>
      <c r="H311" t="s">
        <v>15</v>
      </c>
      <c r="I311" t="s">
        <v>34</v>
      </c>
    </row>
    <row r="312" spans="1:9" x14ac:dyDescent="0.3">
      <c r="A312" t="str">
        <f t="shared" si="4"/>
        <v>CASE-0311</v>
      </c>
      <c r="B312" s="1">
        <v>46194</v>
      </c>
      <c r="C312" t="s">
        <v>9</v>
      </c>
      <c r="D312">
        <v>2</v>
      </c>
      <c r="E312" t="b">
        <v>1</v>
      </c>
      <c r="F312" s="2">
        <v>9.9361159693556704</v>
      </c>
      <c r="G312" t="b">
        <v>0</v>
      </c>
      <c r="H312" t="s">
        <v>15</v>
      </c>
      <c r="I312" t="s">
        <v>34</v>
      </c>
    </row>
    <row r="313" spans="1:9" x14ac:dyDescent="0.3">
      <c r="A313" t="str">
        <f t="shared" si="4"/>
        <v>CASE-0312</v>
      </c>
      <c r="B313" s="1">
        <v>45489</v>
      </c>
      <c r="C313" t="s">
        <v>11</v>
      </c>
      <c r="D313">
        <v>5</v>
      </c>
      <c r="E313" t="b">
        <v>0</v>
      </c>
      <c r="F313" s="2">
        <v>30.535377697822049</v>
      </c>
      <c r="G313" t="b">
        <v>0</v>
      </c>
      <c r="H313" t="s">
        <v>21</v>
      </c>
      <c r="I313" t="s">
        <v>33</v>
      </c>
    </row>
    <row r="314" spans="1:9" x14ac:dyDescent="0.3">
      <c r="A314" t="str">
        <f t="shared" si="4"/>
        <v>CASE-0313</v>
      </c>
      <c r="B314" s="1">
        <v>45545</v>
      </c>
      <c r="C314" t="s">
        <v>9</v>
      </c>
      <c r="D314">
        <v>4</v>
      </c>
      <c r="E314" t="b">
        <v>0</v>
      </c>
      <c r="F314" s="2">
        <v>26.714993924308548</v>
      </c>
      <c r="G314" t="b">
        <v>0</v>
      </c>
      <c r="H314" t="s">
        <v>14</v>
      </c>
      <c r="I314" t="s">
        <v>33</v>
      </c>
    </row>
    <row r="315" spans="1:9" x14ac:dyDescent="0.3">
      <c r="A315" t="str">
        <f t="shared" si="4"/>
        <v>CASE-0314</v>
      </c>
      <c r="B315" s="1">
        <v>46086</v>
      </c>
      <c r="C315" t="s">
        <v>12</v>
      </c>
      <c r="D315">
        <v>1</v>
      </c>
      <c r="E315" t="b">
        <v>1</v>
      </c>
      <c r="F315" s="2">
        <v>4.8433817421308873</v>
      </c>
      <c r="G315" t="b">
        <v>0</v>
      </c>
      <c r="H315" t="s">
        <v>17</v>
      </c>
      <c r="I315" t="s">
        <v>34</v>
      </c>
    </row>
    <row r="316" spans="1:9" x14ac:dyDescent="0.3">
      <c r="A316" t="str">
        <f t="shared" si="4"/>
        <v>CASE-0315</v>
      </c>
      <c r="B316" s="1">
        <v>45496</v>
      </c>
      <c r="C316" t="s">
        <v>9</v>
      </c>
      <c r="D316">
        <v>2</v>
      </c>
      <c r="E316" t="b">
        <v>0</v>
      </c>
      <c r="F316" s="2">
        <v>7.2665035932597952</v>
      </c>
      <c r="G316" t="b">
        <v>0</v>
      </c>
      <c r="H316" t="s">
        <v>24</v>
      </c>
      <c r="I316" t="s">
        <v>33</v>
      </c>
    </row>
    <row r="317" spans="1:9" x14ac:dyDescent="0.3">
      <c r="A317" t="str">
        <f t="shared" si="4"/>
        <v>CASE-0316</v>
      </c>
      <c r="B317" s="1">
        <v>46102</v>
      </c>
      <c r="C317" t="s">
        <v>12</v>
      </c>
      <c r="D317">
        <v>2</v>
      </c>
      <c r="E317" t="b">
        <v>1</v>
      </c>
      <c r="F317" s="2">
        <v>6.0937137480249461</v>
      </c>
      <c r="G317" t="b">
        <v>0</v>
      </c>
      <c r="H317" t="s">
        <v>19</v>
      </c>
      <c r="I317" t="s">
        <v>34</v>
      </c>
    </row>
    <row r="318" spans="1:9" x14ac:dyDescent="0.3">
      <c r="A318" t="str">
        <f t="shared" si="4"/>
        <v>CASE-0317</v>
      </c>
      <c r="B318" s="1">
        <v>46163</v>
      </c>
      <c r="C318" t="s">
        <v>10</v>
      </c>
      <c r="D318">
        <v>5</v>
      </c>
      <c r="E318" t="b">
        <v>0</v>
      </c>
      <c r="F318" s="2">
        <v>34.145914695775581</v>
      </c>
      <c r="G318" t="b">
        <v>0</v>
      </c>
      <c r="H318" t="s">
        <v>13</v>
      </c>
      <c r="I318" t="s">
        <v>33</v>
      </c>
    </row>
    <row r="319" spans="1:9" x14ac:dyDescent="0.3">
      <c r="A319" t="str">
        <f t="shared" si="4"/>
        <v>CASE-0318</v>
      </c>
      <c r="B319" s="1">
        <v>45953</v>
      </c>
      <c r="C319" t="s">
        <v>12</v>
      </c>
      <c r="D319">
        <v>2</v>
      </c>
      <c r="E319" t="b">
        <v>1</v>
      </c>
      <c r="F319" s="2">
        <v>4.6267144400758493</v>
      </c>
      <c r="G319" t="b">
        <v>0</v>
      </c>
      <c r="H319" t="s">
        <v>22</v>
      </c>
      <c r="I319" t="s">
        <v>34</v>
      </c>
    </row>
    <row r="320" spans="1:9" x14ac:dyDescent="0.3">
      <c r="A320" t="str">
        <f t="shared" si="4"/>
        <v>CASE-0319</v>
      </c>
      <c r="B320" s="1">
        <v>45512</v>
      </c>
      <c r="C320" t="s">
        <v>12</v>
      </c>
      <c r="D320">
        <v>5</v>
      </c>
      <c r="E320" t="b">
        <v>0</v>
      </c>
      <c r="F320" s="2">
        <v>26.932320810029264</v>
      </c>
      <c r="G320" t="b">
        <v>0</v>
      </c>
      <c r="H320" t="s">
        <v>26</v>
      </c>
      <c r="I320" t="s">
        <v>33</v>
      </c>
    </row>
    <row r="321" spans="1:9" x14ac:dyDescent="0.3">
      <c r="A321" t="str">
        <f t="shared" si="4"/>
        <v>CASE-0320</v>
      </c>
      <c r="B321" s="1">
        <v>45815</v>
      </c>
      <c r="C321" t="s">
        <v>11</v>
      </c>
      <c r="D321">
        <v>5</v>
      </c>
      <c r="E321" t="b">
        <v>1</v>
      </c>
      <c r="F321" s="2">
        <v>32.094679033276044</v>
      </c>
      <c r="G321" t="b">
        <v>0</v>
      </c>
      <c r="H321" t="s">
        <v>20</v>
      </c>
      <c r="I321" t="s">
        <v>33</v>
      </c>
    </row>
    <row r="322" spans="1:9" x14ac:dyDescent="0.3">
      <c r="A322" t="str">
        <f t="shared" si="4"/>
        <v>CASE-0321</v>
      </c>
      <c r="B322" s="1">
        <v>46142</v>
      </c>
      <c r="C322" t="s">
        <v>10</v>
      </c>
      <c r="D322">
        <v>5</v>
      </c>
      <c r="E322" t="b">
        <v>1</v>
      </c>
      <c r="F322" s="2">
        <v>23.915197995838337</v>
      </c>
      <c r="G322" t="b">
        <v>0</v>
      </c>
      <c r="H322" t="s">
        <v>21</v>
      </c>
      <c r="I322" t="s">
        <v>33</v>
      </c>
    </row>
    <row r="323" spans="1:9" x14ac:dyDescent="0.3">
      <c r="A323" t="str">
        <f t="shared" ref="A323:A386" si="5">"CASE-"&amp;TEXT(ROW()-1,"0000")</f>
        <v>CASE-0322</v>
      </c>
      <c r="B323" s="1">
        <v>45494</v>
      </c>
      <c r="C323" t="s">
        <v>12</v>
      </c>
      <c r="D323">
        <v>1</v>
      </c>
      <c r="E323" t="b">
        <v>0</v>
      </c>
      <c r="F323" s="2">
        <v>29.59572240589997</v>
      </c>
      <c r="G323" t="b">
        <v>0</v>
      </c>
      <c r="H323" t="s">
        <v>16</v>
      </c>
      <c r="I323" t="s">
        <v>33</v>
      </c>
    </row>
    <row r="324" spans="1:9" x14ac:dyDescent="0.3">
      <c r="A324" t="str">
        <f t="shared" si="5"/>
        <v>CASE-0323</v>
      </c>
      <c r="B324" s="1">
        <v>45503</v>
      </c>
      <c r="C324" t="s">
        <v>10</v>
      </c>
      <c r="D324">
        <v>5</v>
      </c>
      <c r="E324" t="b">
        <v>0</v>
      </c>
      <c r="F324" s="2">
        <v>17.109249668687699</v>
      </c>
      <c r="G324" t="b">
        <v>0</v>
      </c>
      <c r="H324" t="s">
        <v>31</v>
      </c>
      <c r="I324" t="s">
        <v>33</v>
      </c>
    </row>
    <row r="325" spans="1:9" x14ac:dyDescent="0.3">
      <c r="A325" t="str">
        <f t="shared" si="5"/>
        <v>CASE-0324</v>
      </c>
      <c r="B325" s="1">
        <v>46075</v>
      </c>
      <c r="C325" t="s">
        <v>10</v>
      </c>
      <c r="D325">
        <v>4</v>
      </c>
      <c r="E325" t="b">
        <v>1</v>
      </c>
      <c r="F325" s="2">
        <v>2.9021030200520457</v>
      </c>
      <c r="G325" t="b">
        <v>0</v>
      </c>
      <c r="H325" t="s">
        <v>30</v>
      </c>
      <c r="I325" t="s">
        <v>34</v>
      </c>
    </row>
    <row r="326" spans="1:9" x14ac:dyDescent="0.3">
      <c r="A326" t="str">
        <f t="shared" si="5"/>
        <v>CASE-0325</v>
      </c>
      <c r="B326" s="1">
        <v>46153</v>
      </c>
      <c r="C326" t="s">
        <v>9</v>
      </c>
      <c r="D326">
        <v>3</v>
      </c>
      <c r="E326" t="b">
        <v>1</v>
      </c>
      <c r="F326" s="2">
        <v>5.859062895998373</v>
      </c>
      <c r="G326" t="b">
        <v>0</v>
      </c>
      <c r="H326" t="s">
        <v>28</v>
      </c>
      <c r="I326" t="s">
        <v>34</v>
      </c>
    </row>
    <row r="327" spans="1:9" x14ac:dyDescent="0.3">
      <c r="A327" t="str">
        <f t="shared" si="5"/>
        <v>CASE-0326</v>
      </c>
      <c r="B327" s="1">
        <v>45794</v>
      </c>
      <c r="C327" t="s">
        <v>12</v>
      </c>
      <c r="D327">
        <v>4</v>
      </c>
      <c r="E327" t="b">
        <v>1</v>
      </c>
      <c r="F327" s="2">
        <v>6.3699708385700697</v>
      </c>
      <c r="G327" t="b">
        <v>0</v>
      </c>
      <c r="H327" t="s">
        <v>30</v>
      </c>
      <c r="I327" t="s">
        <v>34</v>
      </c>
    </row>
    <row r="328" spans="1:9" x14ac:dyDescent="0.3">
      <c r="A328" t="str">
        <f t="shared" si="5"/>
        <v>CASE-0327</v>
      </c>
      <c r="B328" s="1">
        <v>45492</v>
      </c>
      <c r="C328" t="s">
        <v>10</v>
      </c>
      <c r="D328">
        <v>3</v>
      </c>
      <c r="E328" t="b">
        <v>0</v>
      </c>
      <c r="F328" s="2">
        <v>16.910901529804441</v>
      </c>
      <c r="G328" t="b">
        <v>0</v>
      </c>
      <c r="H328" t="s">
        <v>17</v>
      </c>
      <c r="I328" t="s">
        <v>33</v>
      </c>
    </row>
    <row r="329" spans="1:9" x14ac:dyDescent="0.3">
      <c r="A329" t="str">
        <f t="shared" si="5"/>
        <v>CASE-0328</v>
      </c>
      <c r="B329" s="1">
        <v>45843</v>
      </c>
      <c r="C329" t="s">
        <v>10</v>
      </c>
      <c r="D329">
        <v>2</v>
      </c>
      <c r="E329" t="b">
        <v>1</v>
      </c>
      <c r="F329" s="2">
        <v>3.25811676168723</v>
      </c>
      <c r="G329" t="b">
        <v>0</v>
      </c>
      <c r="H329" t="s">
        <v>19</v>
      </c>
      <c r="I329" t="s">
        <v>34</v>
      </c>
    </row>
    <row r="330" spans="1:9" x14ac:dyDescent="0.3">
      <c r="A330" t="str">
        <f t="shared" si="5"/>
        <v>CASE-0329</v>
      </c>
      <c r="B330" s="1">
        <v>45719</v>
      </c>
      <c r="C330" t="s">
        <v>11</v>
      </c>
      <c r="D330">
        <v>5</v>
      </c>
      <c r="E330" t="b">
        <v>0</v>
      </c>
      <c r="F330" s="2">
        <v>7.2358787013571924</v>
      </c>
      <c r="G330" t="b">
        <v>0</v>
      </c>
      <c r="H330" t="s">
        <v>19</v>
      </c>
      <c r="I330" t="s">
        <v>34</v>
      </c>
    </row>
    <row r="331" spans="1:9" x14ac:dyDescent="0.3">
      <c r="A331" t="str">
        <f t="shared" si="5"/>
        <v>CASE-0330</v>
      </c>
      <c r="B331" s="1">
        <v>45997</v>
      </c>
      <c r="C331" t="s">
        <v>11</v>
      </c>
      <c r="D331">
        <v>4</v>
      </c>
      <c r="E331" t="b">
        <v>1</v>
      </c>
      <c r="F331" s="2">
        <v>5.891654137979927</v>
      </c>
      <c r="G331" t="b">
        <v>0</v>
      </c>
      <c r="H331" t="s">
        <v>18</v>
      </c>
      <c r="I331" t="s">
        <v>34</v>
      </c>
    </row>
    <row r="332" spans="1:9" x14ac:dyDescent="0.3">
      <c r="A332" t="str">
        <f t="shared" si="5"/>
        <v>CASE-0331</v>
      </c>
      <c r="B332" s="1">
        <v>45783</v>
      </c>
      <c r="C332" t="s">
        <v>9</v>
      </c>
      <c r="D332">
        <v>4</v>
      </c>
      <c r="E332" t="b">
        <v>1</v>
      </c>
      <c r="F332" s="2">
        <v>3.1222046826957639</v>
      </c>
      <c r="G332" t="b">
        <v>0</v>
      </c>
      <c r="H332" t="s">
        <v>30</v>
      </c>
      <c r="I332" t="s">
        <v>34</v>
      </c>
    </row>
    <row r="333" spans="1:9" x14ac:dyDescent="0.3">
      <c r="A333" t="str">
        <f t="shared" si="5"/>
        <v>CASE-0332</v>
      </c>
      <c r="B333" s="1">
        <v>46005</v>
      </c>
      <c r="C333" t="s">
        <v>11</v>
      </c>
      <c r="D333">
        <v>2</v>
      </c>
      <c r="E333" t="b">
        <v>1</v>
      </c>
      <c r="F333" s="2">
        <v>6.4598868690980682</v>
      </c>
      <c r="G333" t="b">
        <v>0</v>
      </c>
      <c r="H333" t="s">
        <v>23</v>
      </c>
      <c r="I333" t="s">
        <v>34</v>
      </c>
    </row>
    <row r="334" spans="1:9" x14ac:dyDescent="0.3">
      <c r="A334" t="str">
        <f t="shared" si="5"/>
        <v>CASE-0333</v>
      </c>
      <c r="B334" s="1">
        <v>46063</v>
      </c>
      <c r="C334" t="s">
        <v>12</v>
      </c>
      <c r="D334">
        <v>5</v>
      </c>
      <c r="E334" t="b">
        <v>1</v>
      </c>
      <c r="F334" s="2">
        <v>4.2504780090338867</v>
      </c>
      <c r="G334" t="b">
        <v>0</v>
      </c>
      <c r="H334" t="s">
        <v>29</v>
      </c>
      <c r="I334" t="s">
        <v>35</v>
      </c>
    </row>
    <row r="335" spans="1:9" x14ac:dyDescent="0.3">
      <c r="A335" t="str">
        <f t="shared" si="5"/>
        <v>CASE-0334</v>
      </c>
      <c r="B335" s="1">
        <v>46005</v>
      </c>
      <c r="C335" t="s">
        <v>11</v>
      </c>
      <c r="D335">
        <v>4</v>
      </c>
      <c r="E335" t="b">
        <v>0</v>
      </c>
      <c r="F335" s="2">
        <v>3.4888613588568309</v>
      </c>
      <c r="G335" t="b">
        <v>0</v>
      </c>
      <c r="H335" t="s">
        <v>25</v>
      </c>
      <c r="I335" t="s">
        <v>34</v>
      </c>
    </row>
    <row r="336" spans="1:9" x14ac:dyDescent="0.3">
      <c r="A336" t="str">
        <f t="shared" si="5"/>
        <v>CASE-0335</v>
      </c>
      <c r="B336" s="1">
        <v>45562</v>
      </c>
      <c r="C336" t="s">
        <v>11</v>
      </c>
      <c r="D336">
        <v>1</v>
      </c>
      <c r="E336" t="b">
        <v>0</v>
      </c>
      <c r="F336" s="2">
        <v>36.876394784906132</v>
      </c>
      <c r="G336" t="b">
        <v>0</v>
      </c>
      <c r="H336" t="s">
        <v>25</v>
      </c>
      <c r="I336" t="s">
        <v>33</v>
      </c>
    </row>
    <row r="337" spans="1:9" x14ac:dyDescent="0.3">
      <c r="A337" t="str">
        <f t="shared" si="5"/>
        <v>CASE-0336</v>
      </c>
      <c r="B337" s="1">
        <v>45621</v>
      </c>
      <c r="C337" t="s">
        <v>11</v>
      </c>
      <c r="D337">
        <v>4</v>
      </c>
      <c r="E337" t="b">
        <v>0</v>
      </c>
      <c r="F337" s="2">
        <v>27.744774111783538</v>
      </c>
      <c r="G337" t="b">
        <v>0</v>
      </c>
      <c r="H337" t="s">
        <v>23</v>
      </c>
      <c r="I337" t="s">
        <v>33</v>
      </c>
    </row>
    <row r="338" spans="1:9" x14ac:dyDescent="0.3">
      <c r="A338" t="str">
        <f t="shared" si="5"/>
        <v>CASE-0337</v>
      </c>
      <c r="B338" s="1">
        <v>45744</v>
      </c>
      <c r="C338" t="s">
        <v>12</v>
      </c>
      <c r="D338">
        <v>2</v>
      </c>
      <c r="E338" t="b">
        <v>1</v>
      </c>
      <c r="F338" s="2">
        <v>6.7536327896872521</v>
      </c>
      <c r="G338" t="b">
        <v>0</v>
      </c>
      <c r="H338" t="s">
        <v>29</v>
      </c>
      <c r="I338" t="s">
        <v>34</v>
      </c>
    </row>
    <row r="339" spans="1:9" x14ac:dyDescent="0.3">
      <c r="A339" t="str">
        <f t="shared" si="5"/>
        <v>CASE-0338</v>
      </c>
      <c r="B339" s="1">
        <v>45682</v>
      </c>
      <c r="C339" t="s">
        <v>11</v>
      </c>
      <c r="D339">
        <v>3</v>
      </c>
      <c r="E339" t="b">
        <v>1</v>
      </c>
      <c r="F339" s="2">
        <v>8.0831869229005928</v>
      </c>
      <c r="G339" t="b">
        <v>0</v>
      </c>
      <c r="H339" t="s">
        <v>30</v>
      </c>
      <c r="I339" t="s">
        <v>35</v>
      </c>
    </row>
    <row r="340" spans="1:9" x14ac:dyDescent="0.3">
      <c r="A340" t="str">
        <f t="shared" si="5"/>
        <v>CASE-0339</v>
      </c>
      <c r="B340" s="1">
        <v>45550</v>
      </c>
      <c r="C340" t="s">
        <v>10</v>
      </c>
      <c r="D340">
        <v>5</v>
      </c>
      <c r="E340" t="b">
        <v>0</v>
      </c>
      <c r="F340" s="2">
        <v>9.5214269588820848</v>
      </c>
      <c r="G340" t="b">
        <v>0</v>
      </c>
      <c r="H340" t="s">
        <v>27</v>
      </c>
      <c r="I340" t="s">
        <v>33</v>
      </c>
    </row>
    <row r="341" spans="1:9" x14ac:dyDescent="0.3">
      <c r="A341" t="str">
        <f t="shared" si="5"/>
        <v>CASE-0340</v>
      </c>
      <c r="B341" s="1">
        <v>46042</v>
      </c>
      <c r="C341" t="s">
        <v>9</v>
      </c>
      <c r="D341">
        <v>2</v>
      </c>
      <c r="E341" t="b">
        <v>1</v>
      </c>
      <c r="F341" s="2">
        <v>28.047653391098979</v>
      </c>
      <c r="G341" t="b">
        <v>0</v>
      </c>
      <c r="H341" t="s">
        <v>23</v>
      </c>
      <c r="I341" t="s">
        <v>33</v>
      </c>
    </row>
    <row r="342" spans="1:9" x14ac:dyDescent="0.3">
      <c r="A342" t="str">
        <f t="shared" si="5"/>
        <v>CASE-0341</v>
      </c>
      <c r="B342" s="1">
        <v>45938</v>
      </c>
      <c r="C342" t="s">
        <v>12</v>
      </c>
      <c r="D342">
        <v>2</v>
      </c>
      <c r="E342" t="b">
        <v>1</v>
      </c>
      <c r="F342" s="2">
        <v>9.5503157982101143</v>
      </c>
      <c r="G342" t="b">
        <v>0</v>
      </c>
      <c r="H342" t="s">
        <v>32</v>
      </c>
      <c r="I342" t="s">
        <v>34</v>
      </c>
    </row>
    <row r="343" spans="1:9" x14ac:dyDescent="0.3">
      <c r="A343" t="str">
        <f t="shared" si="5"/>
        <v>CASE-0342</v>
      </c>
      <c r="B343" s="1">
        <v>45731</v>
      </c>
      <c r="C343" t="s">
        <v>12</v>
      </c>
      <c r="D343">
        <v>3</v>
      </c>
      <c r="E343" t="b">
        <v>0</v>
      </c>
      <c r="F343" s="2">
        <v>8.2257447043507703</v>
      </c>
      <c r="G343" t="b">
        <v>0</v>
      </c>
      <c r="H343" t="s">
        <v>32</v>
      </c>
      <c r="I343" t="s">
        <v>35</v>
      </c>
    </row>
    <row r="344" spans="1:9" x14ac:dyDescent="0.3">
      <c r="A344" t="str">
        <f t="shared" si="5"/>
        <v>CASE-0343</v>
      </c>
      <c r="B344" s="1">
        <v>46060</v>
      </c>
      <c r="C344" t="s">
        <v>12</v>
      </c>
      <c r="D344">
        <v>1</v>
      </c>
      <c r="E344" t="b">
        <v>1</v>
      </c>
      <c r="F344" s="2">
        <v>2.7439678063496107</v>
      </c>
      <c r="G344" t="b">
        <v>0</v>
      </c>
      <c r="H344" t="s">
        <v>21</v>
      </c>
      <c r="I344" t="s">
        <v>34</v>
      </c>
    </row>
    <row r="345" spans="1:9" x14ac:dyDescent="0.3">
      <c r="A345" t="str">
        <f t="shared" si="5"/>
        <v>CASE-0344</v>
      </c>
      <c r="B345" s="1">
        <v>46064</v>
      </c>
      <c r="C345" t="s">
        <v>9</v>
      </c>
      <c r="D345">
        <v>5</v>
      </c>
      <c r="E345" t="b">
        <v>0</v>
      </c>
      <c r="F345" s="2">
        <v>11.867985217648261</v>
      </c>
      <c r="G345" t="b">
        <v>0</v>
      </c>
      <c r="H345" t="s">
        <v>19</v>
      </c>
      <c r="I345" t="s">
        <v>34</v>
      </c>
    </row>
    <row r="346" spans="1:9" x14ac:dyDescent="0.3">
      <c r="A346" t="str">
        <f t="shared" si="5"/>
        <v>CASE-0345</v>
      </c>
      <c r="B346" s="1">
        <v>45776</v>
      </c>
      <c r="C346" t="s">
        <v>12</v>
      </c>
      <c r="D346">
        <v>2</v>
      </c>
      <c r="E346" t="b">
        <v>1</v>
      </c>
      <c r="F346" s="2">
        <v>7.0119233443570277</v>
      </c>
      <c r="G346" t="b">
        <v>0</v>
      </c>
      <c r="H346" t="s">
        <v>25</v>
      </c>
      <c r="I346" t="s">
        <v>34</v>
      </c>
    </row>
    <row r="347" spans="1:9" x14ac:dyDescent="0.3">
      <c r="A347" t="str">
        <f t="shared" si="5"/>
        <v>CASE-0346</v>
      </c>
      <c r="B347" s="1">
        <v>45969</v>
      </c>
      <c r="C347" t="s">
        <v>10</v>
      </c>
      <c r="D347">
        <v>5</v>
      </c>
      <c r="E347" t="b">
        <v>0</v>
      </c>
      <c r="F347" s="2">
        <v>7.5076617672257022</v>
      </c>
      <c r="G347" t="b">
        <v>0</v>
      </c>
      <c r="H347" t="s">
        <v>14</v>
      </c>
      <c r="I347" t="s">
        <v>34</v>
      </c>
    </row>
    <row r="348" spans="1:9" x14ac:dyDescent="0.3">
      <c r="A348" t="str">
        <f t="shared" si="5"/>
        <v>CASE-0347</v>
      </c>
      <c r="B348" s="1">
        <v>45560</v>
      </c>
      <c r="C348" t="s">
        <v>9</v>
      </c>
      <c r="D348">
        <v>1</v>
      </c>
      <c r="E348" t="b">
        <v>0</v>
      </c>
      <c r="F348" s="2">
        <v>31.507659501515775</v>
      </c>
      <c r="G348" t="b">
        <v>0</v>
      </c>
      <c r="H348" t="s">
        <v>18</v>
      </c>
      <c r="I348" t="s">
        <v>33</v>
      </c>
    </row>
    <row r="349" spans="1:9" x14ac:dyDescent="0.3">
      <c r="A349" t="str">
        <f t="shared" si="5"/>
        <v>CASE-0348</v>
      </c>
      <c r="B349" s="1">
        <v>45967</v>
      </c>
      <c r="C349" t="s">
        <v>11</v>
      </c>
      <c r="D349">
        <v>4</v>
      </c>
      <c r="E349" t="b">
        <v>0</v>
      </c>
      <c r="F349" s="2">
        <v>35.831960294393028</v>
      </c>
      <c r="G349" t="b">
        <v>0</v>
      </c>
      <c r="H349" t="s">
        <v>28</v>
      </c>
      <c r="I349" t="s">
        <v>33</v>
      </c>
    </row>
    <row r="350" spans="1:9" x14ac:dyDescent="0.3">
      <c r="A350" t="str">
        <f t="shared" si="5"/>
        <v>CASE-0349</v>
      </c>
      <c r="B350" s="1">
        <v>45782</v>
      </c>
      <c r="C350" t="s">
        <v>10</v>
      </c>
      <c r="D350">
        <v>3</v>
      </c>
      <c r="E350" t="b">
        <v>1</v>
      </c>
      <c r="F350" s="2">
        <v>12.213995177454283</v>
      </c>
      <c r="G350" t="b">
        <v>0</v>
      </c>
      <c r="H350" t="s">
        <v>30</v>
      </c>
      <c r="I350" t="s">
        <v>33</v>
      </c>
    </row>
    <row r="351" spans="1:9" x14ac:dyDescent="0.3">
      <c r="A351" t="str">
        <f t="shared" si="5"/>
        <v>CASE-0350</v>
      </c>
      <c r="B351" s="1">
        <v>45560</v>
      </c>
      <c r="C351" t="s">
        <v>10</v>
      </c>
      <c r="D351">
        <v>3</v>
      </c>
      <c r="E351" t="b">
        <v>0</v>
      </c>
      <c r="F351" s="2">
        <v>43.348624519961881</v>
      </c>
      <c r="G351" t="b">
        <v>0</v>
      </c>
      <c r="H351" t="s">
        <v>27</v>
      </c>
      <c r="I351" t="s">
        <v>33</v>
      </c>
    </row>
    <row r="352" spans="1:9" x14ac:dyDescent="0.3">
      <c r="A352" t="str">
        <f t="shared" si="5"/>
        <v>CASE-0351</v>
      </c>
      <c r="B352" s="1">
        <v>46068</v>
      </c>
      <c r="C352" t="s">
        <v>10</v>
      </c>
      <c r="D352">
        <v>2</v>
      </c>
      <c r="E352" t="b">
        <v>0</v>
      </c>
      <c r="F352" s="2">
        <v>6.3529360285467336</v>
      </c>
      <c r="G352" t="b">
        <v>1</v>
      </c>
      <c r="H352" t="s">
        <v>31</v>
      </c>
      <c r="I352" t="s">
        <v>34</v>
      </c>
    </row>
    <row r="353" spans="1:9" x14ac:dyDescent="0.3">
      <c r="A353" t="str">
        <f t="shared" si="5"/>
        <v>CASE-0352</v>
      </c>
      <c r="B353" s="1">
        <v>45850</v>
      </c>
      <c r="C353" t="s">
        <v>11</v>
      </c>
      <c r="D353">
        <v>5</v>
      </c>
      <c r="E353" t="b">
        <v>1</v>
      </c>
      <c r="F353" s="2">
        <v>6.5268394058757409</v>
      </c>
      <c r="G353" t="b">
        <v>0</v>
      </c>
      <c r="H353" t="s">
        <v>30</v>
      </c>
      <c r="I353" t="s">
        <v>34</v>
      </c>
    </row>
    <row r="354" spans="1:9" x14ac:dyDescent="0.3">
      <c r="A354" t="str">
        <f t="shared" si="5"/>
        <v>CASE-0353</v>
      </c>
      <c r="B354" s="1">
        <v>46179</v>
      </c>
      <c r="C354" t="s">
        <v>10</v>
      </c>
      <c r="D354">
        <v>1</v>
      </c>
      <c r="E354" t="b">
        <v>1</v>
      </c>
      <c r="F354" s="2">
        <v>30.070427208055694</v>
      </c>
      <c r="G354" t="b">
        <v>0</v>
      </c>
      <c r="H354" t="s">
        <v>16</v>
      </c>
      <c r="I354" t="s">
        <v>33</v>
      </c>
    </row>
    <row r="355" spans="1:9" x14ac:dyDescent="0.3">
      <c r="A355" t="str">
        <f t="shared" si="5"/>
        <v>CASE-0354</v>
      </c>
      <c r="B355" s="1">
        <v>46040</v>
      </c>
      <c r="C355" t="s">
        <v>11</v>
      </c>
      <c r="D355">
        <v>4</v>
      </c>
      <c r="E355" t="b">
        <v>1</v>
      </c>
      <c r="F355" s="2">
        <v>3.8079711807587437</v>
      </c>
      <c r="G355" t="b">
        <v>0</v>
      </c>
      <c r="H355" t="s">
        <v>27</v>
      </c>
      <c r="I355" t="s">
        <v>34</v>
      </c>
    </row>
    <row r="356" spans="1:9" x14ac:dyDescent="0.3">
      <c r="A356" t="str">
        <f t="shared" si="5"/>
        <v>CASE-0355</v>
      </c>
      <c r="B356" s="1">
        <v>46202</v>
      </c>
      <c r="C356" t="s">
        <v>9</v>
      </c>
      <c r="D356">
        <v>3</v>
      </c>
      <c r="E356" t="b">
        <v>1</v>
      </c>
      <c r="F356" s="2">
        <v>23.852635771597313</v>
      </c>
      <c r="G356" t="b">
        <v>0</v>
      </c>
      <c r="H356" t="s">
        <v>28</v>
      </c>
      <c r="I356" t="s">
        <v>33</v>
      </c>
    </row>
    <row r="357" spans="1:9" x14ac:dyDescent="0.3">
      <c r="A357" t="str">
        <f t="shared" si="5"/>
        <v>CASE-0356</v>
      </c>
      <c r="B357" s="1">
        <v>45595</v>
      </c>
      <c r="C357" t="s">
        <v>11</v>
      </c>
      <c r="D357">
        <v>1</v>
      </c>
      <c r="E357" t="b">
        <v>0</v>
      </c>
      <c r="F357" s="2">
        <v>12.168884170011408</v>
      </c>
      <c r="G357" t="b">
        <v>0</v>
      </c>
      <c r="H357" t="s">
        <v>21</v>
      </c>
      <c r="I357" t="s">
        <v>33</v>
      </c>
    </row>
    <row r="358" spans="1:9" x14ac:dyDescent="0.3">
      <c r="A358" t="str">
        <f t="shared" si="5"/>
        <v>CASE-0357</v>
      </c>
      <c r="B358" s="1">
        <v>45710</v>
      </c>
      <c r="C358" t="s">
        <v>12</v>
      </c>
      <c r="D358">
        <v>5</v>
      </c>
      <c r="E358" t="b">
        <v>1</v>
      </c>
      <c r="F358" s="2">
        <v>20.92598377823764</v>
      </c>
      <c r="G358" t="b">
        <v>0</v>
      </c>
      <c r="H358" t="s">
        <v>16</v>
      </c>
      <c r="I358" t="s">
        <v>33</v>
      </c>
    </row>
    <row r="359" spans="1:9" x14ac:dyDescent="0.3">
      <c r="A359" t="str">
        <f t="shared" si="5"/>
        <v>CASE-0358</v>
      </c>
      <c r="B359" s="1">
        <v>45792</v>
      </c>
      <c r="C359" t="s">
        <v>10</v>
      </c>
      <c r="D359">
        <v>4</v>
      </c>
      <c r="E359" t="b">
        <v>0</v>
      </c>
      <c r="F359" s="2">
        <v>20.865599078383557</v>
      </c>
      <c r="G359" t="b">
        <v>0</v>
      </c>
      <c r="H359" t="s">
        <v>13</v>
      </c>
      <c r="I359" t="s">
        <v>33</v>
      </c>
    </row>
    <row r="360" spans="1:9" x14ac:dyDescent="0.3">
      <c r="A360" t="str">
        <f t="shared" si="5"/>
        <v>CASE-0359</v>
      </c>
      <c r="B360" s="1">
        <v>45586</v>
      </c>
      <c r="C360" t="s">
        <v>11</v>
      </c>
      <c r="D360">
        <v>4</v>
      </c>
      <c r="E360" t="b">
        <v>0</v>
      </c>
      <c r="F360" s="2">
        <v>23.954363423412662</v>
      </c>
      <c r="G360" t="b">
        <v>0</v>
      </c>
      <c r="H360" t="s">
        <v>16</v>
      </c>
      <c r="I360" t="s">
        <v>33</v>
      </c>
    </row>
    <row r="361" spans="1:9" x14ac:dyDescent="0.3">
      <c r="A361" t="str">
        <f t="shared" si="5"/>
        <v>CASE-0360</v>
      </c>
      <c r="B361" s="1">
        <v>46078</v>
      </c>
      <c r="C361" t="s">
        <v>12</v>
      </c>
      <c r="D361">
        <v>2</v>
      </c>
      <c r="E361" t="b">
        <v>1</v>
      </c>
      <c r="F361" s="2">
        <v>16.579621444557315</v>
      </c>
      <c r="G361" t="b">
        <v>0</v>
      </c>
      <c r="H361" t="s">
        <v>22</v>
      </c>
      <c r="I361" t="s">
        <v>33</v>
      </c>
    </row>
    <row r="362" spans="1:9" x14ac:dyDescent="0.3">
      <c r="A362" t="str">
        <f t="shared" si="5"/>
        <v>CASE-0361</v>
      </c>
      <c r="B362" s="1">
        <v>45865</v>
      </c>
      <c r="C362" t="s">
        <v>11</v>
      </c>
      <c r="D362">
        <v>4</v>
      </c>
      <c r="E362" t="b">
        <v>1</v>
      </c>
      <c r="F362" s="2">
        <v>8.1811006771673469</v>
      </c>
      <c r="G362" t="b">
        <v>0</v>
      </c>
      <c r="H362" t="s">
        <v>16</v>
      </c>
      <c r="I362" t="s">
        <v>34</v>
      </c>
    </row>
    <row r="363" spans="1:9" x14ac:dyDescent="0.3">
      <c r="A363" t="str">
        <f t="shared" si="5"/>
        <v>CASE-0362</v>
      </c>
      <c r="B363" s="1">
        <v>45543</v>
      </c>
      <c r="C363" t="s">
        <v>12</v>
      </c>
      <c r="D363">
        <v>3</v>
      </c>
      <c r="E363" t="b">
        <v>0</v>
      </c>
      <c r="F363" s="2">
        <v>18.79814930463759</v>
      </c>
      <c r="G363" t="b">
        <v>0</v>
      </c>
      <c r="H363" t="s">
        <v>28</v>
      </c>
      <c r="I363" t="s">
        <v>33</v>
      </c>
    </row>
    <row r="364" spans="1:9" x14ac:dyDescent="0.3">
      <c r="A364" t="str">
        <f t="shared" si="5"/>
        <v>CASE-0363</v>
      </c>
      <c r="B364" s="1">
        <v>45633</v>
      </c>
      <c r="C364" t="s">
        <v>10</v>
      </c>
      <c r="D364">
        <v>4</v>
      </c>
      <c r="E364" t="b">
        <v>0</v>
      </c>
      <c r="F364" s="2">
        <v>11.998328003864739</v>
      </c>
      <c r="G364" t="b">
        <v>0</v>
      </c>
      <c r="H364" t="s">
        <v>21</v>
      </c>
      <c r="I364" t="s">
        <v>33</v>
      </c>
    </row>
    <row r="365" spans="1:9" x14ac:dyDescent="0.3">
      <c r="A365" t="str">
        <f t="shared" si="5"/>
        <v>CASE-0364</v>
      </c>
      <c r="B365" s="1">
        <v>46111</v>
      </c>
      <c r="C365" t="s">
        <v>10</v>
      </c>
      <c r="D365">
        <v>5</v>
      </c>
      <c r="E365" t="b">
        <v>1</v>
      </c>
      <c r="F365" s="2">
        <v>22.496221810969637</v>
      </c>
      <c r="G365" t="b">
        <v>0</v>
      </c>
      <c r="H365" t="s">
        <v>24</v>
      </c>
      <c r="I365" t="s">
        <v>33</v>
      </c>
    </row>
    <row r="366" spans="1:9" x14ac:dyDescent="0.3">
      <c r="A366" t="str">
        <f t="shared" si="5"/>
        <v>CASE-0365</v>
      </c>
      <c r="B366" s="1">
        <v>46021</v>
      </c>
      <c r="C366" t="s">
        <v>10</v>
      </c>
      <c r="D366">
        <v>5</v>
      </c>
      <c r="E366" t="b">
        <v>1</v>
      </c>
      <c r="F366" s="2">
        <v>6.2899822192758341</v>
      </c>
      <c r="G366" t="b">
        <v>0</v>
      </c>
      <c r="H366" t="s">
        <v>14</v>
      </c>
      <c r="I366" t="s">
        <v>34</v>
      </c>
    </row>
    <row r="367" spans="1:9" x14ac:dyDescent="0.3">
      <c r="A367" t="str">
        <f t="shared" si="5"/>
        <v>CASE-0366</v>
      </c>
      <c r="B367" s="1">
        <v>45647</v>
      </c>
      <c r="C367" t="s">
        <v>9</v>
      </c>
      <c r="D367">
        <v>3</v>
      </c>
      <c r="E367" t="b">
        <v>0</v>
      </c>
      <c r="F367" s="2">
        <v>25.613162072181851</v>
      </c>
      <c r="G367" t="b">
        <v>0</v>
      </c>
      <c r="H367" t="s">
        <v>30</v>
      </c>
      <c r="I367" t="s">
        <v>33</v>
      </c>
    </row>
    <row r="368" spans="1:9" x14ac:dyDescent="0.3">
      <c r="A368" t="str">
        <f t="shared" si="5"/>
        <v>CASE-0367</v>
      </c>
      <c r="B368" s="1">
        <v>45558</v>
      </c>
      <c r="C368" t="s">
        <v>12</v>
      </c>
      <c r="D368">
        <v>2</v>
      </c>
      <c r="E368" t="b">
        <v>0</v>
      </c>
      <c r="F368" s="2">
        <v>24.757942372023034</v>
      </c>
      <c r="G368" t="b">
        <v>0</v>
      </c>
      <c r="H368" t="s">
        <v>17</v>
      </c>
      <c r="I368" t="s">
        <v>33</v>
      </c>
    </row>
    <row r="369" spans="1:9" x14ac:dyDescent="0.3">
      <c r="A369" t="str">
        <f t="shared" si="5"/>
        <v>CASE-0368</v>
      </c>
      <c r="B369" s="1">
        <v>46087</v>
      </c>
      <c r="C369" t="s">
        <v>9</v>
      </c>
      <c r="D369">
        <v>4</v>
      </c>
      <c r="E369" t="b">
        <v>1</v>
      </c>
      <c r="F369" s="2">
        <v>7.5949227265064909</v>
      </c>
      <c r="G369" t="b">
        <v>0</v>
      </c>
      <c r="H369" t="s">
        <v>13</v>
      </c>
      <c r="I369" t="s">
        <v>34</v>
      </c>
    </row>
    <row r="370" spans="1:9" x14ac:dyDescent="0.3">
      <c r="A370" t="str">
        <f t="shared" si="5"/>
        <v>CASE-0369</v>
      </c>
      <c r="B370" s="1">
        <v>46053</v>
      </c>
      <c r="C370" t="s">
        <v>9</v>
      </c>
      <c r="D370">
        <v>3</v>
      </c>
      <c r="E370" t="b">
        <v>1</v>
      </c>
      <c r="F370" s="2">
        <v>3.6783782359948165</v>
      </c>
      <c r="G370" t="b">
        <v>0</v>
      </c>
      <c r="H370" t="s">
        <v>31</v>
      </c>
      <c r="I370" t="s">
        <v>34</v>
      </c>
    </row>
    <row r="371" spans="1:9" x14ac:dyDescent="0.3">
      <c r="A371" t="str">
        <f t="shared" si="5"/>
        <v>CASE-0370</v>
      </c>
      <c r="B371" s="1">
        <v>46007</v>
      </c>
      <c r="C371" t="s">
        <v>10</v>
      </c>
      <c r="D371">
        <v>3</v>
      </c>
      <c r="E371" t="b">
        <v>0</v>
      </c>
      <c r="F371" s="2">
        <v>5.153841886838606</v>
      </c>
      <c r="G371" t="b">
        <v>0</v>
      </c>
      <c r="H371" t="s">
        <v>14</v>
      </c>
      <c r="I371" t="s">
        <v>34</v>
      </c>
    </row>
    <row r="372" spans="1:9" x14ac:dyDescent="0.3">
      <c r="A372" t="str">
        <f t="shared" si="5"/>
        <v>CASE-0371</v>
      </c>
      <c r="B372" s="1">
        <v>45583</v>
      </c>
      <c r="C372" t="s">
        <v>11</v>
      </c>
      <c r="D372">
        <v>4</v>
      </c>
      <c r="E372" t="b">
        <v>0</v>
      </c>
      <c r="F372" s="2">
        <v>28.182364239529004</v>
      </c>
      <c r="G372" t="b">
        <v>0</v>
      </c>
      <c r="H372" t="s">
        <v>20</v>
      </c>
      <c r="I372" t="s">
        <v>33</v>
      </c>
    </row>
    <row r="373" spans="1:9" x14ac:dyDescent="0.3">
      <c r="A373" t="str">
        <f t="shared" si="5"/>
        <v>CASE-0372</v>
      </c>
      <c r="B373" s="1">
        <v>46186</v>
      </c>
      <c r="C373" t="s">
        <v>12</v>
      </c>
      <c r="D373">
        <v>3</v>
      </c>
      <c r="E373" t="b">
        <v>1</v>
      </c>
      <c r="F373" s="2">
        <v>5.6658407137836919</v>
      </c>
      <c r="G373" t="b">
        <v>0</v>
      </c>
      <c r="H373" t="s">
        <v>24</v>
      </c>
      <c r="I373" t="s">
        <v>34</v>
      </c>
    </row>
    <row r="374" spans="1:9" x14ac:dyDescent="0.3">
      <c r="A374" t="str">
        <f t="shared" si="5"/>
        <v>CASE-0373</v>
      </c>
      <c r="B374" s="1">
        <v>46102</v>
      </c>
      <c r="C374" t="s">
        <v>12</v>
      </c>
      <c r="D374">
        <v>1</v>
      </c>
      <c r="E374" t="b">
        <v>1</v>
      </c>
      <c r="F374" s="2">
        <v>7.7929469988018916</v>
      </c>
      <c r="G374" t="b">
        <v>0</v>
      </c>
      <c r="H374" t="s">
        <v>16</v>
      </c>
      <c r="I374" t="s">
        <v>35</v>
      </c>
    </row>
    <row r="375" spans="1:9" x14ac:dyDescent="0.3">
      <c r="A375" t="str">
        <f t="shared" si="5"/>
        <v>CASE-0374</v>
      </c>
      <c r="B375" s="1">
        <v>45518</v>
      </c>
      <c r="C375" t="s">
        <v>9</v>
      </c>
      <c r="D375">
        <v>5</v>
      </c>
      <c r="E375" t="b">
        <v>0</v>
      </c>
      <c r="F375" s="2">
        <v>21.922595648371608</v>
      </c>
      <c r="G375" t="b">
        <v>1</v>
      </c>
      <c r="H375" t="s">
        <v>18</v>
      </c>
      <c r="I375" t="s">
        <v>33</v>
      </c>
    </row>
    <row r="376" spans="1:9" x14ac:dyDescent="0.3">
      <c r="A376" t="str">
        <f t="shared" si="5"/>
        <v>CASE-0375</v>
      </c>
      <c r="B376" s="1">
        <v>45620</v>
      </c>
      <c r="C376" t="s">
        <v>10</v>
      </c>
      <c r="D376">
        <v>2</v>
      </c>
      <c r="E376" t="b">
        <v>0</v>
      </c>
      <c r="F376" s="2">
        <v>16.531359337620671</v>
      </c>
      <c r="G376" t="b">
        <v>0</v>
      </c>
      <c r="H376" t="s">
        <v>32</v>
      </c>
      <c r="I376" t="s">
        <v>33</v>
      </c>
    </row>
    <row r="377" spans="1:9" x14ac:dyDescent="0.3">
      <c r="A377" t="str">
        <f t="shared" si="5"/>
        <v>CASE-0376</v>
      </c>
      <c r="B377" s="1">
        <v>45576</v>
      </c>
      <c r="C377" t="s">
        <v>11</v>
      </c>
      <c r="D377">
        <v>3</v>
      </c>
      <c r="E377" t="b">
        <v>0</v>
      </c>
      <c r="F377" s="2">
        <v>37.770494167215986</v>
      </c>
      <c r="G377" t="b">
        <v>0</v>
      </c>
      <c r="H377" t="s">
        <v>32</v>
      </c>
      <c r="I377" t="s">
        <v>33</v>
      </c>
    </row>
    <row r="378" spans="1:9" x14ac:dyDescent="0.3">
      <c r="A378" t="str">
        <f t="shared" si="5"/>
        <v>CASE-0377</v>
      </c>
      <c r="B378" s="1">
        <v>45655</v>
      </c>
      <c r="C378" t="s">
        <v>9</v>
      </c>
      <c r="D378">
        <v>5</v>
      </c>
      <c r="E378" t="b">
        <v>0</v>
      </c>
      <c r="F378" s="2">
        <v>16.043639891392665</v>
      </c>
      <c r="G378" t="b">
        <v>0</v>
      </c>
      <c r="H378" t="s">
        <v>17</v>
      </c>
      <c r="I378" t="s">
        <v>33</v>
      </c>
    </row>
    <row r="379" spans="1:9" x14ac:dyDescent="0.3">
      <c r="A379" t="str">
        <f t="shared" si="5"/>
        <v>CASE-0378</v>
      </c>
      <c r="B379" s="1">
        <v>45875</v>
      </c>
      <c r="C379" t="s">
        <v>10</v>
      </c>
      <c r="D379">
        <v>3</v>
      </c>
      <c r="E379" t="b">
        <v>1</v>
      </c>
      <c r="F379" s="2">
        <v>7.2716418904856823</v>
      </c>
      <c r="G379" t="b">
        <v>0</v>
      </c>
      <c r="H379" t="s">
        <v>30</v>
      </c>
      <c r="I379" t="s">
        <v>34</v>
      </c>
    </row>
    <row r="380" spans="1:9" x14ac:dyDescent="0.3">
      <c r="A380" t="str">
        <f t="shared" si="5"/>
        <v>CASE-0379</v>
      </c>
      <c r="B380" s="1">
        <v>46058</v>
      </c>
      <c r="C380" t="s">
        <v>9</v>
      </c>
      <c r="D380">
        <v>5</v>
      </c>
      <c r="E380" t="b">
        <v>1</v>
      </c>
      <c r="F380" s="2">
        <v>6.7411520798754578</v>
      </c>
      <c r="G380" t="b">
        <v>0</v>
      </c>
      <c r="H380" t="s">
        <v>21</v>
      </c>
      <c r="I380" t="s">
        <v>35</v>
      </c>
    </row>
    <row r="381" spans="1:9" x14ac:dyDescent="0.3">
      <c r="A381" t="str">
        <f t="shared" si="5"/>
        <v>CASE-0380</v>
      </c>
      <c r="B381" s="1">
        <v>45968</v>
      </c>
      <c r="C381" t="s">
        <v>9</v>
      </c>
      <c r="D381">
        <v>3</v>
      </c>
      <c r="E381" t="b">
        <v>1</v>
      </c>
      <c r="F381" s="2">
        <v>5.7475140470045103</v>
      </c>
      <c r="G381" t="b">
        <v>0</v>
      </c>
      <c r="H381" t="s">
        <v>14</v>
      </c>
      <c r="I381" t="s">
        <v>34</v>
      </c>
    </row>
    <row r="382" spans="1:9" x14ac:dyDescent="0.3">
      <c r="A382" t="str">
        <f t="shared" si="5"/>
        <v>CASE-0381</v>
      </c>
      <c r="B382" s="1">
        <v>46066</v>
      </c>
      <c r="C382" t="s">
        <v>10</v>
      </c>
      <c r="D382">
        <v>3</v>
      </c>
      <c r="E382" t="b">
        <v>1</v>
      </c>
      <c r="F382" s="2">
        <v>5.4635705328652735</v>
      </c>
      <c r="G382" t="b">
        <v>0</v>
      </c>
      <c r="H382" t="s">
        <v>18</v>
      </c>
      <c r="I382" t="s">
        <v>34</v>
      </c>
    </row>
    <row r="383" spans="1:9" x14ac:dyDescent="0.3">
      <c r="A383" t="str">
        <f t="shared" si="5"/>
        <v>CASE-0382</v>
      </c>
      <c r="B383" s="1">
        <v>45662</v>
      </c>
      <c r="C383" t="s">
        <v>12</v>
      </c>
      <c r="D383">
        <v>3</v>
      </c>
      <c r="E383" t="b">
        <v>1</v>
      </c>
      <c r="F383" s="2">
        <v>15.218390524526605</v>
      </c>
      <c r="G383" t="b">
        <v>0</v>
      </c>
      <c r="H383" t="s">
        <v>16</v>
      </c>
      <c r="I383" t="s">
        <v>33</v>
      </c>
    </row>
    <row r="384" spans="1:9" x14ac:dyDescent="0.3">
      <c r="A384" t="str">
        <f t="shared" si="5"/>
        <v>CASE-0383</v>
      </c>
      <c r="B384" s="1">
        <v>45951</v>
      </c>
      <c r="C384" t="s">
        <v>11</v>
      </c>
      <c r="D384">
        <v>2</v>
      </c>
      <c r="E384" t="b">
        <v>1</v>
      </c>
      <c r="F384" s="2">
        <v>8.062387436544773</v>
      </c>
      <c r="G384" t="b">
        <v>0</v>
      </c>
      <c r="H384" t="s">
        <v>21</v>
      </c>
      <c r="I384" t="s">
        <v>34</v>
      </c>
    </row>
    <row r="385" spans="1:9" x14ac:dyDescent="0.3">
      <c r="A385" t="str">
        <f t="shared" si="5"/>
        <v>CASE-0384</v>
      </c>
      <c r="B385" s="1">
        <v>45903</v>
      </c>
      <c r="C385" t="s">
        <v>12</v>
      </c>
      <c r="D385">
        <v>5</v>
      </c>
      <c r="E385" t="b">
        <v>1</v>
      </c>
      <c r="F385" s="2">
        <v>11.781209457660278</v>
      </c>
      <c r="G385" t="b">
        <v>0</v>
      </c>
      <c r="H385" t="s">
        <v>19</v>
      </c>
      <c r="I385" t="s">
        <v>34</v>
      </c>
    </row>
    <row r="386" spans="1:9" x14ac:dyDescent="0.3">
      <c r="A386" t="str">
        <f t="shared" si="5"/>
        <v>CASE-0385</v>
      </c>
      <c r="B386" s="1">
        <v>45825</v>
      </c>
      <c r="C386" t="s">
        <v>10</v>
      </c>
      <c r="D386">
        <v>2</v>
      </c>
      <c r="E386" t="b">
        <v>1</v>
      </c>
      <c r="F386" s="2">
        <v>4.9756895782321839</v>
      </c>
      <c r="G386" t="b">
        <v>0</v>
      </c>
      <c r="H386" t="s">
        <v>32</v>
      </c>
      <c r="I386" t="s">
        <v>34</v>
      </c>
    </row>
    <row r="387" spans="1:9" x14ac:dyDescent="0.3">
      <c r="A387" t="str">
        <f t="shared" ref="A387:A450" si="6">"CASE-"&amp;TEXT(ROW()-1,"0000")</f>
        <v>CASE-0386</v>
      </c>
      <c r="B387" s="1">
        <v>45863</v>
      </c>
      <c r="C387" t="s">
        <v>11</v>
      </c>
      <c r="D387">
        <v>1</v>
      </c>
      <c r="E387" t="b">
        <v>1</v>
      </c>
      <c r="F387" s="2">
        <v>6.427467111107096</v>
      </c>
      <c r="G387" t="b">
        <v>0</v>
      </c>
      <c r="H387" t="s">
        <v>19</v>
      </c>
      <c r="I387" t="s">
        <v>34</v>
      </c>
    </row>
    <row r="388" spans="1:9" x14ac:dyDescent="0.3">
      <c r="A388" t="str">
        <f t="shared" si="6"/>
        <v>CASE-0387</v>
      </c>
      <c r="B388" s="1">
        <v>45556</v>
      </c>
      <c r="C388" t="s">
        <v>9</v>
      </c>
      <c r="D388">
        <v>1</v>
      </c>
      <c r="E388" t="b">
        <v>0</v>
      </c>
      <c r="F388" s="2">
        <v>35.532394755824875</v>
      </c>
      <c r="G388" t="b">
        <v>0</v>
      </c>
      <c r="H388" t="s">
        <v>13</v>
      </c>
      <c r="I388" t="s">
        <v>33</v>
      </c>
    </row>
    <row r="389" spans="1:9" x14ac:dyDescent="0.3">
      <c r="A389" t="str">
        <f t="shared" si="6"/>
        <v>CASE-0388</v>
      </c>
      <c r="B389" s="1">
        <v>45506</v>
      </c>
      <c r="C389" t="s">
        <v>12</v>
      </c>
      <c r="D389">
        <v>1</v>
      </c>
      <c r="E389" t="b">
        <v>0</v>
      </c>
      <c r="F389" s="2">
        <v>29.222956260232166</v>
      </c>
      <c r="G389" t="b">
        <v>0</v>
      </c>
      <c r="H389" t="s">
        <v>29</v>
      </c>
      <c r="I389" t="s">
        <v>33</v>
      </c>
    </row>
    <row r="390" spans="1:9" x14ac:dyDescent="0.3">
      <c r="A390" t="str">
        <f t="shared" si="6"/>
        <v>CASE-0389</v>
      </c>
      <c r="B390" s="1">
        <v>46134</v>
      </c>
      <c r="C390" t="s">
        <v>11</v>
      </c>
      <c r="D390">
        <v>5</v>
      </c>
      <c r="E390" t="b">
        <v>1</v>
      </c>
      <c r="F390" s="2">
        <v>9.1446575005409088</v>
      </c>
      <c r="G390" t="b">
        <v>0</v>
      </c>
      <c r="H390" t="s">
        <v>16</v>
      </c>
      <c r="I390" t="s">
        <v>34</v>
      </c>
    </row>
    <row r="391" spans="1:9" x14ac:dyDescent="0.3">
      <c r="A391" t="str">
        <f t="shared" si="6"/>
        <v>CASE-0390</v>
      </c>
      <c r="B391" s="1">
        <v>45787</v>
      </c>
      <c r="C391" t="s">
        <v>9</v>
      </c>
      <c r="D391">
        <v>1</v>
      </c>
      <c r="E391" t="b">
        <v>1</v>
      </c>
      <c r="F391" s="2">
        <v>2.5273653308394448</v>
      </c>
      <c r="G391" t="b">
        <v>0</v>
      </c>
      <c r="H391" t="s">
        <v>27</v>
      </c>
      <c r="I391" t="s">
        <v>35</v>
      </c>
    </row>
    <row r="392" spans="1:9" x14ac:dyDescent="0.3">
      <c r="A392" t="str">
        <f t="shared" si="6"/>
        <v>CASE-0391</v>
      </c>
      <c r="B392" s="1">
        <v>45938</v>
      </c>
      <c r="C392" t="s">
        <v>12</v>
      </c>
      <c r="D392">
        <v>1</v>
      </c>
      <c r="E392" t="b">
        <v>1</v>
      </c>
      <c r="F392" s="2">
        <v>4.6579712671529636</v>
      </c>
      <c r="G392" t="b">
        <v>0</v>
      </c>
      <c r="H392" t="s">
        <v>13</v>
      </c>
      <c r="I392" t="s">
        <v>34</v>
      </c>
    </row>
    <row r="393" spans="1:9" x14ac:dyDescent="0.3">
      <c r="A393" t="str">
        <f t="shared" si="6"/>
        <v>CASE-0392</v>
      </c>
      <c r="B393" s="1">
        <v>45566</v>
      </c>
      <c r="C393" t="s">
        <v>11</v>
      </c>
      <c r="D393">
        <v>4</v>
      </c>
      <c r="E393" t="b">
        <v>0</v>
      </c>
      <c r="F393" s="2">
        <v>14.092867283355488</v>
      </c>
      <c r="G393" t="b">
        <v>0</v>
      </c>
      <c r="H393" t="s">
        <v>25</v>
      </c>
      <c r="I393" t="s">
        <v>33</v>
      </c>
    </row>
    <row r="394" spans="1:9" x14ac:dyDescent="0.3">
      <c r="A394" t="str">
        <f t="shared" si="6"/>
        <v>CASE-0393</v>
      </c>
      <c r="B394" s="1">
        <v>46040</v>
      </c>
      <c r="C394" t="s">
        <v>12</v>
      </c>
      <c r="D394">
        <v>4</v>
      </c>
      <c r="E394" t="b">
        <v>1</v>
      </c>
      <c r="F394" s="2">
        <v>6.2710315899601108</v>
      </c>
      <c r="G394" t="b">
        <v>0</v>
      </c>
      <c r="H394" t="s">
        <v>29</v>
      </c>
      <c r="I394" t="s">
        <v>34</v>
      </c>
    </row>
    <row r="395" spans="1:9" x14ac:dyDescent="0.3">
      <c r="A395" t="str">
        <f t="shared" si="6"/>
        <v>CASE-0394</v>
      </c>
      <c r="B395" s="1">
        <v>45708</v>
      </c>
      <c r="C395" t="s">
        <v>10</v>
      </c>
      <c r="D395">
        <v>4</v>
      </c>
      <c r="E395" t="b">
        <v>1</v>
      </c>
      <c r="F395" s="2">
        <v>7.6741778742557543</v>
      </c>
      <c r="G395" t="b">
        <v>0</v>
      </c>
      <c r="H395" t="s">
        <v>22</v>
      </c>
      <c r="I395" t="s">
        <v>34</v>
      </c>
    </row>
    <row r="396" spans="1:9" x14ac:dyDescent="0.3">
      <c r="A396" t="str">
        <f t="shared" si="6"/>
        <v>CASE-0395</v>
      </c>
      <c r="B396" s="1">
        <v>46089</v>
      </c>
      <c r="C396" t="s">
        <v>9</v>
      </c>
      <c r="D396">
        <v>2</v>
      </c>
      <c r="E396" t="b">
        <v>1</v>
      </c>
      <c r="F396" s="2">
        <v>4.5341396341444629</v>
      </c>
      <c r="G396" t="b">
        <v>0</v>
      </c>
      <c r="H396" t="s">
        <v>27</v>
      </c>
      <c r="I396" t="s">
        <v>34</v>
      </c>
    </row>
    <row r="397" spans="1:9" x14ac:dyDescent="0.3">
      <c r="A397" t="str">
        <f t="shared" si="6"/>
        <v>CASE-0396</v>
      </c>
      <c r="B397" s="1">
        <v>45931</v>
      </c>
      <c r="C397" t="s">
        <v>9</v>
      </c>
      <c r="D397">
        <v>1</v>
      </c>
      <c r="E397" t="b">
        <v>1</v>
      </c>
      <c r="F397" s="2">
        <v>6.992678998287893</v>
      </c>
      <c r="G397" t="b">
        <v>0</v>
      </c>
      <c r="H397" t="s">
        <v>31</v>
      </c>
      <c r="I397" t="s">
        <v>34</v>
      </c>
    </row>
    <row r="398" spans="1:9" x14ac:dyDescent="0.3">
      <c r="A398" t="str">
        <f t="shared" si="6"/>
        <v>CASE-0397</v>
      </c>
      <c r="B398" s="1">
        <v>46135</v>
      </c>
      <c r="C398" t="s">
        <v>10</v>
      </c>
      <c r="D398">
        <v>5</v>
      </c>
      <c r="E398" t="b">
        <v>1</v>
      </c>
      <c r="F398" s="2">
        <v>1.4197341513328325</v>
      </c>
      <c r="G398" t="b">
        <v>0</v>
      </c>
      <c r="H398" t="s">
        <v>25</v>
      </c>
      <c r="I398" t="s">
        <v>34</v>
      </c>
    </row>
    <row r="399" spans="1:9" x14ac:dyDescent="0.3">
      <c r="A399" t="str">
        <f t="shared" si="6"/>
        <v>CASE-0398</v>
      </c>
      <c r="B399" s="1">
        <v>46164</v>
      </c>
      <c r="C399" t="s">
        <v>10</v>
      </c>
      <c r="D399">
        <v>5</v>
      </c>
      <c r="E399" t="b">
        <v>1</v>
      </c>
      <c r="F399" s="2">
        <v>8.8720677296289434</v>
      </c>
      <c r="G399" t="b">
        <v>0</v>
      </c>
      <c r="H399" t="s">
        <v>31</v>
      </c>
      <c r="I399" t="s">
        <v>34</v>
      </c>
    </row>
    <row r="400" spans="1:9" x14ac:dyDescent="0.3">
      <c r="A400" t="str">
        <f t="shared" si="6"/>
        <v>CASE-0399</v>
      </c>
      <c r="B400" s="1">
        <v>45597</v>
      </c>
      <c r="C400" t="s">
        <v>10</v>
      </c>
      <c r="D400">
        <v>2</v>
      </c>
      <c r="E400" t="b">
        <v>0</v>
      </c>
      <c r="F400" s="2">
        <v>23.46083677557516</v>
      </c>
      <c r="G400" t="b">
        <v>0</v>
      </c>
      <c r="H400" t="s">
        <v>21</v>
      </c>
      <c r="I400" t="s">
        <v>33</v>
      </c>
    </row>
    <row r="401" spans="1:9" x14ac:dyDescent="0.3">
      <c r="A401" t="str">
        <f t="shared" si="6"/>
        <v>CASE-0400</v>
      </c>
      <c r="B401" s="1">
        <v>45812</v>
      </c>
      <c r="C401" t="s">
        <v>9</v>
      </c>
      <c r="D401">
        <v>2</v>
      </c>
      <c r="E401" t="b">
        <v>1</v>
      </c>
      <c r="F401" s="2">
        <v>4.8166618419667362</v>
      </c>
      <c r="G401" t="b">
        <v>0</v>
      </c>
      <c r="H401" t="s">
        <v>21</v>
      </c>
      <c r="I401" t="s">
        <v>34</v>
      </c>
    </row>
    <row r="402" spans="1:9" x14ac:dyDescent="0.3">
      <c r="A402" t="str">
        <f t="shared" si="6"/>
        <v>CASE-0401</v>
      </c>
      <c r="B402" s="1">
        <v>45918</v>
      </c>
      <c r="C402" t="s">
        <v>12</v>
      </c>
      <c r="D402">
        <v>3</v>
      </c>
      <c r="E402" t="b">
        <v>1</v>
      </c>
      <c r="F402" s="2">
        <v>3.0441886537566196</v>
      </c>
      <c r="G402" t="b">
        <v>0</v>
      </c>
      <c r="H402" t="s">
        <v>31</v>
      </c>
      <c r="I402" t="s">
        <v>34</v>
      </c>
    </row>
    <row r="403" spans="1:9" x14ac:dyDescent="0.3">
      <c r="A403" t="str">
        <f t="shared" si="6"/>
        <v>CASE-0402</v>
      </c>
      <c r="B403" s="1">
        <v>45711</v>
      </c>
      <c r="C403" t="s">
        <v>12</v>
      </c>
      <c r="D403">
        <v>3</v>
      </c>
      <c r="E403" t="b">
        <v>1</v>
      </c>
      <c r="F403" s="2">
        <v>6.8816682689831614</v>
      </c>
      <c r="G403" t="b">
        <v>0</v>
      </c>
      <c r="H403" t="s">
        <v>14</v>
      </c>
      <c r="I403" t="s">
        <v>34</v>
      </c>
    </row>
    <row r="404" spans="1:9" x14ac:dyDescent="0.3">
      <c r="A404" t="str">
        <f t="shared" si="6"/>
        <v>CASE-0403</v>
      </c>
      <c r="B404" s="1">
        <v>45872</v>
      </c>
      <c r="C404" t="s">
        <v>10</v>
      </c>
      <c r="D404">
        <v>1</v>
      </c>
      <c r="E404" t="b">
        <v>1</v>
      </c>
      <c r="F404" s="2">
        <v>5.5457192106511926</v>
      </c>
      <c r="G404" t="b">
        <v>0</v>
      </c>
      <c r="H404" t="s">
        <v>27</v>
      </c>
      <c r="I404" t="s">
        <v>34</v>
      </c>
    </row>
    <row r="405" spans="1:9" x14ac:dyDescent="0.3">
      <c r="A405" t="str">
        <f t="shared" si="6"/>
        <v>CASE-0404</v>
      </c>
      <c r="B405" s="1">
        <v>45961</v>
      </c>
      <c r="C405" t="s">
        <v>11</v>
      </c>
      <c r="D405">
        <v>4</v>
      </c>
      <c r="E405" t="b">
        <v>1</v>
      </c>
      <c r="F405" s="2">
        <v>4.7376552866948112</v>
      </c>
      <c r="G405" t="b">
        <v>0</v>
      </c>
      <c r="H405" t="s">
        <v>25</v>
      </c>
      <c r="I405" t="s">
        <v>34</v>
      </c>
    </row>
    <row r="406" spans="1:9" x14ac:dyDescent="0.3">
      <c r="A406" t="str">
        <f t="shared" si="6"/>
        <v>CASE-0405</v>
      </c>
      <c r="B406" s="1">
        <v>45776</v>
      </c>
      <c r="C406" t="s">
        <v>10</v>
      </c>
      <c r="D406">
        <v>1</v>
      </c>
      <c r="E406" t="b">
        <v>1</v>
      </c>
      <c r="F406" s="2">
        <v>4.7810951111310516</v>
      </c>
      <c r="G406" t="b">
        <v>0</v>
      </c>
      <c r="H406" t="s">
        <v>17</v>
      </c>
      <c r="I406" t="s">
        <v>34</v>
      </c>
    </row>
    <row r="407" spans="1:9" x14ac:dyDescent="0.3">
      <c r="A407" t="str">
        <f t="shared" si="6"/>
        <v>CASE-0406</v>
      </c>
      <c r="B407" s="1">
        <v>45705</v>
      </c>
      <c r="C407" t="s">
        <v>9</v>
      </c>
      <c r="D407">
        <v>4</v>
      </c>
      <c r="E407" t="b">
        <v>1</v>
      </c>
      <c r="F407" s="2">
        <v>4.3447951326540988</v>
      </c>
      <c r="G407" t="b">
        <v>0</v>
      </c>
      <c r="H407" t="s">
        <v>13</v>
      </c>
      <c r="I407" t="s">
        <v>34</v>
      </c>
    </row>
    <row r="408" spans="1:9" x14ac:dyDescent="0.3">
      <c r="A408" t="str">
        <f t="shared" si="6"/>
        <v>CASE-0407</v>
      </c>
      <c r="B408" s="1">
        <v>46045</v>
      </c>
      <c r="C408" t="s">
        <v>11</v>
      </c>
      <c r="D408">
        <v>4</v>
      </c>
      <c r="E408" t="b">
        <v>1</v>
      </c>
      <c r="F408" s="2">
        <v>18.416351942824793</v>
      </c>
      <c r="G408" t="b">
        <v>0</v>
      </c>
      <c r="H408" t="s">
        <v>17</v>
      </c>
      <c r="I408" t="s">
        <v>33</v>
      </c>
    </row>
    <row r="409" spans="1:9" x14ac:dyDescent="0.3">
      <c r="A409" t="str">
        <f t="shared" si="6"/>
        <v>CASE-0408</v>
      </c>
      <c r="B409" s="1">
        <v>45944</v>
      </c>
      <c r="C409" t="s">
        <v>12</v>
      </c>
      <c r="D409">
        <v>4</v>
      </c>
      <c r="E409" t="b">
        <v>0</v>
      </c>
      <c r="F409" s="2">
        <v>4.0172875209825296</v>
      </c>
      <c r="G409" t="b">
        <v>0</v>
      </c>
      <c r="H409" t="s">
        <v>19</v>
      </c>
      <c r="I409" t="s">
        <v>34</v>
      </c>
    </row>
    <row r="410" spans="1:9" x14ac:dyDescent="0.3">
      <c r="A410" t="str">
        <f t="shared" si="6"/>
        <v>CASE-0409</v>
      </c>
      <c r="B410" s="1">
        <v>46015</v>
      </c>
      <c r="C410" t="s">
        <v>9</v>
      </c>
      <c r="D410">
        <v>5</v>
      </c>
      <c r="E410" t="b">
        <v>1</v>
      </c>
      <c r="F410" s="2">
        <v>16.607084096846211</v>
      </c>
      <c r="G410" t="b">
        <v>0</v>
      </c>
      <c r="H410" t="s">
        <v>31</v>
      </c>
      <c r="I410" t="s">
        <v>33</v>
      </c>
    </row>
    <row r="411" spans="1:9" x14ac:dyDescent="0.3">
      <c r="A411" t="str">
        <f t="shared" si="6"/>
        <v>CASE-0410</v>
      </c>
      <c r="B411" s="1">
        <v>45727</v>
      </c>
      <c r="C411" t="s">
        <v>9</v>
      </c>
      <c r="D411">
        <v>4</v>
      </c>
      <c r="E411" t="b">
        <v>1</v>
      </c>
      <c r="F411" s="2">
        <v>5.8343279783751241</v>
      </c>
      <c r="G411" t="b">
        <v>0</v>
      </c>
      <c r="H411" t="s">
        <v>24</v>
      </c>
      <c r="I411" t="s">
        <v>34</v>
      </c>
    </row>
    <row r="412" spans="1:9" x14ac:dyDescent="0.3">
      <c r="A412" t="str">
        <f t="shared" si="6"/>
        <v>CASE-0411</v>
      </c>
      <c r="B412" s="1">
        <v>45852</v>
      </c>
      <c r="C412" t="s">
        <v>9</v>
      </c>
      <c r="D412">
        <v>4</v>
      </c>
      <c r="E412" t="b">
        <v>1</v>
      </c>
      <c r="F412" s="2">
        <v>7.0532349860134591</v>
      </c>
      <c r="G412" t="b">
        <v>0</v>
      </c>
      <c r="H412" t="s">
        <v>32</v>
      </c>
      <c r="I412" t="s">
        <v>34</v>
      </c>
    </row>
    <row r="413" spans="1:9" x14ac:dyDescent="0.3">
      <c r="A413" t="str">
        <f t="shared" si="6"/>
        <v>CASE-0412</v>
      </c>
      <c r="B413" s="1">
        <v>45716</v>
      </c>
      <c r="C413" t="s">
        <v>12</v>
      </c>
      <c r="D413">
        <v>3</v>
      </c>
      <c r="E413" t="b">
        <v>1</v>
      </c>
      <c r="F413" s="2">
        <v>9.7816770976710448</v>
      </c>
      <c r="G413" t="b">
        <v>0</v>
      </c>
      <c r="H413" t="s">
        <v>16</v>
      </c>
      <c r="I413" t="s">
        <v>35</v>
      </c>
    </row>
    <row r="414" spans="1:9" x14ac:dyDescent="0.3">
      <c r="A414" t="str">
        <f t="shared" si="6"/>
        <v>CASE-0413</v>
      </c>
      <c r="B414" s="1">
        <v>45612</v>
      </c>
      <c r="C414" t="s">
        <v>10</v>
      </c>
      <c r="D414">
        <v>5</v>
      </c>
      <c r="E414" t="b">
        <v>0</v>
      </c>
      <c r="F414" s="2">
        <v>20.840190972562265</v>
      </c>
      <c r="G414" t="b">
        <v>0</v>
      </c>
      <c r="H414" t="s">
        <v>23</v>
      </c>
      <c r="I414" t="s">
        <v>33</v>
      </c>
    </row>
    <row r="415" spans="1:9" x14ac:dyDescent="0.3">
      <c r="A415" t="str">
        <f t="shared" si="6"/>
        <v>CASE-0414</v>
      </c>
      <c r="B415" s="1">
        <v>46116</v>
      </c>
      <c r="C415" t="s">
        <v>10</v>
      </c>
      <c r="D415">
        <v>5</v>
      </c>
      <c r="E415" t="b">
        <v>1</v>
      </c>
      <c r="F415" s="2">
        <v>10.092989286344253</v>
      </c>
      <c r="G415" t="b">
        <v>0</v>
      </c>
      <c r="H415" t="s">
        <v>19</v>
      </c>
      <c r="I415" t="s">
        <v>34</v>
      </c>
    </row>
    <row r="416" spans="1:9" x14ac:dyDescent="0.3">
      <c r="A416" t="str">
        <f t="shared" si="6"/>
        <v>CASE-0415</v>
      </c>
      <c r="B416" s="1">
        <v>45755</v>
      </c>
      <c r="C416" t="s">
        <v>10</v>
      </c>
      <c r="D416">
        <v>5</v>
      </c>
      <c r="E416" t="b">
        <v>1</v>
      </c>
      <c r="F416" s="2">
        <v>6.8623813622286578</v>
      </c>
      <c r="G416" t="b">
        <v>0</v>
      </c>
      <c r="H416" t="s">
        <v>20</v>
      </c>
      <c r="I416" t="s">
        <v>34</v>
      </c>
    </row>
    <row r="417" spans="1:9" x14ac:dyDescent="0.3">
      <c r="A417" t="str">
        <f t="shared" si="6"/>
        <v>CASE-0416</v>
      </c>
      <c r="B417" s="1">
        <v>45850</v>
      </c>
      <c r="C417" t="s">
        <v>12</v>
      </c>
      <c r="D417">
        <v>2</v>
      </c>
      <c r="E417" t="b">
        <v>1</v>
      </c>
      <c r="F417" s="2">
        <v>4.9626450306467227</v>
      </c>
      <c r="G417" t="b">
        <v>0</v>
      </c>
      <c r="H417" t="s">
        <v>14</v>
      </c>
      <c r="I417" t="s">
        <v>35</v>
      </c>
    </row>
    <row r="418" spans="1:9" x14ac:dyDescent="0.3">
      <c r="A418" t="str">
        <f t="shared" si="6"/>
        <v>CASE-0417</v>
      </c>
      <c r="B418" s="1">
        <v>45508</v>
      </c>
      <c r="C418" t="s">
        <v>11</v>
      </c>
      <c r="D418">
        <v>4</v>
      </c>
      <c r="E418" t="b">
        <v>0</v>
      </c>
      <c r="F418" s="2">
        <v>26.078296807864707</v>
      </c>
      <c r="G418" t="b">
        <v>0</v>
      </c>
      <c r="H418" t="s">
        <v>21</v>
      </c>
      <c r="I418" t="s">
        <v>33</v>
      </c>
    </row>
    <row r="419" spans="1:9" x14ac:dyDescent="0.3">
      <c r="A419" t="str">
        <f t="shared" si="6"/>
        <v>CASE-0418</v>
      </c>
      <c r="B419" s="1">
        <v>45573</v>
      </c>
      <c r="C419" t="s">
        <v>11</v>
      </c>
      <c r="D419">
        <v>4</v>
      </c>
      <c r="E419" t="b">
        <v>0</v>
      </c>
      <c r="F419" s="2">
        <v>24.150414659190265</v>
      </c>
      <c r="G419" t="b">
        <v>0</v>
      </c>
      <c r="H419" t="s">
        <v>22</v>
      </c>
      <c r="I419" t="s">
        <v>33</v>
      </c>
    </row>
    <row r="420" spans="1:9" x14ac:dyDescent="0.3">
      <c r="A420" t="str">
        <f t="shared" si="6"/>
        <v>CASE-0419</v>
      </c>
      <c r="B420" s="1">
        <v>45715</v>
      </c>
      <c r="C420" t="s">
        <v>10</v>
      </c>
      <c r="D420">
        <v>5</v>
      </c>
      <c r="E420" t="b">
        <v>1</v>
      </c>
      <c r="F420" s="2">
        <v>9.6588872914200383</v>
      </c>
      <c r="G420" t="b">
        <v>0</v>
      </c>
      <c r="H420" t="s">
        <v>14</v>
      </c>
      <c r="I420" t="s">
        <v>34</v>
      </c>
    </row>
    <row r="421" spans="1:9" x14ac:dyDescent="0.3">
      <c r="A421" t="str">
        <f t="shared" si="6"/>
        <v>CASE-0420</v>
      </c>
      <c r="B421" s="1">
        <v>45757</v>
      </c>
      <c r="C421" t="s">
        <v>10</v>
      </c>
      <c r="D421">
        <v>3</v>
      </c>
      <c r="E421" t="b">
        <v>1</v>
      </c>
      <c r="F421" s="2">
        <v>6.9658752316066632</v>
      </c>
      <c r="G421" t="b">
        <v>0</v>
      </c>
      <c r="H421" t="s">
        <v>18</v>
      </c>
      <c r="I421" t="s">
        <v>34</v>
      </c>
    </row>
    <row r="422" spans="1:9" x14ac:dyDescent="0.3">
      <c r="A422" t="str">
        <f t="shared" si="6"/>
        <v>CASE-0421</v>
      </c>
      <c r="B422" s="1">
        <v>46133</v>
      </c>
      <c r="C422" t="s">
        <v>12</v>
      </c>
      <c r="D422">
        <v>1</v>
      </c>
      <c r="E422" t="b">
        <v>0</v>
      </c>
      <c r="F422" s="2">
        <v>3.5818371102655013</v>
      </c>
      <c r="G422" t="b">
        <v>1</v>
      </c>
      <c r="H422" t="s">
        <v>22</v>
      </c>
      <c r="I422" t="s">
        <v>34</v>
      </c>
    </row>
    <row r="423" spans="1:9" x14ac:dyDescent="0.3">
      <c r="A423" t="str">
        <f t="shared" si="6"/>
        <v>CASE-0422</v>
      </c>
      <c r="B423" s="1">
        <v>46081</v>
      </c>
      <c r="C423" t="s">
        <v>9</v>
      </c>
      <c r="D423">
        <v>1</v>
      </c>
      <c r="E423" t="b">
        <v>1</v>
      </c>
      <c r="F423" s="2">
        <v>25.757500591310958</v>
      </c>
      <c r="G423" t="b">
        <v>0</v>
      </c>
      <c r="H423" t="s">
        <v>22</v>
      </c>
      <c r="I423" t="s">
        <v>33</v>
      </c>
    </row>
    <row r="424" spans="1:9" x14ac:dyDescent="0.3">
      <c r="A424" t="str">
        <f t="shared" si="6"/>
        <v>CASE-0423</v>
      </c>
      <c r="B424" s="1">
        <v>45839</v>
      </c>
      <c r="C424" t="s">
        <v>10</v>
      </c>
      <c r="D424">
        <v>3</v>
      </c>
      <c r="E424" t="b">
        <v>1</v>
      </c>
      <c r="F424" s="2">
        <v>1.0613284632554612</v>
      </c>
      <c r="G424" t="b">
        <v>0</v>
      </c>
      <c r="H424" t="s">
        <v>31</v>
      </c>
      <c r="I424" t="s">
        <v>34</v>
      </c>
    </row>
    <row r="425" spans="1:9" x14ac:dyDescent="0.3">
      <c r="A425" t="str">
        <f t="shared" si="6"/>
        <v>CASE-0424</v>
      </c>
      <c r="B425" s="1">
        <v>45761</v>
      </c>
      <c r="C425" t="s">
        <v>9</v>
      </c>
      <c r="D425">
        <v>4</v>
      </c>
      <c r="E425" t="b">
        <v>1</v>
      </c>
      <c r="F425" s="2">
        <v>12.781695213853279</v>
      </c>
      <c r="G425" t="b">
        <v>0</v>
      </c>
      <c r="H425" t="s">
        <v>21</v>
      </c>
      <c r="I425" t="s">
        <v>33</v>
      </c>
    </row>
    <row r="426" spans="1:9" x14ac:dyDescent="0.3">
      <c r="A426" t="str">
        <f t="shared" si="6"/>
        <v>CASE-0425</v>
      </c>
      <c r="B426" s="1">
        <v>45981</v>
      </c>
      <c r="C426" t="s">
        <v>12</v>
      </c>
      <c r="D426">
        <v>5</v>
      </c>
      <c r="E426" t="b">
        <v>1</v>
      </c>
      <c r="F426" s="2">
        <v>5.33503356854935</v>
      </c>
      <c r="G426" t="b">
        <v>0</v>
      </c>
      <c r="H426" t="s">
        <v>30</v>
      </c>
      <c r="I426" t="s">
        <v>35</v>
      </c>
    </row>
    <row r="427" spans="1:9" x14ac:dyDescent="0.3">
      <c r="A427" t="str">
        <f t="shared" si="6"/>
        <v>CASE-0426</v>
      </c>
      <c r="B427" s="1">
        <v>46156</v>
      </c>
      <c r="C427" t="s">
        <v>9</v>
      </c>
      <c r="D427">
        <v>2</v>
      </c>
      <c r="E427" t="b">
        <v>1</v>
      </c>
      <c r="F427" s="2">
        <v>9.1041552135927066</v>
      </c>
      <c r="G427" t="b">
        <v>1</v>
      </c>
      <c r="H427" t="s">
        <v>24</v>
      </c>
      <c r="I427" t="s">
        <v>34</v>
      </c>
    </row>
    <row r="428" spans="1:9" x14ac:dyDescent="0.3">
      <c r="A428" t="str">
        <f t="shared" si="6"/>
        <v>CASE-0427</v>
      </c>
      <c r="B428" s="1">
        <v>46173</v>
      </c>
      <c r="C428" t="s">
        <v>11</v>
      </c>
      <c r="D428">
        <v>2</v>
      </c>
      <c r="E428" t="b">
        <v>0</v>
      </c>
      <c r="F428" s="2">
        <v>5.5873737190519854</v>
      </c>
      <c r="G428" t="b">
        <v>0</v>
      </c>
      <c r="H428" t="s">
        <v>27</v>
      </c>
      <c r="I428" t="s">
        <v>34</v>
      </c>
    </row>
    <row r="429" spans="1:9" x14ac:dyDescent="0.3">
      <c r="A429" t="str">
        <f t="shared" si="6"/>
        <v>CASE-0428</v>
      </c>
      <c r="B429" s="1">
        <v>46194</v>
      </c>
      <c r="C429" t="s">
        <v>10</v>
      </c>
      <c r="D429">
        <v>1</v>
      </c>
      <c r="E429" t="b">
        <v>1</v>
      </c>
      <c r="F429" s="2">
        <v>4.4052025579792016</v>
      </c>
      <c r="G429" t="b">
        <v>0</v>
      </c>
      <c r="H429" t="s">
        <v>16</v>
      </c>
      <c r="I429" t="s">
        <v>34</v>
      </c>
    </row>
    <row r="430" spans="1:9" x14ac:dyDescent="0.3">
      <c r="A430" t="str">
        <f t="shared" si="6"/>
        <v>CASE-0429</v>
      </c>
      <c r="B430" s="1">
        <v>45770</v>
      </c>
      <c r="C430" t="s">
        <v>12</v>
      </c>
      <c r="D430">
        <v>2</v>
      </c>
      <c r="E430" t="b">
        <v>0</v>
      </c>
      <c r="F430" s="2">
        <v>7.3041639642967704</v>
      </c>
      <c r="G430" t="b">
        <v>0</v>
      </c>
      <c r="H430" t="s">
        <v>30</v>
      </c>
      <c r="I430" t="s">
        <v>34</v>
      </c>
    </row>
    <row r="431" spans="1:9" x14ac:dyDescent="0.3">
      <c r="A431" t="str">
        <f t="shared" si="6"/>
        <v>CASE-0430</v>
      </c>
      <c r="B431" s="1">
        <v>45860</v>
      </c>
      <c r="C431" t="s">
        <v>11</v>
      </c>
      <c r="D431">
        <v>2</v>
      </c>
      <c r="E431" t="b">
        <v>1</v>
      </c>
      <c r="F431" s="2">
        <v>6.6327998917498334</v>
      </c>
      <c r="G431" t="b">
        <v>0</v>
      </c>
      <c r="H431" t="s">
        <v>13</v>
      </c>
      <c r="I431" t="s">
        <v>34</v>
      </c>
    </row>
    <row r="432" spans="1:9" x14ac:dyDescent="0.3">
      <c r="A432" t="str">
        <f t="shared" si="6"/>
        <v>CASE-0431</v>
      </c>
      <c r="B432" s="1">
        <v>45830</v>
      </c>
      <c r="C432" t="s">
        <v>10</v>
      </c>
      <c r="D432">
        <v>4</v>
      </c>
      <c r="E432" t="b">
        <v>1</v>
      </c>
      <c r="F432" s="2">
        <v>6.1694008681705101</v>
      </c>
      <c r="G432" t="b">
        <v>0</v>
      </c>
      <c r="H432" t="s">
        <v>19</v>
      </c>
      <c r="I432" t="s">
        <v>34</v>
      </c>
    </row>
    <row r="433" spans="1:9" x14ac:dyDescent="0.3">
      <c r="A433" t="str">
        <f t="shared" si="6"/>
        <v>CASE-0432</v>
      </c>
      <c r="B433" s="1">
        <v>45591</v>
      </c>
      <c r="C433" t="s">
        <v>9</v>
      </c>
      <c r="D433">
        <v>2</v>
      </c>
      <c r="E433" t="b">
        <v>0</v>
      </c>
      <c r="F433" s="2">
        <v>20.621497839968438</v>
      </c>
      <c r="G433" t="b">
        <v>0</v>
      </c>
      <c r="H433" t="s">
        <v>15</v>
      </c>
      <c r="I433" t="s">
        <v>33</v>
      </c>
    </row>
    <row r="434" spans="1:9" x14ac:dyDescent="0.3">
      <c r="A434" t="str">
        <f t="shared" si="6"/>
        <v>CASE-0433</v>
      </c>
      <c r="B434" s="1">
        <v>45864</v>
      </c>
      <c r="C434" t="s">
        <v>11</v>
      </c>
      <c r="D434">
        <v>4</v>
      </c>
      <c r="E434" t="b">
        <v>0</v>
      </c>
      <c r="F434" s="2">
        <v>6.6089831527588574</v>
      </c>
      <c r="G434" t="b">
        <v>0</v>
      </c>
      <c r="H434" t="s">
        <v>18</v>
      </c>
      <c r="I434" t="s">
        <v>34</v>
      </c>
    </row>
    <row r="435" spans="1:9" x14ac:dyDescent="0.3">
      <c r="A435" t="str">
        <f t="shared" si="6"/>
        <v>CASE-0434</v>
      </c>
      <c r="B435" s="1">
        <v>46050</v>
      </c>
      <c r="C435" t="s">
        <v>11</v>
      </c>
      <c r="D435">
        <v>4</v>
      </c>
      <c r="E435" t="b">
        <v>1</v>
      </c>
      <c r="F435" s="2">
        <v>6.0116597268879151</v>
      </c>
      <c r="G435" t="b">
        <v>0</v>
      </c>
      <c r="H435" t="s">
        <v>25</v>
      </c>
      <c r="I435" t="s">
        <v>34</v>
      </c>
    </row>
    <row r="436" spans="1:9" x14ac:dyDescent="0.3">
      <c r="A436" t="str">
        <f t="shared" si="6"/>
        <v>CASE-0435</v>
      </c>
      <c r="B436" s="1">
        <v>45549</v>
      </c>
      <c r="C436" t="s">
        <v>12</v>
      </c>
      <c r="D436">
        <v>3</v>
      </c>
      <c r="E436" t="b">
        <v>0</v>
      </c>
      <c r="F436" s="2">
        <v>31.807770457865367</v>
      </c>
      <c r="G436" t="b">
        <v>0</v>
      </c>
      <c r="H436" t="s">
        <v>18</v>
      </c>
      <c r="I436" t="s">
        <v>33</v>
      </c>
    </row>
    <row r="437" spans="1:9" x14ac:dyDescent="0.3">
      <c r="A437" t="str">
        <f t="shared" si="6"/>
        <v>CASE-0436</v>
      </c>
      <c r="B437" s="1">
        <v>45729</v>
      </c>
      <c r="C437" t="s">
        <v>11</v>
      </c>
      <c r="D437">
        <v>2</v>
      </c>
      <c r="E437" t="b">
        <v>1</v>
      </c>
      <c r="F437" s="2">
        <v>26.662399469296421</v>
      </c>
      <c r="G437" t="b">
        <v>0</v>
      </c>
      <c r="H437" t="s">
        <v>31</v>
      </c>
      <c r="I437" t="s">
        <v>33</v>
      </c>
    </row>
    <row r="438" spans="1:9" x14ac:dyDescent="0.3">
      <c r="A438" t="str">
        <f t="shared" si="6"/>
        <v>CASE-0437</v>
      </c>
      <c r="B438" s="1">
        <v>45637</v>
      </c>
      <c r="C438" t="s">
        <v>11</v>
      </c>
      <c r="D438">
        <v>2</v>
      </c>
      <c r="E438" t="b">
        <v>0</v>
      </c>
      <c r="F438" s="2">
        <v>25.142990955370696</v>
      </c>
      <c r="G438" t="b">
        <v>0</v>
      </c>
      <c r="H438" t="s">
        <v>21</v>
      </c>
      <c r="I438" t="s">
        <v>33</v>
      </c>
    </row>
    <row r="439" spans="1:9" x14ac:dyDescent="0.3">
      <c r="A439" t="str">
        <f t="shared" si="6"/>
        <v>CASE-0438</v>
      </c>
      <c r="B439" s="1">
        <v>45820</v>
      </c>
      <c r="C439" t="s">
        <v>12</v>
      </c>
      <c r="D439">
        <v>5</v>
      </c>
      <c r="E439" t="b">
        <v>1</v>
      </c>
      <c r="F439" s="2">
        <v>33.772487771903585</v>
      </c>
      <c r="G439" t="b">
        <v>0</v>
      </c>
      <c r="H439" t="s">
        <v>32</v>
      </c>
      <c r="I439" t="s">
        <v>33</v>
      </c>
    </row>
    <row r="440" spans="1:9" x14ac:dyDescent="0.3">
      <c r="A440" t="str">
        <f t="shared" si="6"/>
        <v>CASE-0439</v>
      </c>
      <c r="B440" s="1">
        <v>45980</v>
      </c>
      <c r="C440" t="s">
        <v>10</v>
      </c>
      <c r="D440">
        <v>4</v>
      </c>
      <c r="E440" t="b">
        <v>1</v>
      </c>
      <c r="F440" s="2">
        <v>4.5011606574018641</v>
      </c>
      <c r="G440" t="b">
        <v>0</v>
      </c>
      <c r="H440" t="s">
        <v>30</v>
      </c>
      <c r="I440" t="s">
        <v>34</v>
      </c>
    </row>
    <row r="441" spans="1:9" x14ac:dyDescent="0.3">
      <c r="A441" t="str">
        <f t="shared" si="6"/>
        <v>CASE-0440</v>
      </c>
      <c r="B441" s="1">
        <v>46107</v>
      </c>
      <c r="C441" t="s">
        <v>11</v>
      </c>
      <c r="D441">
        <v>3</v>
      </c>
      <c r="E441" t="b">
        <v>1</v>
      </c>
      <c r="F441" s="2">
        <v>5.2496993459378896</v>
      </c>
      <c r="G441" t="b">
        <v>0</v>
      </c>
      <c r="H441" t="s">
        <v>28</v>
      </c>
      <c r="I441" t="s">
        <v>34</v>
      </c>
    </row>
    <row r="442" spans="1:9" x14ac:dyDescent="0.3">
      <c r="A442" t="str">
        <f t="shared" si="6"/>
        <v>CASE-0441</v>
      </c>
      <c r="B442" s="1">
        <v>45683</v>
      </c>
      <c r="C442" t="s">
        <v>9</v>
      </c>
      <c r="D442">
        <v>2</v>
      </c>
      <c r="E442" t="b">
        <v>1</v>
      </c>
      <c r="F442" s="2">
        <v>6.7494032819655638</v>
      </c>
      <c r="G442" t="b">
        <v>0</v>
      </c>
      <c r="H442" t="s">
        <v>25</v>
      </c>
      <c r="I442" t="s">
        <v>34</v>
      </c>
    </row>
    <row r="443" spans="1:9" x14ac:dyDescent="0.3">
      <c r="A443" t="str">
        <f t="shared" si="6"/>
        <v>CASE-0442</v>
      </c>
      <c r="B443" s="1">
        <v>45879</v>
      </c>
      <c r="C443" t="s">
        <v>11</v>
      </c>
      <c r="D443">
        <v>3</v>
      </c>
      <c r="E443" t="b">
        <v>0</v>
      </c>
      <c r="F443" s="2">
        <v>22.49038130946898</v>
      </c>
      <c r="G443" t="b">
        <v>0</v>
      </c>
      <c r="H443" t="s">
        <v>25</v>
      </c>
      <c r="I443" t="s">
        <v>33</v>
      </c>
    </row>
    <row r="444" spans="1:9" x14ac:dyDescent="0.3">
      <c r="A444" t="str">
        <f t="shared" si="6"/>
        <v>CASE-0443</v>
      </c>
      <c r="B444" s="1">
        <v>46186</v>
      </c>
      <c r="C444" t="s">
        <v>9</v>
      </c>
      <c r="D444">
        <v>5</v>
      </c>
      <c r="E444" t="b">
        <v>1</v>
      </c>
      <c r="F444" s="2">
        <v>8.746680780931765</v>
      </c>
      <c r="G444" t="b">
        <v>0</v>
      </c>
      <c r="H444" t="s">
        <v>20</v>
      </c>
      <c r="I444" t="s">
        <v>34</v>
      </c>
    </row>
    <row r="445" spans="1:9" x14ac:dyDescent="0.3">
      <c r="A445" t="str">
        <f t="shared" si="6"/>
        <v>CASE-0444</v>
      </c>
      <c r="B445" s="1">
        <v>45494</v>
      </c>
      <c r="C445" t="s">
        <v>12</v>
      </c>
      <c r="D445">
        <v>2</v>
      </c>
      <c r="E445" t="b">
        <v>0</v>
      </c>
      <c r="F445" s="2">
        <v>32.079229137417137</v>
      </c>
      <c r="G445" t="b">
        <v>0</v>
      </c>
      <c r="H445" t="s">
        <v>13</v>
      </c>
      <c r="I445" t="s">
        <v>33</v>
      </c>
    </row>
    <row r="446" spans="1:9" x14ac:dyDescent="0.3">
      <c r="A446" t="str">
        <f t="shared" si="6"/>
        <v>CASE-0445</v>
      </c>
      <c r="B446" s="1">
        <v>46135</v>
      </c>
      <c r="C446" t="s">
        <v>9</v>
      </c>
      <c r="D446">
        <v>4</v>
      </c>
      <c r="E446" t="b">
        <v>0</v>
      </c>
      <c r="F446" s="2">
        <v>2.3311706010502862</v>
      </c>
      <c r="G446" t="b">
        <v>0</v>
      </c>
      <c r="H446" t="s">
        <v>14</v>
      </c>
      <c r="I446" t="s">
        <v>34</v>
      </c>
    </row>
    <row r="447" spans="1:9" x14ac:dyDescent="0.3">
      <c r="A447" t="str">
        <f t="shared" si="6"/>
        <v>CASE-0446</v>
      </c>
      <c r="B447" s="1">
        <v>45907</v>
      </c>
      <c r="C447" t="s">
        <v>12</v>
      </c>
      <c r="D447">
        <v>4</v>
      </c>
      <c r="E447" t="b">
        <v>0</v>
      </c>
      <c r="F447" s="2">
        <v>4.7441623096261143</v>
      </c>
      <c r="G447" t="b">
        <v>0</v>
      </c>
      <c r="H447" t="s">
        <v>16</v>
      </c>
      <c r="I447" t="s">
        <v>35</v>
      </c>
    </row>
    <row r="448" spans="1:9" x14ac:dyDescent="0.3">
      <c r="A448" t="str">
        <f t="shared" si="6"/>
        <v>CASE-0447</v>
      </c>
      <c r="B448" s="1">
        <v>45834</v>
      </c>
      <c r="C448" t="s">
        <v>9</v>
      </c>
      <c r="D448">
        <v>1</v>
      </c>
      <c r="E448" t="b">
        <v>1</v>
      </c>
      <c r="F448" s="2">
        <v>5.8333474373514003</v>
      </c>
      <c r="G448" t="b">
        <v>0</v>
      </c>
      <c r="H448" t="s">
        <v>29</v>
      </c>
      <c r="I448" t="s">
        <v>35</v>
      </c>
    </row>
    <row r="449" spans="1:9" x14ac:dyDescent="0.3">
      <c r="A449" t="str">
        <f t="shared" si="6"/>
        <v>CASE-0448</v>
      </c>
      <c r="B449" s="1">
        <v>45538</v>
      </c>
      <c r="C449" t="s">
        <v>12</v>
      </c>
      <c r="D449">
        <v>2</v>
      </c>
      <c r="E449" t="b">
        <v>0</v>
      </c>
      <c r="F449" s="2">
        <v>34.080618928205588</v>
      </c>
      <c r="G449" t="b">
        <v>0</v>
      </c>
      <c r="H449" t="s">
        <v>28</v>
      </c>
      <c r="I449" t="s">
        <v>33</v>
      </c>
    </row>
    <row r="450" spans="1:9" x14ac:dyDescent="0.3">
      <c r="A450" t="str">
        <f t="shared" si="6"/>
        <v>CASE-0449</v>
      </c>
      <c r="B450" s="1">
        <v>45668</v>
      </c>
      <c r="C450" t="s">
        <v>11</v>
      </c>
      <c r="D450">
        <v>3</v>
      </c>
      <c r="E450" t="b">
        <v>1</v>
      </c>
      <c r="F450" s="2">
        <v>7.6821505781737187</v>
      </c>
      <c r="G450" t="b">
        <v>0</v>
      </c>
      <c r="H450" t="s">
        <v>26</v>
      </c>
      <c r="I450" t="s">
        <v>34</v>
      </c>
    </row>
    <row r="451" spans="1:9" x14ac:dyDescent="0.3">
      <c r="A451" t="str">
        <f t="shared" ref="A451:A514" si="7">"CASE-"&amp;TEXT(ROW()-1,"0000")</f>
        <v>CASE-0450</v>
      </c>
      <c r="B451" s="1">
        <v>45719</v>
      </c>
      <c r="C451" t="s">
        <v>10</v>
      </c>
      <c r="D451">
        <v>3</v>
      </c>
      <c r="E451" t="b">
        <v>1</v>
      </c>
      <c r="F451" s="2">
        <v>5.6770589334143144</v>
      </c>
      <c r="G451" t="b">
        <v>0</v>
      </c>
      <c r="H451" t="s">
        <v>31</v>
      </c>
      <c r="I451" t="s">
        <v>34</v>
      </c>
    </row>
    <row r="452" spans="1:9" x14ac:dyDescent="0.3">
      <c r="A452" t="str">
        <f t="shared" si="7"/>
        <v>CASE-0451</v>
      </c>
      <c r="B452" s="1">
        <v>45529</v>
      </c>
      <c r="C452" t="s">
        <v>11</v>
      </c>
      <c r="D452">
        <v>1</v>
      </c>
      <c r="E452" t="b">
        <v>0</v>
      </c>
      <c r="F452" s="2">
        <v>32.998755796741364</v>
      </c>
      <c r="G452" t="b">
        <v>1</v>
      </c>
      <c r="H452" t="s">
        <v>22</v>
      </c>
      <c r="I452" t="s">
        <v>33</v>
      </c>
    </row>
    <row r="453" spans="1:9" x14ac:dyDescent="0.3">
      <c r="A453" t="str">
        <f t="shared" si="7"/>
        <v>CASE-0452</v>
      </c>
      <c r="B453" s="1">
        <v>45940</v>
      </c>
      <c r="C453" t="s">
        <v>9</v>
      </c>
      <c r="D453">
        <v>2</v>
      </c>
      <c r="E453" t="b">
        <v>1</v>
      </c>
      <c r="F453" s="2">
        <v>23.792039247174152</v>
      </c>
      <c r="G453" t="b">
        <v>0</v>
      </c>
      <c r="H453" t="s">
        <v>27</v>
      </c>
      <c r="I453" t="s">
        <v>33</v>
      </c>
    </row>
    <row r="454" spans="1:9" x14ac:dyDescent="0.3">
      <c r="A454" t="str">
        <f t="shared" si="7"/>
        <v>CASE-0453</v>
      </c>
      <c r="B454" s="1">
        <v>45875</v>
      </c>
      <c r="C454" t="s">
        <v>9</v>
      </c>
      <c r="D454">
        <v>3</v>
      </c>
      <c r="E454" t="b">
        <v>1</v>
      </c>
      <c r="F454" s="2">
        <v>3.1181785745739696</v>
      </c>
      <c r="G454" t="b">
        <v>0</v>
      </c>
      <c r="H454" t="s">
        <v>13</v>
      </c>
      <c r="I454" t="s">
        <v>34</v>
      </c>
    </row>
    <row r="455" spans="1:9" x14ac:dyDescent="0.3">
      <c r="A455" t="str">
        <f t="shared" si="7"/>
        <v>CASE-0454</v>
      </c>
      <c r="B455" s="1">
        <v>45845</v>
      </c>
      <c r="C455" t="s">
        <v>9</v>
      </c>
      <c r="D455">
        <v>1</v>
      </c>
      <c r="E455" t="b">
        <v>0</v>
      </c>
      <c r="F455" s="2">
        <v>6.4195780379475371</v>
      </c>
      <c r="G455" t="b">
        <v>0</v>
      </c>
      <c r="H455" t="s">
        <v>13</v>
      </c>
      <c r="I455" t="s">
        <v>34</v>
      </c>
    </row>
    <row r="456" spans="1:9" x14ac:dyDescent="0.3">
      <c r="A456" t="str">
        <f t="shared" si="7"/>
        <v>CASE-0455</v>
      </c>
      <c r="B456" s="1">
        <v>45796</v>
      </c>
      <c r="C456" t="s">
        <v>12</v>
      </c>
      <c r="D456">
        <v>4</v>
      </c>
      <c r="E456" t="b">
        <v>1</v>
      </c>
      <c r="F456" s="2">
        <v>5.199401819356134</v>
      </c>
      <c r="G456" t="b">
        <v>0</v>
      </c>
      <c r="H456" t="s">
        <v>25</v>
      </c>
      <c r="I456" t="s">
        <v>34</v>
      </c>
    </row>
    <row r="457" spans="1:9" x14ac:dyDescent="0.3">
      <c r="A457" t="str">
        <f t="shared" si="7"/>
        <v>CASE-0456</v>
      </c>
      <c r="B457" s="1">
        <v>46013</v>
      </c>
      <c r="C457" t="s">
        <v>9</v>
      </c>
      <c r="D457">
        <v>5</v>
      </c>
      <c r="E457" t="b">
        <v>1</v>
      </c>
      <c r="F457" s="2">
        <v>9.3352268471706701</v>
      </c>
      <c r="G457" t="b">
        <v>0</v>
      </c>
      <c r="H457" t="s">
        <v>31</v>
      </c>
      <c r="I457" t="s">
        <v>34</v>
      </c>
    </row>
    <row r="458" spans="1:9" x14ac:dyDescent="0.3">
      <c r="A458" t="str">
        <f t="shared" si="7"/>
        <v>CASE-0457</v>
      </c>
      <c r="B458" s="1">
        <v>46114</v>
      </c>
      <c r="C458" t="s">
        <v>9</v>
      </c>
      <c r="D458">
        <v>4</v>
      </c>
      <c r="E458" t="b">
        <v>1</v>
      </c>
      <c r="F458" s="2">
        <v>6.8670018670345536</v>
      </c>
      <c r="G458" t="b">
        <v>0</v>
      </c>
      <c r="H458" t="s">
        <v>16</v>
      </c>
      <c r="I458" t="s">
        <v>34</v>
      </c>
    </row>
    <row r="459" spans="1:9" x14ac:dyDescent="0.3">
      <c r="A459" t="str">
        <f t="shared" si="7"/>
        <v>CASE-0458</v>
      </c>
      <c r="B459" s="1">
        <v>46142</v>
      </c>
      <c r="C459" t="s">
        <v>9</v>
      </c>
      <c r="D459">
        <v>5</v>
      </c>
      <c r="E459" t="b">
        <v>1</v>
      </c>
      <c r="F459" s="2">
        <v>20.252918751656246</v>
      </c>
      <c r="G459" t="b">
        <v>0</v>
      </c>
      <c r="H459" t="s">
        <v>20</v>
      </c>
      <c r="I459" t="s">
        <v>33</v>
      </c>
    </row>
    <row r="460" spans="1:9" x14ac:dyDescent="0.3">
      <c r="A460" t="str">
        <f t="shared" si="7"/>
        <v>CASE-0459</v>
      </c>
      <c r="B460" s="1">
        <v>46006</v>
      </c>
      <c r="C460" t="s">
        <v>11</v>
      </c>
      <c r="D460">
        <v>3</v>
      </c>
      <c r="E460" t="b">
        <v>1</v>
      </c>
      <c r="F460" s="2">
        <v>13.691449072221731</v>
      </c>
      <c r="G460" t="b">
        <v>0</v>
      </c>
      <c r="H460" t="s">
        <v>21</v>
      </c>
      <c r="I460" t="s">
        <v>33</v>
      </c>
    </row>
    <row r="461" spans="1:9" x14ac:dyDescent="0.3">
      <c r="A461" t="str">
        <f t="shared" si="7"/>
        <v>CASE-0460</v>
      </c>
      <c r="B461" s="1">
        <v>46065</v>
      </c>
      <c r="C461" t="s">
        <v>11</v>
      </c>
      <c r="D461">
        <v>3</v>
      </c>
      <c r="E461" t="b">
        <v>1</v>
      </c>
      <c r="F461" s="2">
        <v>6.1306101577531757</v>
      </c>
      <c r="G461" t="b">
        <v>0</v>
      </c>
      <c r="H461" t="s">
        <v>27</v>
      </c>
      <c r="I461" t="s">
        <v>34</v>
      </c>
    </row>
    <row r="462" spans="1:9" x14ac:dyDescent="0.3">
      <c r="A462" t="str">
        <f t="shared" si="7"/>
        <v>CASE-0461</v>
      </c>
      <c r="B462" s="1">
        <v>45914</v>
      </c>
      <c r="C462" t="s">
        <v>11</v>
      </c>
      <c r="D462">
        <v>2</v>
      </c>
      <c r="E462" t="b">
        <v>1</v>
      </c>
      <c r="F462" s="2">
        <v>7.4980304249401026</v>
      </c>
      <c r="G462" t="b">
        <v>0</v>
      </c>
      <c r="H462" t="s">
        <v>18</v>
      </c>
      <c r="I462" t="s">
        <v>34</v>
      </c>
    </row>
    <row r="463" spans="1:9" x14ac:dyDescent="0.3">
      <c r="A463" t="str">
        <f t="shared" si="7"/>
        <v>CASE-0462</v>
      </c>
      <c r="B463" s="1">
        <v>45768</v>
      </c>
      <c r="C463" t="s">
        <v>9</v>
      </c>
      <c r="D463">
        <v>4</v>
      </c>
      <c r="E463" t="b">
        <v>0</v>
      </c>
      <c r="F463" s="2">
        <v>7.4387858706604666</v>
      </c>
      <c r="G463" t="b">
        <v>0</v>
      </c>
      <c r="H463" t="s">
        <v>18</v>
      </c>
      <c r="I463" t="s">
        <v>34</v>
      </c>
    </row>
    <row r="464" spans="1:9" x14ac:dyDescent="0.3">
      <c r="A464" t="str">
        <f t="shared" si="7"/>
        <v>CASE-0463</v>
      </c>
      <c r="B464" s="1">
        <v>45716</v>
      </c>
      <c r="C464" t="s">
        <v>11</v>
      </c>
      <c r="D464">
        <v>1</v>
      </c>
      <c r="E464" t="b">
        <v>1</v>
      </c>
      <c r="F464" s="2">
        <v>5.878121812787084</v>
      </c>
      <c r="G464" t="b">
        <v>0</v>
      </c>
      <c r="H464" t="s">
        <v>32</v>
      </c>
      <c r="I464" t="s">
        <v>34</v>
      </c>
    </row>
    <row r="465" spans="1:9" x14ac:dyDescent="0.3">
      <c r="A465" t="str">
        <f t="shared" si="7"/>
        <v>CASE-0464</v>
      </c>
      <c r="B465" s="1">
        <v>45545</v>
      </c>
      <c r="C465" t="s">
        <v>12</v>
      </c>
      <c r="D465">
        <v>4</v>
      </c>
      <c r="E465" t="b">
        <v>0</v>
      </c>
      <c r="F465" s="2">
        <v>8.9869459485569099</v>
      </c>
      <c r="G465" t="b">
        <v>0</v>
      </c>
      <c r="H465" t="s">
        <v>21</v>
      </c>
      <c r="I465" t="s">
        <v>33</v>
      </c>
    </row>
    <row r="466" spans="1:9" x14ac:dyDescent="0.3">
      <c r="A466" t="str">
        <f t="shared" si="7"/>
        <v>CASE-0465</v>
      </c>
      <c r="B466" s="1">
        <v>46111</v>
      </c>
      <c r="C466" t="s">
        <v>11</v>
      </c>
      <c r="D466">
        <v>1</v>
      </c>
      <c r="E466" t="b">
        <v>1</v>
      </c>
      <c r="F466" s="2">
        <v>6.4764671019009077</v>
      </c>
      <c r="G466" t="b">
        <v>0</v>
      </c>
      <c r="H466" t="s">
        <v>17</v>
      </c>
      <c r="I466" t="s">
        <v>34</v>
      </c>
    </row>
    <row r="467" spans="1:9" x14ac:dyDescent="0.3">
      <c r="A467" t="str">
        <f t="shared" si="7"/>
        <v>CASE-0466</v>
      </c>
      <c r="B467" s="1">
        <v>45601</v>
      </c>
      <c r="C467" t="s">
        <v>10</v>
      </c>
      <c r="D467">
        <v>1</v>
      </c>
      <c r="E467" t="b">
        <v>0</v>
      </c>
      <c r="F467" s="2">
        <v>16.885400102180402</v>
      </c>
      <c r="G467" t="b">
        <v>0</v>
      </c>
      <c r="H467" t="s">
        <v>22</v>
      </c>
      <c r="I467" t="s">
        <v>33</v>
      </c>
    </row>
    <row r="468" spans="1:9" x14ac:dyDescent="0.3">
      <c r="A468" t="str">
        <f t="shared" si="7"/>
        <v>CASE-0467</v>
      </c>
      <c r="B468" s="1">
        <v>45942</v>
      </c>
      <c r="C468" t="s">
        <v>11</v>
      </c>
      <c r="D468">
        <v>2</v>
      </c>
      <c r="E468" t="b">
        <v>1</v>
      </c>
      <c r="F468" s="2">
        <v>5.2910305149914496</v>
      </c>
      <c r="G468" t="b">
        <v>0</v>
      </c>
      <c r="H468" t="s">
        <v>16</v>
      </c>
      <c r="I468" t="s">
        <v>35</v>
      </c>
    </row>
    <row r="469" spans="1:9" x14ac:dyDescent="0.3">
      <c r="A469" t="str">
        <f t="shared" si="7"/>
        <v>CASE-0468</v>
      </c>
      <c r="B469" s="1">
        <v>45953</v>
      </c>
      <c r="C469" t="s">
        <v>9</v>
      </c>
      <c r="D469">
        <v>1</v>
      </c>
      <c r="E469" t="b">
        <v>1</v>
      </c>
      <c r="F469" s="2">
        <v>1.8907944205423401</v>
      </c>
      <c r="G469" t="b">
        <v>0</v>
      </c>
      <c r="H469" t="s">
        <v>22</v>
      </c>
      <c r="I469" t="s">
        <v>34</v>
      </c>
    </row>
    <row r="470" spans="1:9" x14ac:dyDescent="0.3">
      <c r="A470" t="str">
        <f t="shared" si="7"/>
        <v>CASE-0469</v>
      </c>
      <c r="B470" s="1">
        <v>46018</v>
      </c>
      <c r="C470" t="s">
        <v>12</v>
      </c>
      <c r="D470">
        <v>4</v>
      </c>
      <c r="E470" t="b">
        <v>1</v>
      </c>
      <c r="F470" s="2">
        <v>4.7216730839976044</v>
      </c>
      <c r="G470" t="b">
        <v>0</v>
      </c>
      <c r="H470" t="s">
        <v>14</v>
      </c>
      <c r="I470" t="s">
        <v>34</v>
      </c>
    </row>
    <row r="471" spans="1:9" x14ac:dyDescent="0.3">
      <c r="A471" t="str">
        <f t="shared" si="7"/>
        <v>CASE-0470</v>
      </c>
      <c r="B471" s="1">
        <v>46130</v>
      </c>
      <c r="C471" t="s">
        <v>11</v>
      </c>
      <c r="D471">
        <v>4</v>
      </c>
      <c r="E471" t="b">
        <v>1</v>
      </c>
      <c r="F471" s="2">
        <v>5.8830698388582876</v>
      </c>
      <c r="G471" t="b">
        <v>0</v>
      </c>
      <c r="H471" t="s">
        <v>32</v>
      </c>
      <c r="I471" t="s">
        <v>35</v>
      </c>
    </row>
    <row r="472" spans="1:9" x14ac:dyDescent="0.3">
      <c r="A472" t="str">
        <f t="shared" si="7"/>
        <v>CASE-0471</v>
      </c>
      <c r="B472" s="1">
        <v>45802</v>
      </c>
      <c r="C472" t="s">
        <v>9</v>
      </c>
      <c r="D472">
        <v>4</v>
      </c>
      <c r="E472" t="b">
        <v>1</v>
      </c>
      <c r="F472" s="2">
        <v>18.052684764328745</v>
      </c>
      <c r="G472" t="b">
        <v>0</v>
      </c>
      <c r="H472" t="s">
        <v>15</v>
      </c>
      <c r="I472" t="s">
        <v>33</v>
      </c>
    </row>
    <row r="473" spans="1:9" x14ac:dyDescent="0.3">
      <c r="A473" t="str">
        <f t="shared" si="7"/>
        <v>CASE-0472</v>
      </c>
      <c r="B473" s="1">
        <v>45999</v>
      </c>
      <c r="C473" t="s">
        <v>11</v>
      </c>
      <c r="D473">
        <v>5</v>
      </c>
      <c r="E473" t="b">
        <v>1</v>
      </c>
      <c r="F473" s="2">
        <v>8.9403393770093196</v>
      </c>
      <c r="G473" t="b">
        <v>0</v>
      </c>
      <c r="H473" t="s">
        <v>15</v>
      </c>
      <c r="I473" t="s">
        <v>34</v>
      </c>
    </row>
    <row r="474" spans="1:9" x14ac:dyDescent="0.3">
      <c r="A474" t="str">
        <f t="shared" si="7"/>
        <v>CASE-0473</v>
      </c>
      <c r="B474" s="1">
        <v>46141</v>
      </c>
      <c r="C474" t="s">
        <v>10</v>
      </c>
      <c r="D474">
        <v>3</v>
      </c>
      <c r="E474" t="b">
        <v>0</v>
      </c>
      <c r="F474" s="2">
        <v>17.736043884771853</v>
      </c>
      <c r="G474" t="b">
        <v>0</v>
      </c>
      <c r="H474" t="s">
        <v>28</v>
      </c>
      <c r="I474" t="s">
        <v>33</v>
      </c>
    </row>
    <row r="475" spans="1:9" x14ac:dyDescent="0.3">
      <c r="A475" t="str">
        <f t="shared" si="7"/>
        <v>CASE-0474</v>
      </c>
      <c r="B475" s="1">
        <v>45989</v>
      </c>
      <c r="C475" t="s">
        <v>9</v>
      </c>
      <c r="D475">
        <v>3</v>
      </c>
      <c r="E475" t="b">
        <v>1</v>
      </c>
      <c r="F475" s="2">
        <v>6.7171307825358078</v>
      </c>
      <c r="G475" t="b">
        <v>0</v>
      </c>
      <c r="H475" t="s">
        <v>17</v>
      </c>
      <c r="I475" t="s">
        <v>34</v>
      </c>
    </row>
    <row r="476" spans="1:9" x14ac:dyDescent="0.3">
      <c r="A476" t="str">
        <f t="shared" si="7"/>
        <v>CASE-0475</v>
      </c>
      <c r="B476" s="1">
        <v>45990</v>
      </c>
      <c r="C476" t="s">
        <v>11</v>
      </c>
      <c r="D476">
        <v>3</v>
      </c>
      <c r="E476" t="b">
        <v>1</v>
      </c>
      <c r="F476" s="2">
        <v>21.214401318876963</v>
      </c>
      <c r="G476" t="b">
        <v>0</v>
      </c>
      <c r="H476" t="s">
        <v>17</v>
      </c>
      <c r="I476" t="s">
        <v>33</v>
      </c>
    </row>
    <row r="477" spans="1:9" x14ac:dyDescent="0.3">
      <c r="A477" t="str">
        <f t="shared" si="7"/>
        <v>CASE-0476</v>
      </c>
      <c r="B477" s="1">
        <v>45673</v>
      </c>
      <c r="C477" t="s">
        <v>11</v>
      </c>
      <c r="D477">
        <v>5</v>
      </c>
      <c r="E477" t="b">
        <v>1</v>
      </c>
      <c r="F477" s="2">
        <v>3.9080912776178574</v>
      </c>
      <c r="G477" t="b">
        <v>0</v>
      </c>
      <c r="H477" t="s">
        <v>26</v>
      </c>
      <c r="I477" t="s">
        <v>34</v>
      </c>
    </row>
    <row r="478" spans="1:9" x14ac:dyDescent="0.3">
      <c r="A478" t="str">
        <f t="shared" si="7"/>
        <v>CASE-0477</v>
      </c>
      <c r="B478" s="1">
        <v>45842</v>
      </c>
      <c r="C478" t="s">
        <v>10</v>
      </c>
      <c r="D478">
        <v>3</v>
      </c>
      <c r="E478" t="b">
        <v>1</v>
      </c>
      <c r="F478" s="2">
        <v>8.40939433193385</v>
      </c>
      <c r="G478" t="b">
        <v>0</v>
      </c>
      <c r="H478" t="s">
        <v>24</v>
      </c>
      <c r="I478" t="s">
        <v>34</v>
      </c>
    </row>
    <row r="479" spans="1:9" x14ac:dyDescent="0.3">
      <c r="A479" t="str">
        <f t="shared" si="7"/>
        <v>CASE-0478</v>
      </c>
      <c r="B479" s="1">
        <v>45802</v>
      </c>
      <c r="C479" t="s">
        <v>11</v>
      </c>
      <c r="D479">
        <v>5</v>
      </c>
      <c r="E479" t="b">
        <v>1</v>
      </c>
      <c r="F479" s="2">
        <v>4.9267402508283009</v>
      </c>
      <c r="G479" t="b">
        <v>0</v>
      </c>
      <c r="H479" t="s">
        <v>18</v>
      </c>
      <c r="I479" t="s">
        <v>34</v>
      </c>
    </row>
    <row r="480" spans="1:9" x14ac:dyDescent="0.3">
      <c r="A480" t="str">
        <f t="shared" si="7"/>
        <v>CASE-0479</v>
      </c>
      <c r="B480" s="1">
        <v>45989</v>
      </c>
      <c r="C480" t="s">
        <v>11</v>
      </c>
      <c r="D480">
        <v>3</v>
      </c>
      <c r="E480" t="b">
        <v>1</v>
      </c>
      <c r="F480" s="2">
        <v>23.971566827251007</v>
      </c>
      <c r="G480" t="b">
        <v>0</v>
      </c>
      <c r="H480" t="s">
        <v>21</v>
      </c>
      <c r="I480" t="s">
        <v>33</v>
      </c>
    </row>
    <row r="481" spans="1:9" x14ac:dyDescent="0.3">
      <c r="A481" t="str">
        <f t="shared" si="7"/>
        <v>CASE-0480</v>
      </c>
      <c r="B481" s="1">
        <v>45951</v>
      </c>
      <c r="C481" t="s">
        <v>11</v>
      </c>
      <c r="D481">
        <v>4</v>
      </c>
      <c r="E481" t="b">
        <v>1</v>
      </c>
      <c r="F481" s="2">
        <v>1.8251863701728244</v>
      </c>
      <c r="G481" t="b">
        <v>0</v>
      </c>
      <c r="H481" t="s">
        <v>29</v>
      </c>
      <c r="I481" t="s">
        <v>34</v>
      </c>
    </row>
    <row r="482" spans="1:9" x14ac:dyDescent="0.3">
      <c r="A482" t="str">
        <f t="shared" si="7"/>
        <v>CASE-0481</v>
      </c>
      <c r="B482" s="1">
        <v>45665</v>
      </c>
      <c r="C482" t="s">
        <v>10</v>
      </c>
      <c r="D482">
        <v>2</v>
      </c>
      <c r="E482" t="b">
        <v>1</v>
      </c>
      <c r="F482" s="2">
        <v>3.8614253802030922</v>
      </c>
      <c r="G482" t="b">
        <v>0</v>
      </c>
      <c r="H482" t="s">
        <v>14</v>
      </c>
      <c r="I482" t="s">
        <v>35</v>
      </c>
    </row>
    <row r="483" spans="1:9" x14ac:dyDescent="0.3">
      <c r="A483" t="str">
        <f t="shared" si="7"/>
        <v>CASE-0482</v>
      </c>
      <c r="B483" s="1">
        <v>45723</v>
      </c>
      <c r="C483" t="s">
        <v>12</v>
      </c>
      <c r="D483">
        <v>4</v>
      </c>
      <c r="E483" t="b">
        <v>1</v>
      </c>
      <c r="F483" s="2">
        <v>29.093080935695784</v>
      </c>
      <c r="G483" t="b">
        <v>0</v>
      </c>
      <c r="H483" t="s">
        <v>23</v>
      </c>
      <c r="I483" t="s">
        <v>33</v>
      </c>
    </row>
    <row r="484" spans="1:9" x14ac:dyDescent="0.3">
      <c r="A484" t="str">
        <f t="shared" si="7"/>
        <v>CASE-0483</v>
      </c>
      <c r="B484" s="1">
        <v>45713</v>
      </c>
      <c r="C484" t="s">
        <v>10</v>
      </c>
      <c r="D484">
        <v>2</v>
      </c>
      <c r="E484" t="b">
        <v>1</v>
      </c>
      <c r="F484" s="2">
        <v>7.7541312191563776</v>
      </c>
      <c r="G484" t="b">
        <v>0</v>
      </c>
      <c r="H484" t="s">
        <v>15</v>
      </c>
      <c r="I484" t="s">
        <v>34</v>
      </c>
    </row>
    <row r="485" spans="1:9" x14ac:dyDescent="0.3">
      <c r="A485" t="str">
        <f t="shared" si="7"/>
        <v>CASE-0484</v>
      </c>
      <c r="B485" s="1">
        <v>46041</v>
      </c>
      <c r="C485" t="s">
        <v>10</v>
      </c>
      <c r="D485">
        <v>1</v>
      </c>
      <c r="E485" t="b">
        <v>1</v>
      </c>
      <c r="F485" s="2">
        <v>21.72687305209665</v>
      </c>
      <c r="G485" t="b">
        <v>0</v>
      </c>
      <c r="H485" t="s">
        <v>16</v>
      </c>
      <c r="I485" t="s">
        <v>33</v>
      </c>
    </row>
    <row r="486" spans="1:9" x14ac:dyDescent="0.3">
      <c r="A486" t="str">
        <f t="shared" si="7"/>
        <v>CASE-0485</v>
      </c>
      <c r="B486" s="1">
        <v>45698</v>
      </c>
      <c r="C486" t="s">
        <v>9</v>
      </c>
      <c r="D486">
        <v>4</v>
      </c>
      <c r="E486" t="b">
        <v>1</v>
      </c>
      <c r="F486" s="2">
        <v>5.0548964729502863</v>
      </c>
      <c r="G486" t="b">
        <v>0</v>
      </c>
      <c r="H486" t="s">
        <v>31</v>
      </c>
      <c r="I486" t="s">
        <v>34</v>
      </c>
    </row>
    <row r="487" spans="1:9" x14ac:dyDescent="0.3">
      <c r="A487" t="str">
        <f t="shared" si="7"/>
        <v>CASE-0486</v>
      </c>
      <c r="B487" s="1">
        <v>46036</v>
      </c>
      <c r="C487" t="s">
        <v>12</v>
      </c>
      <c r="D487">
        <v>3</v>
      </c>
      <c r="E487" t="b">
        <v>1</v>
      </c>
      <c r="F487" s="2">
        <v>6.4011429064224128</v>
      </c>
      <c r="G487" t="b">
        <v>0</v>
      </c>
      <c r="H487" t="s">
        <v>16</v>
      </c>
      <c r="I487" t="s">
        <v>34</v>
      </c>
    </row>
    <row r="488" spans="1:9" x14ac:dyDescent="0.3">
      <c r="A488" t="str">
        <f t="shared" si="7"/>
        <v>CASE-0487</v>
      </c>
      <c r="B488" s="1">
        <v>46009</v>
      </c>
      <c r="C488" t="s">
        <v>10</v>
      </c>
      <c r="D488">
        <v>3</v>
      </c>
      <c r="E488" t="b">
        <v>1</v>
      </c>
      <c r="F488" s="2">
        <v>8.3589771982329868</v>
      </c>
      <c r="G488" t="b">
        <v>0</v>
      </c>
      <c r="H488" t="s">
        <v>30</v>
      </c>
      <c r="I488" t="s">
        <v>34</v>
      </c>
    </row>
    <row r="489" spans="1:9" x14ac:dyDescent="0.3">
      <c r="A489" t="str">
        <f t="shared" si="7"/>
        <v>CASE-0488</v>
      </c>
      <c r="B489" s="1">
        <v>45883</v>
      </c>
      <c r="C489" t="s">
        <v>12</v>
      </c>
      <c r="D489">
        <v>4</v>
      </c>
      <c r="E489" t="b">
        <v>1</v>
      </c>
      <c r="F489" s="2">
        <v>6.6261434073469871</v>
      </c>
      <c r="G489" t="b">
        <v>0</v>
      </c>
      <c r="H489" t="s">
        <v>23</v>
      </c>
      <c r="I489" t="s">
        <v>34</v>
      </c>
    </row>
    <row r="490" spans="1:9" x14ac:dyDescent="0.3">
      <c r="A490" t="str">
        <f t="shared" si="7"/>
        <v>CASE-0489</v>
      </c>
      <c r="B490" s="1">
        <v>45528</v>
      </c>
      <c r="C490" t="s">
        <v>12</v>
      </c>
      <c r="D490">
        <v>4</v>
      </c>
      <c r="E490" t="b">
        <v>0</v>
      </c>
      <c r="F490" s="2">
        <v>18.256789038680502</v>
      </c>
      <c r="G490" t="b">
        <v>0</v>
      </c>
      <c r="H490" t="s">
        <v>32</v>
      </c>
      <c r="I490" t="s">
        <v>33</v>
      </c>
    </row>
    <row r="491" spans="1:9" x14ac:dyDescent="0.3">
      <c r="A491" t="str">
        <f t="shared" si="7"/>
        <v>CASE-0490</v>
      </c>
      <c r="B491" s="1">
        <v>46103</v>
      </c>
      <c r="C491" t="s">
        <v>12</v>
      </c>
      <c r="D491">
        <v>3</v>
      </c>
      <c r="E491" t="b">
        <v>1</v>
      </c>
      <c r="F491" s="2">
        <v>9.1279971368956137</v>
      </c>
      <c r="G491" t="b">
        <v>0</v>
      </c>
      <c r="H491" t="s">
        <v>22</v>
      </c>
      <c r="I491" t="s">
        <v>34</v>
      </c>
    </row>
    <row r="492" spans="1:9" x14ac:dyDescent="0.3">
      <c r="A492" t="str">
        <f t="shared" si="7"/>
        <v>CASE-0491</v>
      </c>
      <c r="B492" s="1">
        <v>45947</v>
      </c>
      <c r="C492" t="s">
        <v>11</v>
      </c>
      <c r="D492">
        <v>2</v>
      </c>
      <c r="E492" t="b">
        <v>1</v>
      </c>
      <c r="F492" s="2">
        <v>8.1882831222799499</v>
      </c>
      <c r="G492" t="b">
        <v>0</v>
      </c>
      <c r="H492" t="s">
        <v>29</v>
      </c>
      <c r="I492" t="s">
        <v>34</v>
      </c>
    </row>
    <row r="493" spans="1:9" x14ac:dyDescent="0.3">
      <c r="A493" t="str">
        <f t="shared" si="7"/>
        <v>CASE-0492</v>
      </c>
      <c r="B493" s="1">
        <v>45998</v>
      </c>
      <c r="C493" t="s">
        <v>11</v>
      </c>
      <c r="D493">
        <v>5</v>
      </c>
      <c r="E493" t="b">
        <v>1</v>
      </c>
      <c r="F493" s="2">
        <v>26.632533775945355</v>
      </c>
      <c r="G493" t="b">
        <v>0</v>
      </c>
      <c r="H493" t="s">
        <v>18</v>
      </c>
      <c r="I493" t="s">
        <v>33</v>
      </c>
    </row>
    <row r="494" spans="1:9" x14ac:dyDescent="0.3">
      <c r="A494" t="str">
        <f t="shared" si="7"/>
        <v>CASE-0493</v>
      </c>
      <c r="B494" s="1">
        <v>45689</v>
      </c>
      <c r="C494" t="s">
        <v>11</v>
      </c>
      <c r="D494">
        <v>1</v>
      </c>
      <c r="E494" t="b">
        <v>0</v>
      </c>
      <c r="F494" s="2">
        <v>9.200336627108987</v>
      </c>
      <c r="G494" t="b">
        <v>0</v>
      </c>
      <c r="H494" t="s">
        <v>20</v>
      </c>
      <c r="I494" t="s">
        <v>33</v>
      </c>
    </row>
    <row r="495" spans="1:9" x14ac:dyDescent="0.3">
      <c r="A495" t="str">
        <f t="shared" si="7"/>
        <v>CASE-0494</v>
      </c>
      <c r="B495" s="1">
        <v>45509</v>
      </c>
      <c r="C495" t="s">
        <v>10</v>
      </c>
      <c r="D495">
        <v>1</v>
      </c>
      <c r="E495" t="b">
        <v>0</v>
      </c>
      <c r="F495" s="2">
        <v>34.926844660923031</v>
      </c>
      <c r="G495" t="b">
        <v>0</v>
      </c>
      <c r="H495" t="s">
        <v>13</v>
      </c>
      <c r="I495" t="s">
        <v>33</v>
      </c>
    </row>
    <row r="496" spans="1:9" x14ac:dyDescent="0.3">
      <c r="A496" t="str">
        <f t="shared" si="7"/>
        <v>CASE-0495</v>
      </c>
      <c r="B496" s="1">
        <v>46016</v>
      </c>
      <c r="C496" t="s">
        <v>11</v>
      </c>
      <c r="D496">
        <v>5</v>
      </c>
      <c r="E496" t="b">
        <v>1</v>
      </c>
      <c r="F496" s="2">
        <v>2.9180271400999098</v>
      </c>
      <c r="G496" t="b">
        <v>0</v>
      </c>
      <c r="H496" t="s">
        <v>20</v>
      </c>
      <c r="I496" t="s">
        <v>34</v>
      </c>
    </row>
    <row r="497" spans="1:9" x14ac:dyDescent="0.3">
      <c r="A497" t="str">
        <f t="shared" si="7"/>
        <v>CASE-0496</v>
      </c>
      <c r="B497" s="1">
        <v>45580</v>
      </c>
      <c r="C497" t="s">
        <v>10</v>
      </c>
      <c r="D497">
        <v>1</v>
      </c>
      <c r="E497" t="b">
        <v>0</v>
      </c>
      <c r="F497" s="2">
        <v>20.741919545747947</v>
      </c>
      <c r="G497" t="b">
        <v>0</v>
      </c>
      <c r="H497" t="s">
        <v>28</v>
      </c>
      <c r="I497" t="s">
        <v>33</v>
      </c>
    </row>
    <row r="498" spans="1:9" x14ac:dyDescent="0.3">
      <c r="A498" t="str">
        <f t="shared" si="7"/>
        <v>CASE-0497</v>
      </c>
      <c r="B498" s="1">
        <v>46136</v>
      </c>
      <c r="C498" t="s">
        <v>12</v>
      </c>
      <c r="D498">
        <v>3</v>
      </c>
      <c r="E498" t="b">
        <v>1</v>
      </c>
      <c r="F498" s="2">
        <v>15.214221546915953</v>
      </c>
      <c r="G498" t="b">
        <v>0</v>
      </c>
      <c r="H498" t="s">
        <v>20</v>
      </c>
      <c r="I498" t="s">
        <v>33</v>
      </c>
    </row>
    <row r="499" spans="1:9" x14ac:dyDescent="0.3">
      <c r="A499" t="str">
        <f t="shared" si="7"/>
        <v>CASE-0498</v>
      </c>
      <c r="B499" s="1">
        <v>45519</v>
      </c>
      <c r="C499" t="s">
        <v>10</v>
      </c>
      <c r="D499">
        <v>3</v>
      </c>
      <c r="E499" t="b">
        <v>0</v>
      </c>
      <c r="F499" s="2">
        <v>33.590261212604787</v>
      </c>
      <c r="G499" t="b">
        <v>0</v>
      </c>
      <c r="H499" t="s">
        <v>14</v>
      </c>
      <c r="I499" t="s">
        <v>33</v>
      </c>
    </row>
    <row r="500" spans="1:9" x14ac:dyDescent="0.3">
      <c r="A500" t="str">
        <f t="shared" si="7"/>
        <v>CASE-0499</v>
      </c>
      <c r="B500" s="1">
        <v>45526</v>
      </c>
      <c r="C500" t="s">
        <v>12</v>
      </c>
      <c r="D500">
        <v>1</v>
      </c>
      <c r="E500" t="b">
        <v>0</v>
      </c>
      <c r="F500" s="2">
        <v>26.625976317202014</v>
      </c>
      <c r="G500" t="b">
        <v>0</v>
      </c>
      <c r="H500" t="s">
        <v>13</v>
      </c>
      <c r="I500" t="s">
        <v>33</v>
      </c>
    </row>
    <row r="501" spans="1:9" x14ac:dyDescent="0.3">
      <c r="A501" t="str">
        <f t="shared" si="7"/>
        <v>CASE-0500</v>
      </c>
      <c r="B501" s="1">
        <v>46021</v>
      </c>
      <c r="C501" t="s">
        <v>10</v>
      </c>
      <c r="D501">
        <v>4</v>
      </c>
      <c r="E501" t="b">
        <v>0</v>
      </c>
      <c r="F501" s="2">
        <v>7.2894527227086989</v>
      </c>
      <c r="G501" t="b">
        <v>0</v>
      </c>
      <c r="H501" t="s">
        <v>26</v>
      </c>
      <c r="I501" t="s">
        <v>34</v>
      </c>
    </row>
    <row r="502" spans="1:9" x14ac:dyDescent="0.3">
      <c r="A502" t="str">
        <f t="shared" si="7"/>
        <v>CASE-0501</v>
      </c>
      <c r="B502" s="1">
        <v>46164</v>
      </c>
      <c r="C502" t="s">
        <v>9</v>
      </c>
      <c r="D502">
        <v>5</v>
      </c>
      <c r="E502" t="b">
        <v>1</v>
      </c>
      <c r="F502" s="2">
        <v>16.031551105137481</v>
      </c>
      <c r="G502" t="b">
        <v>0</v>
      </c>
      <c r="H502" t="s">
        <v>30</v>
      </c>
      <c r="I502" t="s">
        <v>33</v>
      </c>
    </row>
    <row r="503" spans="1:9" x14ac:dyDescent="0.3">
      <c r="A503" t="str">
        <f t="shared" si="7"/>
        <v>CASE-0502</v>
      </c>
      <c r="B503" s="1">
        <v>45698</v>
      </c>
      <c r="C503" t="s">
        <v>12</v>
      </c>
      <c r="D503">
        <v>4</v>
      </c>
      <c r="E503" t="b">
        <v>0</v>
      </c>
      <c r="F503" s="2">
        <v>7.1481253584782793</v>
      </c>
      <c r="G503" t="b">
        <v>0</v>
      </c>
      <c r="H503" t="s">
        <v>30</v>
      </c>
      <c r="I503" t="s">
        <v>34</v>
      </c>
    </row>
    <row r="504" spans="1:9" x14ac:dyDescent="0.3">
      <c r="A504" t="str">
        <f t="shared" si="7"/>
        <v>CASE-0503</v>
      </c>
      <c r="B504" s="1">
        <v>45589</v>
      </c>
      <c r="C504" t="s">
        <v>11</v>
      </c>
      <c r="D504">
        <v>4</v>
      </c>
      <c r="E504" t="b">
        <v>0</v>
      </c>
      <c r="F504" s="2">
        <v>13.338689455294194</v>
      </c>
      <c r="G504" t="b">
        <v>0</v>
      </c>
      <c r="H504" t="s">
        <v>29</v>
      </c>
      <c r="I504" t="s">
        <v>33</v>
      </c>
    </row>
    <row r="505" spans="1:9" x14ac:dyDescent="0.3">
      <c r="A505" t="str">
        <f t="shared" si="7"/>
        <v>CASE-0504</v>
      </c>
      <c r="B505" s="1">
        <v>45864</v>
      </c>
      <c r="C505" t="s">
        <v>10</v>
      </c>
      <c r="D505">
        <v>2</v>
      </c>
      <c r="E505" t="b">
        <v>1</v>
      </c>
      <c r="F505" s="2">
        <v>7.0638096400303221</v>
      </c>
      <c r="G505" t="b">
        <v>0</v>
      </c>
      <c r="H505" t="s">
        <v>15</v>
      </c>
      <c r="I505" t="s">
        <v>34</v>
      </c>
    </row>
    <row r="506" spans="1:9" x14ac:dyDescent="0.3">
      <c r="A506" t="str">
        <f t="shared" si="7"/>
        <v>CASE-0505</v>
      </c>
      <c r="B506" s="1">
        <v>45868</v>
      </c>
      <c r="C506" t="s">
        <v>9</v>
      </c>
      <c r="D506">
        <v>3</v>
      </c>
      <c r="E506" t="b">
        <v>1</v>
      </c>
      <c r="F506" s="2">
        <v>4.7271286235532264</v>
      </c>
      <c r="G506" t="b">
        <v>0</v>
      </c>
      <c r="H506" t="s">
        <v>28</v>
      </c>
      <c r="I506" t="s">
        <v>34</v>
      </c>
    </row>
    <row r="507" spans="1:9" x14ac:dyDescent="0.3">
      <c r="A507" t="str">
        <f t="shared" si="7"/>
        <v>CASE-0506</v>
      </c>
      <c r="B507" s="1">
        <v>45838</v>
      </c>
      <c r="C507" t="s">
        <v>11</v>
      </c>
      <c r="D507">
        <v>3</v>
      </c>
      <c r="E507" t="b">
        <v>1</v>
      </c>
      <c r="F507" s="2">
        <v>5.866123026960957</v>
      </c>
      <c r="G507" t="b">
        <v>0</v>
      </c>
      <c r="H507" t="s">
        <v>18</v>
      </c>
      <c r="I507" t="s">
        <v>34</v>
      </c>
    </row>
    <row r="508" spans="1:9" x14ac:dyDescent="0.3">
      <c r="A508" t="str">
        <f t="shared" si="7"/>
        <v>CASE-0507</v>
      </c>
      <c r="B508" s="1">
        <v>46069</v>
      </c>
      <c r="C508" t="s">
        <v>11</v>
      </c>
      <c r="D508">
        <v>4</v>
      </c>
      <c r="E508" t="b">
        <v>1</v>
      </c>
      <c r="F508" s="2">
        <v>5.5699720863919842</v>
      </c>
      <c r="G508" t="b">
        <v>0</v>
      </c>
      <c r="H508" t="s">
        <v>20</v>
      </c>
      <c r="I508" t="s">
        <v>35</v>
      </c>
    </row>
    <row r="509" spans="1:9" x14ac:dyDescent="0.3">
      <c r="A509" t="str">
        <f t="shared" si="7"/>
        <v>CASE-0508</v>
      </c>
      <c r="B509" s="1">
        <v>46196</v>
      </c>
      <c r="C509" t="s">
        <v>10</v>
      </c>
      <c r="D509">
        <v>3</v>
      </c>
      <c r="E509" t="b">
        <v>1</v>
      </c>
      <c r="F509" s="2">
        <v>20.306426049649339</v>
      </c>
      <c r="G509" t="b">
        <v>0</v>
      </c>
      <c r="H509" t="s">
        <v>21</v>
      </c>
      <c r="I509" t="s">
        <v>33</v>
      </c>
    </row>
    <row r="510" spans="1:9" x14ac:dyDescent="0.3">
      <c r="A510" t="str">
        <f t="shared" si="7"/>
        <v>CASE-0509</v>
      </c>
      <c r="B510" s="1">
        <v>45579</v>
      </c>
      <c r="C510" t="s">
        <v>11</v>
      </c>
      <c r="D510">
        <v>2</v>
      </c>
      <c r="E510" t="b">
        <v>0</v>
      </c>
      <c r="F510" s="2">
        <v>15.121754165681754</v>
      </c>
      <c r="G510" t="b">
        <v>0</v>
      </c>
      <c r="H510" t="s">
        <v>21</v>
      </c>
      <c r="I510" t="s">
        <v>33</v>
      </c>
    </row>
    <row r="511" spans="1:9" x14ac:dyDescent="0.3">
      <c r="A511" t="str">
        <f t="shared" si="7"/>
        <v>CASE-0510</v>
      </c>
      <c r="B511" s="1">
        <v>45874</v>
      </c>
      <c r="C511" t="s">
        <v>10</v>
      </c>
      <c r="D511">
        <v>2</v>
      </c>
      <c r="E511" t="b">
        <v>1</v>
      </c>
      <c r="F511" s="2">
        <v>14.231261338509976</v>
      </c>
      <c r="G511" t="b">
        <v>0</v>
      </c>
      <c r="H511" t="s">
        <v>15</v>
      </c>
      <c r="I511" t="s">
        <v>33</v>
      </c>
    </row>
    <row r="512" spans="1:9" x14ac:dyDescent="0.3">
      <c r="A512" t="str">
        <f t="shared" si="7"/>
        <v>CASE-0511</v>
      </c>
      <c r="B512" s="1">
        <v>45792</v>
      </c>
      <c r="C512" t="s">
        <v>12</v>
      </c>
      <c r="D512">
        <v>1</v>
      </c>
      <c r="E512" t="b">
        <v>1</v>
      </c>
      <c r="F512" s="2">
        <v>7.6306551718804965</v>
      </c>
      <c r="G512" t="b">
        <v>0</v>
      </c>
      <c r="H512" t="s">
        <v>19</v>
      </c>
      <c r="I512" t="s">
        <v>34</v>
      </c>
    </row>
    <row r="513" spans="1:9" x14ac:dyDescent="0.3">
      <c r="A513" t="str">
        <f t="shared" si="7"/>
        <v>CASE-0512</v>
      </c>
      <c r="B513" s="1">
        <v>46166</v>
      </c>
      <c r="C513" t="s">
        <v>12</v>
      </c>
      <c r="D513">
        <v>3</v>
      </c>
      <c r="E513" t="b">
        <v>1</v>
      </c>
      <c r="F513" s="2">
        <v>24.094351295047435</v>
      </c>
      <c r="G513" t="b">
        <v>0</v>
      </c>
      <c r="H513" t="s">
        <v>13</v>
      </c>
      <c r="I513" t="s">
        <v>33</v>
      </c>
    </row>
    <row r="514" spans="1:9" x14ac:dyDescent="0.3">
      <c r="A514" t="str">
        <f t="shared" si="7"/>
        <v>CASE-0513</v>
      </c>
      <c r="B514" s="1">
        <v>45696</v>
      </c>
      <c r="C514" t="s">
        <v>10</v>
      </c>
      <c r="D514">
        <v>4</v>
      </c>
      <c r="E514" t="b">
        <v>0</v>
      </c>
      <c r="F514" s="2">
        <v>19.778625590335842</v>
      </c>
      <c r="G514" t="b">
        <v>0</v>
      </c>
      <c r="H514" t="s">
        <v>14</v>
      </c>
      <c r="I514" t="s">
        <v>33</v>
      </c>
    </row>
    <row r="515" spans="1:9" x14ac:dyDescent="0.3">
      <c r="A515" t="str">
        <f t="shared" ref="A515:A578" si="8">"CASE-"&amp;TEXT(ROW()-1,"0000")</f>
        <v>CASE-0514</v>
      </c>
      <c r="B515" s="1">
        <v>45959</v>
      </c>
      <c r="C515" t="s">
        <v>10</v>
      </c>
      <c r="D515">
        <v>3</v>
      </c>
      <c r="E515" t="b">
        <v>0</v>
      </c>
      <c r="F515" s="2">
        <v>2.995417633969367</v>
      </c>
      <c r="G515" t="b">
        <v>0</v>
      </c>
      <c r="H515" t="s">
        <v>18</v>
      </c>
      <c r="I515" t="s">
        <v>35</v>
      </c>
    </row>
    <row r="516" spans="1:9" x14ac:dyDescent="0.3">
      <c r="A516" t="str">
        <f t="shared" si="8"/>
        <v>CASE-0515</v>
      </c>
      <c r="B516" s="1">
        <v>45736</v>
      </c>
      <c r="C516" t="s">
        <v>11</v>
      </c>
      <c r="D516">
        <v>3</v>
      </c>
      <c r="E516" t="b">
        <v>1</v>
      </c>
      <c r="F516" s="2">
        <v>4.9594251689293456</v>
      </c>
      <c r="G516" t="b">
        <v>0</v>
      </c>
      <c r="H516" t="s">
        <v>26</v>
      </c>
      <c r="I516" t="s">
        <v>34</v>
      </c>
    </row>
    <row r="517" spans="1:9" x14ac:dyDescent="0.3">
      <c r="A517" t="str">
        <f t="shared" si="8"/>
        <v>CASE-0516</v>
      </c>
      <c r="B517" s="1">
        <v>45804</v>
      </c>
      <c r="C517" t="s">
        <v>10</v>
      </c>
      <c r="D517">
        <v>5</v>
      </c>
      <c r="E517" t="b">
        <v>1</v>
      </c>
      <c r="F517" s="2">
        <v>29.243497162140184</v>
      </c>
      <c r="G517" t="b">
        <v>0</v>
      </c>
      <c r="H517" t="s">
        <v>27</v>
      </c>
      <c r="I517" t="s">
        <v>33</v>
      </c>
    </row>
    <row r="518" spans="1:9" x14ac:dyDescent="0.3">
      <c r="A518" t="str">
        <f t="shared" si="8"/>
        <v>CASE-0517</v>
      </c>
      <c r="B518" s="1">
        <v>45752</v>
      </c>
      <c r="C518" t="s">
        <v>9</v>
      </c>
      <c r="D518">
        <v>3</v>
      </c>
      <c r="E518" t="b">
        <v>1</v>
      </c>
      <c r="F518" s="2">
        <v>6.2624480390972082</v>
      </c>
      <c r="G518" t="b">
        <v>0</v>
      </c>
      <c r="H518" t="s">
        <v>16</v>
      </c>
      <c r="I518" t="s">
        <v>34</v>
      </c>
    </row>
    <row r="519" spans="1:9" x14ac:dyDescent="0.3">
      <c r="A519" t="str">
        <f t="shared" si="8"/>
        <v>CASE-0518</v>
      </c>
      <c r="B519" s="1">
        <v>45481</v>
      </c>
      <c r="C519" t="s">
        <v>12</v>
      </c>
      <c r="D519">
        <v>3</v>
      </c>
      <c r="E519" t="b">
        <v>0</v>
      </c>
      <c r="F519" s="2">
        <v>26.833759320965516</v>
      </c>
      <c r="G519" t="b">
        <v>0</v>
      </c>
      <c r="H519" t="s">
        <v>18</v>
      </c>
      <c r="I519" t="s">
        <v>33</v>
      </c>
    </row>
    <row r="520" spans="1:9" x14ac:dyDescent="0.3">
      <c r="A520" t="str">
        <f t="shared" si="8"/>
        <v>CASE-0519</v>
      </c>
      <c r="B520" s="1">
        <v>45612</v>
      </c>
      <c r="C520" t="s">
        <v>11</v>
      </c>
      <c r="D520">
        <v>2</v>
      </c>
      <c r="E520" t="b">
        <v>0</v>
      </c>
      <c r="F520" s="2">
        <v>32.795132180460755</v>
      </c>
      <c r="G520" t="b">
        <v>0</v>
      </c>
      <c r="H520" t="s">
        <v>15</v>
      </c>
      <c r="I520" t="s">
        <v>33</v>
      </c>
    </row>
    <row r="521" spans="1:9" x14ac:dyDescent="0.3">
      <c r="A521" t="str">
        <f t="shared" si="8"/>
        <v>CASE-0520</v>
      </c>
      <c r="B521" s="1">
        <v>45801</v>
      </c>
      <c r="C521" t="s">
        <v>9</v>
      </c>
      <c r="D521">
        <v>4</v>
      </c>
      <c r="E521" t="b">
        <v>0</v>
      </c>
      <c r="F521" s="2">
        <v>6.7915769818604668</v>
      </c>
      <c r="G521" t="b">
        <v>0</v>
      </c>
      <c r="H521" t="s">
        <v>28</v>
      </c>
      <c r="I521" t="s">
        <v>34</v>
      </c>
    </row>
    <row r="522" spans="1:9" x14ac:dyDescent="0.3">
      <c r="A522" t="str">
        <f t="shared" si="8"/>
        <v>CASE-0521</v>
      </c>
      <c r="B522" s="1">
        <v>45920</v>
      </c>
      <c r="C522" t="s">
        <v>9</v>
      </c>
      <c r="D522">
        <v>1</v>
      </c>
      <c r="E522" t="b">
        <v>1</v>
      </c>
      <c r="F522" s="2">
        <v>3.3414348502893887</v>
      </c>
      <c r="G522" t="b">
        <v>0</v>
      </c>
      <c r="H522" t="s">
        <v>27</v>
      </c>
      <c r="I522" t="s">
        <v>34</v>
      </c>
    </row>
    <row r="523" spans="1:9" x14ac:dyDescent="0.3">
      <c r="A523" t="str">
        <f t="shared" si="8"/>
        <v>CASE-0522</v>
      </c>
      <c r="B523" s="1">
        <v>45655</v>
      </c>
      <c r="C523" t="s">
        <v>9</v>
      </c>
      <c r="D523">
        <v>4</v>
      </c>
      <c r="E523" t="b">
        <v>0</v>
      </c>
      <c r="F523" s="2">
        <v>22.158194130759959</v>
      </c>
      <c r="G523" t="b">
        <v>0</v>
      </c>
      <c r="H523" t="s">
        <v>26</v>
      </c>
      <c r="I523" t="s">
        <v>33</v>
      </c>
    </row>
    <row r="524" spans="1:9" x14ac:dyDescent="0.3">
      <c r="A524" t="str">
        <f t="shared" si="8"/>
        <v>CASE-0523</v>
      </c>
      <c r="B524" s="1">
        <v>45816</v>
      </c>
      <c r="C524" t="s">
        <v>9</v>
      </c>
      <c r="D524">
        <v>4</v>
      </c>
      <c r="E524" t="b">
        <v>1</v>
      </c>
      <c r="F524" s="2">
        <v>6.3376346640619721</v>
      </c>
      <c r="G524" t="b">
        <v>0</v>
      </c>
      <c r="H524" t="s">
        <v>14</v>
      </c>
      <c r="I524" t="s">
        <v>34</v>
      </c>
    </row>
    <row r="525" spans="1:9" x14ac:dyDescent="0.3">
      <c r="A525" t="str">
        <f t="shared" si="8"/>
        <v>CASE-0524</v>
      </c>
      <c r="B525" s="1">
        <v>45929</v>
      </c>
      <c r="C525" t="s">
        <v>11</v>
      </c>
      <c r="D525">
        <v>5</v>
      </c>
      <c r="E525" t="b">
        <v>1</v>
      </c>
      <c r="F525" s="2">
        <v>2.5116383858366951</v>
      </c>
      <c r="G525" t="b">
        <v>0</v>
      </c>
      <c r="H525" t="s">
        <v>15</v>
      </c>
      <c r="I525" t="s">
        <v>34</v>
      </c>
    </row>
    <row r="526" spans="1:9" x14ac:dyDescent="0.3">
      <c r="A526" t="str">
        <f t="shared" si="8"/>
        <v>CASE-0525</v>
      </c>
      <c r="B526" s="1">
        <v>46201</v>
      </c>
      <c r="C526" t="s">
        <v>9</v>
      </c>
      <c r="D526">
        <v>4</v>
      </c>
      <c r="E526" t="b">
        <v>1</v>
      </c>
      <c r="F526" s="2">
        <v>28.339212189789041</v>
      </c>
      <c r="G526" t="b">
        <v>0</v>
      </c>
      <c r="H526" t="s">
        <v>20</v>
      </c>
      <c r="I526" t="s">
        <v>33</v>
      </c>
    </row>
    <row r="527" spans="1:9" x14ac:dyDescent="0.3">
      <c r="A527" t="str">
        <f t="shared" si="8"/>
        <v>CASE-0526</v>
      </c>
      <c r="B527" s="1">
        <v>45671</v>
      </c>
      <c r="C527" t="s">
        <v>9</v>
      </c>
      <c r="D527">
        <v>1</v>
      </c>
      <c r="E527" t="b">
        <v>1</v>
      </c>
      <c r="F527" s="2">
        <v>9.6070101468128293</v>
      </c>
      <c r="G527" t="b">
        <v>0</v>
      </c>
      <c r="H527" t="s">
        <v>32</v>
      </c>
      <c r="I527" t="s">
        <v>34</v>
      </c>
    </row>
    <row r="528" spans="1:9" x14ac:dyDescent="0.3">
      <c r="A528" t="str">
        <f t="shared" si="8"/>
        <v>CASE-0527</v>
      </c>
      <c r="B528" s="1">
        <v>45997</v>
      </c>
      <c r="C528" t="s">
        <v>10</v>
      </c>
      <c r="D528">
        <v>3</v>
      </c>
      <c r="E528" t="b">
        <v>0</v>
      </c>
      <c r="F528" s="2">
        <v>28.281641787737207</v>
      </c>
      <c r="G528" t="b">
        <v>0</v>
      </c>
      <c r="H528" t="s">
        <v>21</v>
      </c>
      <c r="I528" t="s">
        <v>33</v>
      </c>
    </row>
    <row r="529" spans="1:9" x14ac:dyDescent="0.3">
      <c r="A529" t="str">
        <f t="shared" si="8"/>
        <v>CASE-0528</v>
      </c>
      <c r="B529" s="1">
        <v>46193</v>
      </c>
      <c r="C529" t="s">
        <v>12</v>
      </c>
      <c r="D529">
        <v>2</v>
      </c>
      <c r="E529" t="b">
        <v>1</v>
      </c>
      <c r="F529" s="2">
        <v>4.9250714142293148</v>
      </c>
      <c r="G529" t="b">
        <v>0</v>
      </c>
      <c r="H529" t="s">
        <v>21</v>
      </c>
      <c r="I529" t="s">
        <v>34</v>
      </c>
    </row>
    <row r="530" spans="1:9" x14ac:dyDescent="0.3">
      <c r="A530" t="str">
        <f t="shared" si="8"/>
        <v>CASE-0529</v>
      </c>
      <c r="B530" s="1">
        <v>46140</v>
      </c>
      <c r="C530" t="s">
        <v>11</v>
      </c>
      <c r="D530">
        <v>5</v>
      </c>
      <c r="E530" t="b">
        <v>1</v>
      </c>
      <c r="F530" s="2">
        <v>3.2470959719504071</v>
      </c>
      <c r="G530" t="b">
        <v>0</v>
      </c>
      <c r="H530" t="s">
        <v>31</v>
      </c>
      <c r="I530" t="s">
        <v>34</v>
      </c>
    </row>
    <row r="531" spans="1:9" x14ac:dyDescent="0.3">
      <c r="A531" t="str">
        <f t="shared" si="8"/>
        <v>CASE-0530</v>
      </c>
      <c r="B531" s="1">
        <v>46189</v>
      </c>
      <c r="C531" t="s">
        <v>10</v>
      </c>
      <c r="D531">
        <v>1</v>
      </c>
      <c r="E531" t="b">
        <v>1</v>
      </c>
      <c r="F531" s="2">
        <v>5.2762963644693626</v>
      </c>
      <c r="G531" t="b">
        <v>0</v>
      </c>
      <c r="H531" t="s">
        <v>23</v>
      </c>
      <c r="I531" t="s">
        <v>34</v>
      </c>
    </row>
    <row r="532" spans="1:9" x14ac:dyDescent="0.3">
      <c r="A532" t="str">
        <f t="shared" si="8"/>
        <v>CASE-0531</v>
      </c>
      <c r="B532" s="1">
        <v>45481</v>
      </c>
      <c r="C532" t="s">
        <v>9</v>
      </c>
      <c r="D532">
        <v>2</v>
      </c>
      <c r="E532" t="b">
        <v>0</v>
      </c>
      <c r="F532" s="2">
        <v>24.974890558512531</v>
      </c>
      <c r="G532" t="b">
        <v>0</v>
      </c>
      <c r="H532" t="s">
        <v>27</v>
      </c>
      <c r="I532" t="s">
        <v>33</v>
      </c>
    </row>
    <row r="533" spans="1:9" x14ac:dyDescent="0.3">
      <c r="A533" t="str">
        <f t="shared" si="8"/>
        <v>CASE-0532</v>
      </c>
      <c r="B533" s="1">
        <v>45804</v>
      </c>
      <c r="C533" t="s">
        <v>12</v>
      </c>
      <c r="D533">
        <v>1</v>
      </c>
      <c r="E533" t="b">
        <v>1</v>
      </c>
      <c r="F533" s="2">
        <v>7.832398645681951</v>
      </c>
      <c r="G533" t="b">
        <v>0</v>
      </c>
      <c r="H533" t="s">
        <v>25</v>
      </c>
      <c r="I533" t="s">
        <v>34</v>
      </c>
    </row>
    <row r="534" spans="1:9" x14ac:dyDescent="0.3">
      <c r="A534" t="str">
        <f t="shared" si="8"/>
        <v>CASE-0533</v>
      </c>
      <c r="B534" s="1">
        <v>45839</v>
      </c>
      <c r="C534" t="s">
        <v>12</v>
      </c>
      <c r="D534">
        <v>2</v>
      </c>
      <c r="E534" t="b">
        <v>1</v>
      </c>
      <c r="F534" s="2">
        <v>20.189955499594099</v>
      </c>
      <c r="G534" t="b">
        <v>0</v>
      </c>
      <c r="H534" t="s">
        <v>14</v>
      </c>
      <c r="I534" t="s">
        <v>33</v>
      </c>
    </row>
    <row r="535" spans="1:9" x14ac:dyDescent="0.3">
      <c r="A535" t="str">
        <f t="shared" si="8"/>
        <v>CASE-0534</v>
      </c>
      <c r="B535" s="1">
        <v>45672</v>
      </c>
      <c r="C535" t="s">
        <v>9</v>
      </c>
      <c r="D535">
        <v>2</v>
      </c>
      <c r="E535" t="b">
        <v>0</v>
      </c>
      <c r="F535" s="2">
        <v>2.0829329421925644</v>
      </c>
      <c r="G535" t="b">
        <v>0</v>
      </c>
      <c r="H535" t="s">
        <v>21</v>
      </c>
      <c r="I535" t="s">
        <v>34</v>
      </c>
    </row>
    <row r="536" spans="1:9" x14ac:dyDescent="0.3">
      <c r="A536" t="str">
        <f t="shared" si="8"/>
        <v>CASE-0535</v>
      </c>
      <c r="B536" s="1">
        <v>45804</v>
      </c>
      <c r="C536" t="s">
        <v>12</v>
      </c>
      <c r="D536">
        <v>3</v>
      </c>
      <c r="E536" t="b">
        <v>1</v>
      </c>
      <c r="F536" s="2">
        <v>32.219260881476643</v>
      </c>
      <c r="G536" t="b">
        <v>0</v>
      </c>
      <c r="H536" t="s">
        <v>24</v>
      </c>
      <c r="I536" t="s">
        <v>33</v>
      </c>
    </row>
    <row r="537" spans="1:9" x14ac:dyDescent="0.3">
      <c r="A537" t="str">
        <f t="shared" si="8"/>
        <v>CASE-0536</v>
      </c>
      <c r="B537" s="1">
        <v>45956</v>
      </c>
      <c r="C537" t="s">
        <v>12</v>
      </c>
      <c r="D537">
        <v>4</v>
      </c>
      <c r="E537" t="b">
        <v>1</v>
      </c>
      <c r="F537" s="2">
        <v>5.2121932388431826</v>
      </c>
      <c r="G537" t="b">
        <v>0</v>
      </c>
      <c r="H537" t="s">
        <v>15</v>
      </c>
      <c r="I537" t="s">
        <v>34</v>
      </c>
    </row>
    <row r="538" spans="1:9" x14ac:dyDescent="0.3">
      <c r="A538" t="str">
        <f t="shared" si="8"/>
        <v>CASE-0537</v>
      </c>
      <c r="B538" s="1">
        <v>45942</v>
      </c>
      <c r="C538" t="s">
        <v>11</v>
      </c>
      <c r="D538">
        <v>1</v>
      </c>
      <c r="E538" t="b">
        <v>0</v>
      </c>
      <c r="F538" s="2">
        <v>3.7974272601088019</v>
      </c>
      <c r="G538" t="b">
        <v>0</v>
      </c>
      <c r="H538" t="s">
        <v>23</v>
      </c>
      <c r="I538" t="s">
        <v>34</v>
      </c>
    </row>
    <row r="539" spans="1:9" x14ac:dyDescent="0.3">
      <c r="A539" t="str">
        <f t="shared" si="8"/>
        <v>CASE-0538</v>
      </c>
      <c r="B539" s="1">
        <v>45535</v>
      </c>
      <c r="C539" t="s">
        <v>11</v>
      </c>
      <c r="D539">
        <v>5</v>
      </c>
      <c r="E539" t="b">
        <v>0</v>
      </c>
      <c r="F539" s="2">
        <v>37.685978386170746</v>
      </c>
      <c r="G539" t="b">
        <v>0</v>
      </c>
      <c r="H539" t="s">
        <v>28</v>
      </c>
      <c r="I539" t="s">
        <v>33</v>
      </c>
    </row>
    <row r="540" spans="1:9" x14ac:dyDescent="0.3">
      <c r="A540" t="str">
        <f t="shared" si="8"/>
        <v>CASE-0539</v>
      </c>
      <c r="B540" s="1">
        <v>45601</v>
      </c>
      <c r="C540" t="s">
        <v>11</v>
      </c>
      <c r="D540">
        <v>4</v>
      </c>
      <c r="E540" t="b">
        <v>0</v>
      </c>
      <c r="F540" s="2">
        <v>21.172871797491027</v>
      </c>
      <c r="G540" t="b">
        <v>0</v>
      </c>
      <c r="H540" t="s">
        <v>23</v>
      </c>
      <c r="I540" t="s">
        <v>33</v>
      </c>
    </row>
    <row r="541" spans="1:9" x14ac:dyDescent="0.3">
      <c r="A541" t="str">
        <f t="shared" si="8"/>
        <v>CASE-0540</v>
      </c>
      <c r="B541" s="1">
        <v>45967</v>
      </c>
      <c r="C541" t="s">
        <v>12</v>
      </c>
      <c r="D541">
        <v>5</v>
      </c>
      <c r="E541" t="b">
        <v>1</v>
      </c>
      <c r="F541" s="2">
        <v>9.1810200664840433</v>
      </c>
      <c r="G541" t="b">
        <v>0</v>
      </c>
      <c r="H541" t="s">
        <v>32</v>
      </c>
      <c r="I541" t="s">
        <v>34</v>
      </c>
    </row>
    <row r="542" spans="1:9" x14ac:dyDescent="0.3">
      <c r="A542" t="str">
        <f t="shared" si="8"/>
        <v>CASE-0541</v>
      </c>
      <c r="B542" s="1">
        <v>45948</v>
      </c>
      <c r="C542" t="s">
        <v>11</v>
      </c>
      <c r="D542">
        <v>3</v>
      </c>
      <c r="E542" t="b">
        <v>0</v>
      </c>
      <c r="F542" s="2">
        <v>28.175483327647207</v>
      </c>
      <c r="G542" t="b">
        <v>0</v>
      </c>
      <c r="H542" t="s">
        <v>13</v>
      </c>
      <c r="I542" t="s">
        <v>33</v>
      </c>
    </row>
    <row r="543" spans="1:9" x14ac:dyDescent="0.3">
      <c r="A543" t="str">
        <f t="shared" si="8"/>
        <v>CASE-0542</v>
      </c>
      <c r="B543" s="1">
        <v>45673</v>
      </c>
      <c r="C543" t="s">
        <v>11</v>
      </c>
      <c r="D543">
        <v>2</v>
      </c>
      <c r="E543" t="b">
        <v>1</v>
      </c>
      <c r="F543" s="2">
        <v>6.5961554652264978</v>
      </c>
      <c r="G543" t="b">
        <v>0</v>
      </c>
      <c r="H543" t="s">
        <v>30</v>
      </c>
      <c r="I543" t="s">
        <v>35</v>
      </c>
    </row>
    <row r="544" spans="1:9" x14ac:dyDescent="0.3">
      <c r="A544" t="str">
        <f t="shared" si="8"/>
        <v>CASE-0543</v>
      </c>
      <c r="B544" s="1">
        <v>45538</v>
      </c>
      <c r="C544" t="s">
        <v>10</v>
      </c>
      <c r="D544">
        <v>1</v>
      </c>
      <c r="E544" t="b">
        <v>0</v>
      </c>
      <c r="F544" s="2">
        <v>21.226983348638889</v>
      </c>
      <c r="G544" t="b">
        <v>0</v>
      </c>
      <c r="H544" t="s">
        <v>21</v>
      </c>
      <c r="I544" t="s">
        <v>33</v>
      </c>
    </row>
    <row r="545" spans="1:9" x14ac:dyDescent="0.3">
      <c r="A545" t="str">
        <f t="shared" si="8"/>
        <v>CASE-0544</v>
      </c>
      <c r="B545" s="1">
        <v>45519</v>
      </c>
      <c r="C545" t="s">
        <v>10</v>
      </c>
      <c r="D545">
        <v>2</v>
      </c>
      <c r="E545" t="b">
        <v>0</v>
      </c>
      <c r="F545" s="2">
        <v>31.055982191412614</v>
      </c>
      <c r="G545" t="b">
        <v>0</v>
      </c>
      <c r="H545" t="s">
        <v>29</v>
      </c>
      <c r="I545" t="s">
        <v>33</v>
      </c>
    </row>
    <row r="546" spans="1:9" x14ac:dyDescent="0.3">
      <c r="A546" t="str">
        <f t="shared" si="8"/>
        <v>CASE-0545</v>
      </c>
      <c r="B546" s="1">
        <v>45553</v>
      </c>
      <c r="C546" t="s">
        <v>9</v>
      </c>
      <c r="D546">
        <v>3</v>
      </c>
      <c r="E546" t="b">
        <v>0</v>
      </c>
      <c r="F546" s="2">
        <v>21.86415607473581</v>
      </c>
      <c r="G546" t="b">
        <v>0</v>
      </c>
      <c r="H546" t="s">
        <v>31</v>
      </c>
      <c r="I546" t="s">
        <v>33</v>
      </c>
    </row>
    <row r="547" spans="1:9" x14ac:dyDescent="0.3">
      <c r="A547" t="str">
        <f t="shared" si="8"/>
        <v>CASE-0546</v>
      </c>
      <c r="B547" s="1">
        <v>46120</v>
      </c>
      <c r="C547" t="s">
        <v>12</v>
      </c>
      <c r="D547">
        <v>4</v>
      </c>
      <c r="E547" t="b">
        <v>1</v>
      </c>
      <c r="F547" s="2">
        <v>4.8463247050451654</v>
      </c>
      <c r="G547" t="b">
        <v>0</v>
      </c>
      <c r="H547" t="s">
        <v>25</v>
      </c>
      <c r="I547" t="s">
        <v>34</v>
      </c>
    </row>
    <row r="548" spans="1:9" x14ac:dyDescent="0.3">
      <c r="A548" t="str">
        <f t="shared" si="8"/>
        <v>CASE-0547</v>
      </c>
      <c r="B548" s="1">
        <v>45579</v>
      </c>
      <c r="C548" t="s">
        <v>12</v>
      </c>
      <c r="D548">
        <v>4</v>
      </c>
      <c r="E548" t="b">
        <v>0</v>
      </c>
      <c r="F548" s="2">
        <v>14.316545288195991</v>
      </c>
      <c r="G548" t="b">
        <v>0</v>
      </c>
      <c r="H548" t="s">
        <v>13</v>
      </c>
      <c r="I548" t="s">
        <v>33</v>
      </c>
    </row>
    <row r="549" spans="1:9" x14ac:dyDescent="0.3">
      <c r="A549" t="str">
        <f t="shared" si="8"/>
        <v>CASE-0548</v>
      </c>
      <c r="B549" s="1">
        <v>45542</v>
      </c>
      <c r="C549" t="s">
        <v>12</v>
      </c>
      <c r="D549">
        <v>3</v>
      </c>
      <c r="E549" t="b">
        <v>0</v>
      </c>
      <c r="F549" s="2">
        <v>22.798599669675244</v>
      </c>
      <c r="G549" t="b">
        <v>0</v>
      </c>
      <c r="H549" t="s">
        <v>22</v>
      </c>
      <c r="I549" t="s">
        <v>33</v>
      </c>
    </row>
    <row r="550" spans="1:9" x14ac:dyDescent="0.3">
      <c r="A550" t="str">
        <f t="shared" si="8"/>
        <v>CASE-0549</v>
      </c>
      <c r="B550" s="1">
        <v>45694</v>
      </c>
      <c r="C550" t="s">
        <v>10</v>
      </c>
      <c r="D550">
        <v>1</v>
      </c>
      <c r="E550" t="b">
        <v>0</v>
      </c>
      <c r="F550" s="2">
        <v>7.3619394699521123</v>
      </c>
      <c r="G550" t="b">
        <v>0</v>
      </c>
      <c r="H550" t="s">
        <v>27</v>
      </c>
      <c r="I550" t="s">
        <v>34</v>
      </c>
    </row>
    <row r="551" spans="1:9" x14ac:dyDescent="0.3">
      <c r="A551" t="str">
        <f t="shared" si="8"/>
        <v>CASE-0550</v>
      </c>
      <c r="B551" s="1">
        <v>45896</v>
      </c>
      <c r="C551" t="s">
        <v>9</v>
      </c>
      <c r="D551">
        <v>1</v>
      </c>
      <c r="E551" t="b">
        <v>1</v>
      </c>
      <c r="F551" s="2">
        <v>6.4502807787613934</v>
      </c>
      <c r="G551" t="b">
        <v>0</v>
      </c>
      <c r="H551" t="s">
        <v>16</v>
      </c>
      <c r="I551" t="s">
        <v>35</v>
      </c>
    </row>
    <row r="552" spans="1:9" x14ac:dyDescent="0.3">
      <c r="A552" t="str">
        <f t="shared" si="8"/>
        <v>CASE-0551</v>
      </c>
      <c r="B552" s="1">
        <v>46113</v>
      </c>
      <c r="C552" t="s">
        <v>12</v>
      </c>
      <c r="D552">
        <v>1</v>
      </c>
      <c r="E552" t="b">
        <v>1</v>
      </c>
      <c r="F552" s="2">
        <v>7.7518093990812655</v>
      </c>
      <c r="G552" t="b">
        <v>0</v>
      </c>
      <c r="H552" t="s">
        <v>27</v>
      </c>
      <c r="I552" t="s">
        <v>34</v>
      </c>
    </row>
    <row r="553" spans="1:9" x14ac:dyDescent="0.3">
      <c r="A553" t="str">
        <f t="shared" si="8"/>
        <v>CASE-0552</v>
      </c>
      <c r="B553" s="1">
        <v>45980</v>
      </c>
      <c r="C553" t="s">
        <v>9</v>
      </c>
      <c r="D553">
        <v>1</v>
      </c>
      <c r="E553" t="b">
        <v>1</v>
      </c>
      <c r="F553" s="2">
        <v>5.2663102853831356</v>
      </c>
      <c r="G553" t="b">
        <v>0</v>
      </c>
      <c r="H553" t="s">
        <v>28</v>
      </c>
      <c r="I553" t="s">
        <v>34</v>
      </c>
    </row>
    <row r="554" spans="1:9" x14ac:dyDescent="0.3">
      <c r="A554" t="str">
        <f t="shared" si="8"/>
        <v>CASE-0553</v>
      </c>
      <c r="B554" s="1">
        <v>45919</v>
      </c>
      <c r="C554" t="s">
        <v>11</v>
      </c>
      <c r="D554">
        <v>5</v>
      </c>
      <c r="E554" t="b">
        <v>0</v>
      </c>
      <c r="F554" s="2">
        <v>7.8445898449774276</v>
      </c>
      <c r="G554" t="b">
        <v>0</v>
      </c>
      <c r="H554" t="s">
        <v>31</v>
      </c>
      <c r="I554" t="s">
        <v>34</v>
      </c>
    </row>
    <row r="555" spans="1:9" x14ac:dyDescent="0.3">
      <c r="A555" t="str">
        <f t="shared" si="8"/>
        <v>CASE-0554</v>
      </c>
      <c r="B555" s="1">
        <v>45936</v>
      </c>
      <c r="C555" t="s">
        <v>12</v>
      </c>
      <c r="D555">
        <v>5</v>
      </c>
      <c r="E555" t="b">
        <v>0</v>
      </c>
      <c r="F555" s="2">
        <v>6.428244865025694</v>
      </c>
      <c r="G555" t="b">
        <v>0</v>
      </c>
      <c r="H555" t="s">
        <v>15</v>
      </c>
      <c r="I555" t="s">
        <v>34</v>
      </c>
    </row>
    <row r="556" spans="1:9" x14ac:dyDescent="0.3">
      <c r="A556" t="str">
        <f t="shared" si="8"/>
        <v>CASE-0555</v>
      </c>
      <c r="B556" s="1">
        <v>45884</v>
      </c>
      <c r="C556" t="s">
        <v>11</v>
      </c>
      <c r="D556">
        <v>1</v>
      </c>
      <c r="E556" t="b">
        <v>1</v>
      </c>
      <c r="F556" s="2">
        <v>1.7363201435409588</v>
      </c>
      <c r="G556" t="b">
        <v>0</v>
      </c>
      <c r="H556" t="s">
        <v>13</v>
      </c>
      <c r="I556" t="s">
        <v>34</v>
      </c>
    </row>
    <row r="557" spans="1:9" x14ac:dyDescent="0.3">
      <c r="A557" t="str">
        <f t="shared" si="8"/>
        <v>CASE-0556</v>
      </c>
      <c r="B557" s="1">
        <v>45930</v>
      </c>
      <c r="C557" t="s">
        <v>12</v>
      </c>
      <c r="D557">
        <v>1</v>
      </c>
      <c r="E557" t="b">
        <v>1</v>
      </c>
      <c r="F557" s="2">
        <v>6.9567859057852957</v>
      </c>
      <c r="G557" t="b">
        <v>0</v>
      </c>
      <c r="H557" t="s">
        <v>27</v>
      </c>
      <c r="I557" t="s">
        <v>34</v>
      </c>
    </row>
    <row r="558" spans="1:9" x14ac:dyDescent="0.3">
      <c r="A558" t="str">
        <f t="shared" si="8"/>
        <v>CASE-0557</v>
      </c>
      <c r="B558" s="1">
        <v>45558</v>
      </c>
      <c r="C558" t="s">
        <v>12</v>
      </c>
      <c r="D558">
        <v>1</v>
      </c>
      <c r="E558" t="b">
        <v>0</v>
      </c>
      <c r="F558" s="2">
        <v>38.292586139221562</v>
      </c>
      <c r="G558" t="b">
        <v>0</v>
      </c>
      <c r="H558" t="s">
        <v>24</v>
      </c>
      <c r="I558" t="s">
        <v>33</v>
      </c>
    </row>
    <row r="559" spans="1:9" x14ac:dyDescent="0.3">
      <c r="A559" t="str">
        <f t="shared" si="8"/>
        <v>CASE-0558</v>
      </c>
      <c r="B559" s="1">
        <v>45583</v>
      </c>
      <c r="C559" t="s">
        <v>12</v>
      </c>
      <c r="D559">
        <v>1</v>
      </c>
      <c r="E559" t="b">
        <v>0</v>
      </c>
      <c r="F559" s="2">
        <v>28.318606362740276</v>
      </c>
      <c r="G559" t="b">
        <v>0</v>
      </c>
      <c r="H559" t="s">
        <v>16</v>
      </c>
      <c r="I559" t="s">
        <v>33</v>
      </c>
    </row>
    <row r="560" spans="1:9" x14ac:dyDescent="0.3">
      <c r="A560" t="str">
        <f t="shared" si="8"/>
        <v>CASE-0559</v>
      </c>
      <c r="B560" s="1">
        <v>45544</v>
      </c>
      <c r="C560" t="s">
        <v>12</v>
      </c>
      <c r="D560">
        <v>2</v>
      </c>
      <c r="E560" t="b">
        <v>0</v>
      </c>
      <c r="F560" s="2">
        <v>20.572600374372598</v>
      </c>
      <c r="G560" t="b">
        <v>0</v>
      </c>
      <c r="H560" t="s">
        <v>15</v>
      </c>
      <c r="I560" t="s">
        <v>33</v>
      </c>
    </row>
    <row r="561" spans="1:9" x14ac:dyDescent="0.3">
      <c r="A561" t="str">
        <f t="shared" si="8"/>
        <v>CASE-0560</v>
      </c>
      <c r="B561" s="1">
        <v>45886</v>
      </c>
      <c r="C561" t="s">
        <v>12</v>
      </c>
      <c r="D561">
        <v>5</v>
      </c>
      <c r="E561" t="b">
        <v>1</v>
      </c>
      <c r="F561" s="2">
        <v>4.2825020743834656</v>
      </c>
      <c r="G561" t="b">
        <v>0</v>
      </c>
      <c r="H561" t="s">
        <v>32</v>
      </c>
      <c r="I561" t="s">
        <v>34</v>
      </c>
    </row>
    <row r="562" spans="1:9" x14ac:dyDescent="0.3">
      <c r="A562" t="str">
        <f t="shared" si="8"/>
        <v>CASE-0561</v>
      </c>
      <c r="B562" s="1">
        <v>46157</v>
      </c>
      <c r="C562" t="s">
        <v>10</v>
      </c>
      <c r="D562">
        <v>3</v>
      </c>
      <c r="E562" t="b">
        <v>1</v>
      </c>
      <c r="F562" s="2">
        <v>6.6642896985316735</v>
      </c>
      <c r="G562" t="b">
        <v>0</v>
      </c>
      <c r="H562" t="s">
        <v>18</v>
      </c>
      <c r="I562" t="s">
        <v>34</v>
      </c>
    </row>
    <row r="563" spans="1:9" x14ac:dyDescent="0.3">
      <c r="A563" t="str">
        <f t="shared" si="8"/>
        <v>CASE-0562</v>
      </c>
      <c r="B563" s="1">
        <v>46024</v>
      </c>
      <c r="C563" t="s">
        <v>12</v>
      </c>
      <c r="D563">
        <v>2</v>
      </c>
      <c r="E563" t="b">
        <v>1</v>
      </c>
      <c r="F563" s="2">
        <v>22.296520744853968</v>
      </c>
      <c r="G563" t="b">
        <v>0</v>
      </c>
      <c r="H563" t="s">
        <v>13</v>
      </c>
      <c r="I563" t="s">
        <v>33</v>
      </c>
    </row>
    <row r="564" spans="1:9" x14ac:dyDescent="0.3">
      <c r="A564" t="str">
        <f t="shared" si="8"/>
        <v>CASE-0563</v>
      </c>
      <c r="B564" s="1">
        <v>45677</v>
      </c>
      <c r="C564" t="s">
        <v>9</v>
      </c>
      <c r="D564">
        <v>1</v>
      </c>
      <c r="E564" t="b">
        <v>1</v>
      </c>
      <c r="F564" s="2">
        <v>13.758906707286304</v>
      </c>
      <c r="G564" t="b">
        <v>0</v>
      </c>
      <c r="H564" t="s">
        <v>22</v>
      </c>
      <c r="I564" t="s">
        <v>33</v>
      </c>
    </row>
    <row r="565" spans="1:9" x14ac:dyDescent="0.3">
      <c r="A565" t="str">
        <f t="shared" si="8"/>
        <v>CASE-0564</v>
      </c>
      <c r="B565" s="1">
        <v>46199</v>
      </c>
      <c r="C565" t="s">
        <v>9</v>
      </c>
      <c r="D565">
        <v>3</v>
      </c>
      <c r="E565" t="b">
        <v>0</v>
      </c>
      <c r="F565" s="2">
        <v>10.397595007733083</v>
      </c>
      <c r="G565" t="b">
        <v>0</v>
      </c>
      <c r="H565" t="s">
        <v>22</v>
      </c>
      <c r="I565" t="s">
        <v>34</v>
      </c>
    </row>
    <row r="566" spans="1:9" x14ac:dyDescent="0.3">
      <c r="A566" t="str">
        <f t="shared" si="8"/>
        <v>CASE-0565</v>
      </c>
      <c r="B566" s="1">
        <v>45510</v>
      </c>
      <c r="C566" t="s">
        <v>11</v>
      </c>
      <c r="D566">
        <v>4</v>
      </c>
      <c r="E566" t="b">
        <v>0</v>
      </c>
      <c r="F566" s="2">
        <v>29.444665440741996</v>
      </c>
      <c r="G566" t="b">
        <v>0</v>
      </c>
      <c r="H566" t="s">
        <v>30</v>
      </c>
      <c r="I566" t="s">
        <v>33</v>
      </c>
    </row>
    <row r="567" spans="1:9" x14ac:dyDescent="0.3">
      <c r="A567" t="str">
        <f t="shared" si="8"/>
        <v>CASE-0566</v>
      </c>
      <c r="B567" s="1">
        <v>45882</v>
      </c>
      <c r="C567" t="s">
        <v>9</v>
      </c>
      <c r="D567">
        <v>5</v>
      </c>
      <c r="E567" t="b">
        <v>1</v>
      </c>
      <c r="F567" s="2">
        <v>6.7473772214450811</v>
      </c>
      <c r="G567" t="b">
        <v>0</v>
      </c>
      <c r="H567" t="s">
        <v>27</v>
      </c>
      <c r="I567" t="s">
        <v>34</v>
      </c>
    </row>
    <row r="568" spans="1:9" x14ac:dyDescent="0.3">
      <c r="A568" t="str">
        <f t="shared" si="8"/>
        <v>CASE-0567</v>
      </c>
      <c r="B568" s="1">
        <v>45685</v>
      </c>
      <c r="C568" t="s">
        <v>11</v>
      </c>
      <c r="D568">
        <v>3</v>
      </c>
      <c r="E568" t="b">
        <v>1</v>
      </c>
      <c r="F568" s="2">
        <v>5.0631927725238395</v>
      </c>
      <c r="G568" t="b">
        <v>0</v>
      </c>
      <c r="H568" t="s">
        <v>18</v>
      </c>
      <c r="I568" t="s">
        <v>34</v>
      </c>
    </row>
    <row r="569" spans="1:9" x14ac:dyDescent="0.3">
      <c r="A569" t="str">
        <f t="shared" si="8"/>
        <v>CASE-0568</v>
      </c>
      <c r="B569" s="1">
        <v>45597</v>
      </c>
      <c r="C569" t="s">
        <v>12</v>
      </c>
      <c r="D569">
        <v>5</v>
      </c>
      <c r="E569" t="b">
        <v>0</v>
      </c>
      <c r="F569" s="2">
        <v>31.033804662239309</v>
      </c>
      <c r="G569" t="b">
        <v>1</v>
      </c>
      <c r="H569" t="s">
        <v>18</v>
      </c>
      <c r="I569" t="s">
        <v>33</v>
      </c>
    </row>
    <row r="570" spans="1:9" x14ac:dyDescent="0.3">
      <c r="A570" t="str">
        <f t="shared" si="8"/>
        <v>CASE-0569</v>
      </c>
      <c r="B570" s="1">
        <v>45965</v>
      </c>
      <c r="C570" t="s">
        <v>11</v>
      </c>
      <c r="D570">
        <v>5</v>
      </c>
      <c r="E570" t="b">
        <v>1</v>
      </c>
      <c r="F570" s="2">
        <v>28.223562324341962</v>
      </c>
      <c r="G570" t="b">
        <v>0</v>
      </c>
      <c r="H570" t="s">
        <v>20</v>
      </c>
      <c r="I570" t="s">
        <v>33</v>
      </c>
    </row>
    <row r="571" spans="1:9" x14ac:dyDescent="0.3">
      <c r="A571" t="str">
        <f t="shared" si="8"/>
        <v>CASE-0570</v>
      </c>
      <c r="B571" s="1">
        <v>46198</v>
      </c>
      <c r="C571" t="s">
        <v>9</v>
      </c>
      <c r="D571">
        <v>4</v>
      </c>
      <c r="E571" t="b">
        <v>1</v>
      </c>
      <c r="F571" s="2">
        <v>7.6163384184302814</v>
      </c>
      <c r="G571" t="b">
        <v>0</v>
      </c>
      <c r="H571" t="s">
        <v>25</v>
      </c>
      <c r="I571" t="s">
        <v>34</v>
      </c>
    </row>
    <row r="572" spans="1:9" x14ac:dyDescent="0.3">
      <c r="A572" t="str">
        <f t="shared" si="8"/>
        <v>CASE-0571</v>
      </c>
      <c r="B572" s="1">
        <v>46131</v>
      </c>
      <c r="C572" t="s">
        <v>10</v>
      </c>
      <c r="D572">
        <v>2</v>
      </c>
      <c r="E572" t="b">
        <v>1</v>
      </c>
      <c r="F572" s="2">
        <v>7.5155986576097682</v>
      </c>
      <c r="G572" t="b">
        <v>0</v>
      </c>
      <c r="H572" t="s">
        <v>20</v>
      </c>
      <c r="I572" t="s">
        <v>34</v>
      </c>
    </row>
    <row r="573" spans="1:9" x14ac:dyDescent="0.3">
      <c r="A573" t="str">
        <f t="shared" si="8"/>
        <v>CASE-0572</v>
      </c>
      <c r="B573" s="1">
        <v>45835</v>
      </c>
      <c r="C573" t="s">
        <v>10</v>
      </c>
      <c r="D573">
        <v>3</v>
      </c>
      <c r="E573" t="b">
        <v>1</v>
      </c>
      <c r="F573" s="2">
        <v>9.8791708025249587</v>
      </c>
      <c r="G573" t="b">
        <v>0</v>
      </c>
      <c r="H573" t="s">
        <v>23</v>
      </c>
      <c r="I573" t="s">
        <v>34</v>
      </c>
    </row>
    <row r="574" spans="1:9" x14ac:dyDescent="0.3">
      <c r="A574" t="str">
        <f t="shared" si="8"/>
        <v>CASE-0573</v>
      </c>
      <c r="B574" s="1">
        <v>45687</v>
      </c>
      <c r="C574" t="s">
        <v>12</v>
      </c>
      <c r="D574">
        <v>4</v>
      </c>
      <c r="E574" t="b">
        <v>1</v>
      </c>
      <c r="F574" s="2">
        <v>5.9646327946443076</v>
      </c>
      <c r="G574" t="b">
        <v>0</v>
      </c>
      <c r="H574" t="s">
        <v>14</v>
      </c>
      <c r="I574" t="s">
        <v>34</v>
      </c>
    </row>
    <row r="575" spans="1:9" x14ac:dyDescent="0.3">
      <c r="A575" t="str">
        <f t="shared" si="8"/>
        <v>CASE-0574</v>
      </c>
      <c r="B575" s="1">
        <v>45924</v>
      </c>
      <c r="C575" t="s">
        <v>11</v>
      </c>
      <c r="D575">
        <v>4</v>
      </c>
      <c r="E575" t="b">
        <v>1</v>
      </c>
      <c r="F575" s="2">
        <v>28.670075785959583</v>
      </c>
      <c r="G575" t="b">
        <v>0</v>
      </c>
      <c r="H575" t="s">
        <v>15</v>
      </c>
      <c r="I575" t="s">
        <v>33</v>
      </c>
    </row>
    <row r="576" spans="1:9" x14ac:dyDescent="0.3">
      <c r="A576" t="str">
        <f t="shared" si="8"/>
        <v>CASE-0575</v>
      </c>
      <c r="B576" s="1">
        <v>46102</v>
      </c>
      <c r="C576" t="s">
        <v>11</v>
      </c>
      <c r="D576">
        <v>1</v>
      </c>
      <c r="E576" t="b">
        <v>1</v>
      </c>
      <c r="F576" s="2">
        <v>7.6928312541879693</v>
      </c>
      <c r="G576" t="b">
        <v>0</v>
      </c>
      <c r="H576" t="s">
        <v>27</v>
      </c>
      <c r="I576" t="s">
        <v>34</v>
      </c>
    </row>
    <row r="577" spans="1:9" x14ac:dyDescent="0.3">
      <c r="A577" t="str">
        <f t="shared" si="8"/>
        <v>CASE-0576</v>
      </c>
      <c r="B577" s="1">
        <v>46199</v>
      </c>
      <c r="C577" t="s">
        <v>9</v>
      </c>
      <c r="D577">
        <v>4</v>
      </c>
      <c r="E577" t="b">
        <v>1</v>
      </c>
      <c r="F577" s="2">
        <v>7.9046119691850114</v>
      </c>
      <c r="G577" t="b">
        <v>0</v>
      </c>
      <c r="H577" t="s">
        <v>28</v>
      </c>
      <c r="I577" t="s">
        <v>34</v>
      </c>
    </row>
    <row r="578" spans="1:9" x14ac:dyDescent="0.3">
      <c r="A578" t="str">
        <f t="shared" si="8"/>
        <v>CASE-0577</v>
      </c>
      <c r="B578" s="1">
        <v>46199</v>
      </c>
      <c r="C578" t="s">
        <v>10</v>
      </c>
      <c r="D578">
        <v>5</v>
      </c>
      <c r="E578" t="b">
        <v>1</v>
      </c>
      <c r="F578" s="2">
        <v>18.782294803425973</v>
      </c>
      <c r="G578" t="b">
        <v>0</v>
      </c>
      <c r="H578" t="s">
        <v>30</v>
      </c>
      <c r="I578" t="s">
        <v>33</v>
      </c>
    </row>
    <row r="579" spans="1:9" x14ac:dyDescent="0.3">
      <c r="A579" t="str">
        <f t="shared" ref="A579:A642" si="9">"CASE-"&amp;TEXT(ROW()-1,"0000")</f>
        <v>CASE-0578</v>
      </c>
      <c r="B579" s="1">
        <v>45821</v>
      </c>
      <c r="C579" t="s">
        <v>12</v>
      </c>
      <c r="D579">
        <v>5</v>
      </c>
      <c r="E579" t="b">
        <v>1</v>
      </c>
      <c r="F579" s="2">
        <v>6.5230058004234426</v>
      </c>
      <c r="G579" t="b">
        <v>0</v>
      </c>
      <c r="H579" t="s">
        <v>17</v>
      </c>
      <c r="I579" t="s">
        <v>34</v>
      </c>
    </row>
    <row r="580" spans="1:9" x14ac:dyDescent="0.3">
      <c r="A580" t="str">
        <f t="shared" si="9"/>
        <v>CASE-0579</v>
      </c>
      <c r="B580" s="1">
        <v>45493</v>
      </c>
      <c r="C580" t="s">
        <v>9</v>
      </c>
      <c r="D580">
        <v>3</v>
      </c>
      <c r="E580" t="b">
        <v>0</v>
      </c>
      <c r="F580" s="2">
        <v>17.943175619234456</v>
      </c>
      <c r="G580" t="b">
        <v>0</v>
      </c>
      <c r="H580" t="s">
        <v>13</v>
      </c>
      <c r="I580" t="s">
        <v>33</v>
      </c>
    </row>
    <row r="581" spans="1:9" x14ac:dyDescent="0.3">
      <c r="A581" t="str">
        <f t="shared" si="9"/>
        <v>CASE-0580</v>
      </c>
      <c r="B581" s="1">
        <v>45980</v>
      </c>
      <c r="C581" t="s">
        <v>9</v>
      </c>
      <c r="D581">
        <v>4</v>
      </c>
      <c r="E581" t="b">
        <v>1</v>
      </c>
      <c r="F581" s="2">
        <v>10.453471407432849</v>
      </c>
      <c r="G581" t="b">
        <v>0</v>
      </c>
      <c r="H581" t="s">
        <v>29</v>
      </c>
      <c r="I581" t="s">
        <v>33</v>
      </c>
    </row>
    <row r="582" spans="1:9" x14ac:dyDescent="0.3">
      <c r="A582" t="str">
        <f t="shared" si="9"/>
        <v>CASE-0581</v>
      </c>
      <c r="B582" s="1">
        <v>45665</v>
      </c>
      <c r="C582" t="s">
        <v>12</v>
      </c>
      <c r="D582">
        <v>5</v>
      </c>
      <c r="E582" t="b">
        <v>1</v>
      </c>
      <c r="F582" s="2">
        <v>3.665734087445947</v>
      </c>
      <c r="G582" t="b">
        <v>0</v>
      </c>
      <c r="H582" t="s">
        <v>16</v>
      </c>
      <c r="I582" t="s">
        <v>35</v>
      </c>
    </row>
    <row r="583" spans="1:9" x14ac:dyDescent="0.3">
      <c r="A583" t="str">
        <f t="shared" si="9"/>
        <v>CASE-0582</v>
      </c>
      <c r="B583" s="1">
        <v>46120</v>
      </c>
      <c r="C583" t="s">
        <v>9</v>
      </c>
      <c r="D583">
        <v>3</v>
      </c>
      <c r="E583" t="b">
        <v>1</v>
      </c>
      <c r="F583" s="2">
        <v>4.3256313512514222</v>
      </c>
      <c r="G583" t="b">
        <v>0</v>
      </c>
      <c r="H583" t="s">
        <v>18</v>
      </c>
      <c r="I583" t="s">
        <v>35</v>
      </c>
    </row>
    <row r="584" spans="1:9" x14ac:dyDescent="0.3">
      <c r="A584" t="str">
        <f t="shared" si="9"/>
        <v>CASE-0583</v>
      </c>
      <c r="B584" s="1">
        <v>45604</v>
      </c>
      <c r="C584" t="s">
        <v>12</v>
      </c>
      <c r="D584">
        <v>5</v>
      </c>
      <c r="E584" t="b">
        <v>0</v>
      </c>
      <c r="F584" s="2">
        <v>36.738622640256253</v>
      </c>
      <c r="G584" t="b">
        <v>0</v>
      </c>
      <c r="H584" t="s">
        <v>22</v>
      </c>
      <c r="I584" t="s">
        <v>33</v>
      </c>
    </row>
    <row r="585" spans="1:9" x14ac:dyDescent="0.3">
      <c r="A585" t="str">
        <f t="shared" si="9"/>
        <v>CASE-0584</v>
      </c>
      <c r="B585" s="1">
        <v>45818</v>
      </c>
      <c r="C585" t="s">
        <v>10</v>
      </c>
      <c r="D585">
        <v>1</v>
      </c>
      <c r="E585" t="b">
        <v>1</v>
      </c>
      <c r="F585" s="2">
        <v>7.5795807741692336</v>
      </c>
      <c r="G585" t="b">
        <v>0</v>
      </c>
      <c r="H585" t="s">
        <v>14</v>
      </c>
      <c r="I585" t="s">
        <v>34</v>
      </c>
    </row>
    <row r="586" spans="1:9" x14ac:dyDescent="0.3">
      <c r="A586" t="str">
        <f t="shared" si="9"/>
        <v>CASE-0585</v>
      </c>
      <c r="B586" s="1">
        <v>46162</v>
      </c>
      <c r="C586" t="s">
        <v>11</v>
      </c>
      <c r="D586">
        <v>1</v>
      </c>
      <c r="E586" t="b">
        <v>1</v>
      </c>
      <c r="F586" s="2">
        <v>7.1909396535668453</v>
      </c>
      <c r="G586" t="b">
        <v>0</v>
      </c>
      <c r="H586" t="s">
        <v>20</v>
      </c>
      <c r="I586" t="s">
        <v>35</v>
      </c>
    </row>
    <row r="587" spans="1:9" x14ac:dyDescent="0.3">
      <c r="A587" t="str">
        <f t="shared" si="9"/>
        <v>CASE-0586</v>
      </c>
      <c r="B587" s="1">
        <v>45725</v>
      </c>
      <c r="C587" t="s">
        <v>11</v>
      </c>
      <c r="D587">
        <v>1</v>
      </c>
      <c r="E587" t="b">
        <v>1</v>
      </c>
      <c r="F587" s="2">
        <v>3.2197311136374949</v>
      </c>
      <c r="G587" t="b">
        <v>0</v>
      </c>
      <c r="H587" t="s">
        <v>26</v>
      </c>
      <c r="I587" t="s">
        <v>34</v>
      </c>
    </row>
    <row r="588" spans="1:9" x14ac:dyDescent="0.3">
      <c r="A588" t="str">
        <f t="shared" si="9"/>
        <v>CASE-0587</v>
      </c>
      <c r="B588" s="1">
        <v>46056</v>
      </c>
      <c r="C588" t="s">
        <v>10</v>
      </c>
      <c r="D588">
        <v>5</v>
      </c>
      <c r="E588" t="b">
        <v>1</v>
      </c>
      <c r="F588" s="2">
        <v>6.9185742864287105</v>
      </c>
      <c r="G588" t="b">
        <v>0</v>
      </c>
      <c r="H588" t="s">
        <v>22</v>
      </c>
      <c r="I588" t="s">
        <v>34</v>
      </c>
    </row>
    <row r="589" spans="1:9" x14ac:dyDescent="0.3">
      <c r="A589" t="str">
        <f t="shared" si="9"/>
        <v>CASE-0588</v>
      </c>
      <c r="B589" s="1">
        <v>45498</v>
      </c>
      <c r="C589" t="s">
        <v>11</v>
      </c>
      <c r="D589">
        <v>3</v>
      </c>
      <c r="E589" t="b">
        <v>0</v>
      </c>
      <c r="F589" s="2">
        <v>29.536482162233114</v>
      </c>
      <c r="G589" t="b">
        <v>0</v>
      </c>
      <c r="H589" t="s">
        <v>30</v>
      </c>
      <c r="I589" t="s">
        <v>33</v>
      </c>
    </row>
    <row r="590" spans="1:9" x14ac:dyDescent="0.3">
      <c r="A590" t="str">
        <f t="shared" si="9"/>
        <v>CASE-0589</v>
      </c>
      <c r="B590" s="1">
        <v>46065</v>
      </c>
      <c r="C590" t="s">
        <v>10</v>
      </c>
      <c r="D590">
        <v>1</v>
      </c>
      <c r="E590" t="b">
        <v>0</v>
      </c>
      <c r="F590" s="2">
        <v>6.6980027843428198</v>
      </c>
      <c r="G590" t="b">
        <v>0</v>
      </c>
      <c r="H590" t="s">
        <v>16</v>
      </c>
      <c r="I590" t="s">
        <v>34</v>
      </c>
    </row>
    <row r="591" spans="1:9" x14ac:dyDescent="0.3">
      <c r="A591" t="str">
        <f t="shared" si="9"/>
        <v>CASE-0590</v>
      </c>
      <c r="B591" s="1">
        <v>45929</v>
      </c>
      <c r="C591" t="s">
        <v>10</v>
      </c>
      <c r="D591">
        <v>5</v>
      </c>
      <c r="E591" t="b">
        <v>1</v>
      </c>
      <c r="F591" s="2">
        <v>2.7751839235647893</v>
      </c>
      <c r="G591" t="b">
        <v>0</v>
      </c>
      <c r="H591" t="s">
        <v>27</v>
      </c>
      <c r="I591" t="s">
        <v>34</v>
      </c>
    </row>
    <row r="592" spans="1:9" x14ac:dyDescent="0.3">
      <c r="A592" t="str">
        <f t="shared" si="9"/>
        <v>CASE-0591</v>
      </c>
      <c r="B592" s="1">
        <v>45957</v>
      </c>
      <c r="C592" t="s">
        <v>10</v>
      </c>
      <c r="D592">
        <v>5</v>
      </c>
      <c r="E592" t="b">
        <v>1</v>
      </c>
      <c r="F592" s="2">
        <v>4.4543271184139455</v>
      </c>
      <c r="G592" t="b">
        <v>0</v>
      </c>
      <c r="H592" t="s">
        <v>23</v>
      </c>
      <c r="I592" t="s">
        <v>34</v>
      </c>
    </row>
    <row r="593" spans="1:9" x14ac:dyDescent="0.3">
      <c r="A593" t="str">
        <f t="shared" si="9"/>
        <v>CASE-0592</v>
      </c>
      <c r="B593" s="1">
        <v>46064</v>
      </c>
      <c r="C593" t="s">
        <v>9</v>
      </c>
      <c r="D593">
        <v>3</v>
      </c>
      <c r="E593" t="b">
        <v>1</v>
      </c>
      <c r="F593" s="2">
        <v>4.5299153974075406</v>
      </c>
      <c r="G593" t="b">
        <v>0</v>
      </c>
      <c r="H593" t="s">
        <v>17</v>
      </c>
      <c r="I593" t="s">
        <v>34</v>
      </c>
    </row>
    <row r="594" spans="1:9" x14ac:dyDescent="0.3">
      <c r="A594" t="str">
        <f t="shared" si="9"/>
        <v>CASE-0593</v>
      </c>
      <c r="B594" s="1">
        <v>45556</v>
      </c>
      <c r="C594" t="s">
        <v>11</v>
      </c>
      <c r="D594">
        <v>1</v>
      </c>
      <c r="E594" t="b">
        <v>0</v>
      </c>
      <c r="F594" s="2">
        <v>17.706905087435782</v>
      </c>
      <c r="G594" t="b">
        <v>0</v>
      </c>
      <c r="H594" t="s">
        <v>20</v>
      </c>
      <c r="I594" t="s">
        <v>33</v>
      </c>
    </row>
    <row r="595" spans="1:9" x14ac:dyDescent="0.3">
      <c r="A595" t="str">
        <f t="shared" si="9"/>
        <v>CASE-0594</v>
      </c>
      <c r="B595" s="1">
        <v>45789</v>
      </c>
      <c r="C595" t="s">
        <v>11</v>
      </c>
      <c r="D595">
        <v>1</v>
      </c>
      <c r="E595" t="b">
        <v>0</v>
      </c>
      <c r="F595" s="2">
        <v>5.9018110346834067</v>
      </c>
      <c r="G595" t="b">
        <v>0</v>
      </c>
      <c r="H595" t="s">
        <v>28</v>
      </c>
      <c r="I595" t="s">
        <v>34</v>
      </c>
    </row>
    <row r="596" spans="1:9" x14ac:dyDescent="0.3">
      <c r="A596" t="str">
        <f t="shared" si="9"/>
        <v>CASE-0595</v>
      </c>
      <c r="B596" s="1">
        <v>45533</v>
      </c>
      <c r="C596" t="s">
        <v>9</v>
      </c>
      <c r="D596">
        <v>2</v>
      </c>
      <c r="E596" t="b">
        <v>0</v>
      </c>
      <c r="F596" s="2">
        <v>25.588213279290059</v>
      </c>
      <c r="G596" t="b">
        <v>0</v>
      </c>
      <c r="H596" t="s">
        <v>30</v>
      </c>
      <c r="I596" t="s">
        <v>33</v>
      </c>
    </row>
    <row r="597" spans="1:9" x14ac:dyDescent="0.3">
      <c r="A597" t="str">
        <f t="shared" si="9"/>
        <v>CASE-0596</v>
      </c>
      <c r="B597" s="1">
        <v>45742</v>
      </c>
      <c r="C597" t="s">
        <v>10</v>
      </c>
      <c r="D597">
        <v>1</v>
      </c>
      <c r="E597" t="b">
        <v>1</v>
      </c>
      <c r="F597" s="2">
        <v>5.5137754335010571</v>
      </c>
      <c r="G597" t="b">
        <v>0</v>
      </c>
      <c r="H597" t="s">
        <v>18</v>
      </c>
      <c r="I597" t="s">
        <v>34</v>
      </c>
    </row>
    <row r="598" spans="1:9" x14ac:dyDescent="0.3">
      <c r="A598" t="str">
        <f t="shared" si="9"/>
        <v>CASE-0597</v>
      </c>
      <c r="B598" s="1">
        <v>46148</v>
      </c>
      <c r="C598" t="s">
        <v>11</v>
      </c>
      <c r="D598">
        <v>3</v>
      </c>
      <c r="E598" t="b">
        <v>1</v>
      </c>
      <c r="F598" s="2">
        <v>32.3496807869451</v>
      </c>
      <c r="G598" t="b">
        <v>0</v>
      </c>
      <c r="H598" t="s">
        <v>27</v>
      </c>
      <c r="I598" t="s">
        <v>33</v>
      </c>
    </row>
    <row r="599" spans="1:9" x14ac:dyDescent="0.3">
      <c r="A599" t="str">
        <f t="shared" si="9"/>
        <v>CASE-0598</v>
      </c>
      <c r="B599" s="1">
        <v>46092</v>
      </c>
      <c r="C599" t="s">
        <v>10</v>
      </c>
      <c r="D599">
        <v>2</v>
      </c>
      <c r="E599" t="b">
        <v>0</v>
      </c>
      <c r="F599" s="2">
        <v>26.51860947833659</v>
      </c>
      <c r="G599" t="b">
        <v>0</v>
      </c>
      <c r="H599" t="s">
        <v>25</v>
      </c>
      <c r="I599" t="s">
        <v>33</v>
      </c>
    </row>
    <row r="600" spans="1:9" x14ac:dyDescent="0.3">
      <c r="A600" t="str">
        <f t="shared" si="9"/>
        <v>CASE-0599</v>
      </c>
      <c r="B600" s="1">
        <v>45818</v>
      </c>
      <c r="C600" t="s">
        <v>11</v>
      </c>
      <c r="D600">
        <v>3</v>
      </c>
      <c r="E600" t="b">
        <v>1</v>
      </c>
      <c r="F600" s="2">
        <v>11.058829514862852</v>
      </c>
      <c r="G600" t="b">
        <v>0</v>
      </c>
      <c r="H600" t="s">
        <v>28</v>
      </c>
      <c r="I600" t="s">
        <v>33</v>
      </c>
    </row>
    <row r="601" spans="1:9" x14ac:dyDescent="0.3">
      <c r="A601" t="str">
        <f t="shared" si="9"/>
        <v>CASE-0600</v>
      </c>
      <c r="B601" s="1">
        <v>45488</v>
      </c>
      <c r="C601" t="s">
        <v>12</v>
      </c>
      <c r="D601">
        <v>4</v>
      </c>
      <c r="E601" t="b">
        <v>0</v>
      </c>
      <c r="F601" s="2">
        <v>32.86251475380547</v>
      </c>
      <c r="G601" t="b">
        <v>0</v>
      </c>
      <c r="H601" t="s">
        <v>27</v>
      </c>
      <c r="I601" t="s">
        <v>33</v>
      </c>
    </row>
    <row r="602" spans="1:9" x14ac:dyDescent="0.3">
      <c r="A602" t="str">
        <f t="shared" si="9"/>
        <v>CASE-0601</v>
      </c>
      <c r="B602" s="1">
        <v>45501</v>
      </c>
      <c r="C602" t="s">
        <v>10</v>
      </c>
      <c r="D602">
        <v>2</v>
      </c>
      <c r="E602" t="b">
        <v>0</v>
      </c>
      <c r="F602" s="2">
        <v>26.398433470672799</v>
      </c>
      <c r="G602" t="b">
        <v>0</v>
      </c>
      <c r="H602" t="s">
        <v>16</v>
      </c>
      <c r="I602" t="s">
        <v>33</v>
      </c>
    </row>
    <row r="603" spans="1:9" x14ac:dyDescent="0.3">
      <c r="A603" t="str">
        <f t="shared" si="9"/>
        <v>CASE-0602</v>
      </c>
      <c r="B603" s="1">
        <v>46037</v>
      </c>
      <c r="C603" t="s">
        <v>12</v>
      </c>
      <c r="D603">
        <v>3</v>
      </c>
      <c r="E603" t="b">
        <v>1</v>
      </c>
      <c r="F603" s="2">
        <v>26.24536925865937</v>
      </c>
      <c r="G603" t="b">
        <v>0</v>
      </c>
      <c r="H603" t="s">
        <v>18</v>
      </c>
      <c r="I603" t="s">
        <v>33</v>
      </c>
    </row>
    <row r="604" spans="1:9" x14ac:dyDescent="0.3">
      <c r="A604" t="str">
        <f t="shared" si="9"/>
        <v>CASE-0603</v>
      </c>
      <c r="B604" s="1">
        <v>45838</v>
      </c>
      <c r="C604" t="s">
        <v>11</v>
      </c>
      <c r="D604">
        <v>2</v>
      </c>
      <c r="E604" t="b">
        <v>1</v>
      </c>
      <c r="F604" s="2">
        <v>3.4634145889237833</v>
      </c>
      <c r="G604" t="b">
        <v>0</v>
      </c>
      <c r="H604" t="s">
        <v>26</v>
      </c>
      <c r="I604" t="s">
        <v>34</v>
      </c>
    </row>
    <row r="605" spans="1:9" x14ac:dyDescent="0.3">
      <c r="A605" t="str">
        <f t="shared" si="9"/>
        <v>CASE-0604</v>
      </c>
      <c r="B605" s="1">
        <v>45515</v>
      </c>
      <c r="C605" t="s">
        <v>10</v>
      </c>
      <c r="D605">
        <v>2</v>
      </c>
      <c r="E605" t="b">
        <v>0</v>
      </c>
      <c r="F605" s="2">
        <v>15.743081753590754</v>
      </c>
      <c r="G605" t="b">
        <v>0</v>
      </c>
      <c r="H605" t="s">
        <v>25</v>
      </c>
      <c r="I605" t="s">
        <v>33</v>
      </c>
    </row>
    <row r="606" spans="1:9" x14ac:dyDescent="0.3">
      <c r="A606" t="str">
        <f t="shared" si="9"/>
        <v>CASE-0605</v>
      </c>
      <c r="B606" s="1">
        <v>45536</v>
      </c>
      <c r="C606" t="s">
        <v>11</v>
      </c>
      <c r="D606">
        <v>3</v>
      </c>
      <c r="E606" t="b">
        <v>0</v>
      </c>
      <c r="F606" s="2">
        <v>21.491872637016009</v>
      </c>
      <c r="G606" t="b">
        <v>0</v>
      </c>
      <c r="H606" t="s">
        <v>31</v>
      </c>
      <c r="I606" t="s">
        <v>33</v>
      </c>
    </row>
    <row r="607" spans="1:9" x14ac:dyDescent="0.3">
      <c r="A607" t="str">
        <f t="shared" si="9"/>
        <v>CASE-0606</v>
      </c>
      <c r="B607" s="1">
        <v>45620</v>
      </c>
      <c r="C607" t="s">
        <v>9</v>
      </c>
      <c r="D607">
        <v>2</v>
      </c>
      <c r="E607" t="b">
        <v>0</v>
      </c>
      <c r="F607" s="2">
        <v>26.371083080672367</v>
      </c>
      <c r="G607" t="b">
        <v>0</v>
      </c>
      <c r="H607" t="s">
        <v>22</v>
      </c>
      <c r="I607" t="s">
        <v>33</v>
      </c>
    </row>
    <row r="608" spans="1:9" x14ac:dyDescent="0.3">
      <c r="A608" t="str">
        <f t="shared" si="9"/>
        <v>CASE-0607</v>
      </c>
      <c r="B608" s="1">
        <v>45899</v>
      </c>
      <c r="C608" t="s">
        <v>10</v>
      </c>
      <c r="D608">
        <v>4</v>
      </c>
      <c r="E608" t="b">
        <v>1</v>
      </c>
      <c r="F608" s="2">
        <v>9.9518510797801962</v>
      </c>
      <c r="G608" t="b">
        <v>0</v>
      </c>
      <c r="H608" t="s">
        <v>19</v>
      </c>
      <c r="I608" t="s">
        <v>34</v>
      </c>
    </row>
    <row r="609" spans="1:9" x14ac:dyDescent="0.3">
      <c r="A609" t="str">
        <f t="shared" si="9"/>
        <v>CASE-0608</v>
      </c>
      <c r="B609" s="1">
        <v>46008</v>
      </c>
      <c r="C609" t="s">
        <v>11</v>
      </c>
      <c r="D609">
        <v>5</v>
      </c>
      <c r="E609" t="b">
        <v>1</v>
      </c>
      <c r="F609" s="2">
        <v>5.435028133540543</v>
      </c>
      <c r="G609" t="b">
        <v>0</v>
      </c>
      <c r="H609" t="s">
        <v>23</v>
      </c>
      <c r="I609" t="s">
        <v>34</v>
      </c>
    </row>
    <row r="610" spans="1:9" x14ac:dyDescent="0.3">
      <c r="A610" t="str">
        <f t="shared" si="9"/>
        <v>CASE-0609</v>
      </c>
      <c r="B610" s="1">
        <v>46166</v>
      </c>
      <c r="C610" t="s">
        <v>12</v>
      </c>
      <c r="D610">
        <v>4</v>
      </c>
      <c r="E610" t="b">
        <v>1</v>
      </c>
      <c r="F610" s="2">
        <v>3.4979276156648207</v>
      </c>
      <c r="G610" t="b">
        <v>0</v>
      </c>
      <c r="H610" t="s">
        <v>13</v>
      </c>
      <c r="I610" t="s">
        <v>34</v>
      </c>
    </row>
    <row r="611" spans="1:9" x14ac:dyDescent="0.3">
      <c r="A611" t="str">
        <f t="shared" si="9"/>
        <v>CASE-0610</v>
      </c>
      <c r="B611" s="1">
        <v>45703</v>
      </c>
      <c r="C611" t="s">
        <v>11</v>
      </c>
      <c r="D611">
        <v>1</v>
      </c>
      <c r="E611" t="b">
        <v>1</v>
      </c>
      <c r="F611" s="2">
        <v>2.27612255636366</v>
      </c>
      <c r="G611" t="b">
        <v>0</v>
      </c>
      <c r="H611" t="s">
        <v>17</v>
      </c>
      <c r="I611" t="s">
        <v>34</v>
      </c>
    </row>
    <row r="612" spans="1:9" x14ac:dyDescent="0.3">
      <c r="A612" t="str">
        <f t="shared" si="9"/>
        <v>CASE-0611</v>
      </c>
      <c r="B612" s="1">
        <v>45519</v>
      </c>
      <c r="C612" t="s">
        <v>12</v>
      </c>
      <c r="D612">
        <v>5</v>
      </c>
      <c r="E612" t="b">
        <v>0</v>
      </c>
      <c r="F612" s="2">
        <v>29.085377737181112</v>
      </c>
      <c r="G612" t="b">
        <v>0</v>
      </c>
      <c r="H612" t="s">
        <v>25</v>
      </c>
      <c r="I612" t="s">
        <v>33</v>
      </c>
    </row>
    <row r="613" spans="1:9" x14ac:dyDescent="0.3">
      <c r="A613" t="str">
        <f t="shared" si="9"/>
        <v>CASE-0612</v>
      </c>
      <c r="B613" s="1">
        <v>45988</v>
      </c>
      <c r="C613" t="s">
        <v>12</v>
      </c>
      <c r="D613">
        <v>5</v>
      </c>
      <c r="E613" t="b">
        <v>1</v>
      </c>
      <c r="F613" s="2">
        <v>42.591687588963239</v>
      </c>
      <c r="G613" t="b">
        <v>0</v>
      </c>
      <c r="H613" t="s">
        <v>24</v>
      </c>
      <c r="I613" t="s">
        <v>33</v>
      </c>
    </row>
    <row r="614" spans="1:9" x14ac:dyDescent="0.3">
      <c r="A614" t="str">
        <f t="shared" si="9"/>
        <v>CASE-0613</v>
      </c>
      <c r="B614" s="1">
        <v>45936</v>
      </c>
      <c r="C614" t="s">
        <v>12</v>
      </c>
      <c r="D614">
        <v>3</v>
      </c>
      <c r="E614" t="b">
        <v>1</v>
      </c>
      <c r="F614" s="2">
        <v>3.2116471324460645</v>
      </c>
      <c r="G614" t="b">
        <v>0</v>
      </c>
      <c r="H614" t="s">
        <v>32</v>
      </c>
      <c r="I614" t="s">
        <v>35</v>
      </c>
    </row>
    <row r="615" spans="1:9" x14ac:dyDescent="0.3">
      <c r="A615" t="str">
        <f t="shared" si="9"/>
        <v>CASE-0614</v>
      </c>
      <c r="B615" s="1">
        <v>45987</v>
      </c>
      <c r="C615" t="s">
        <v>11</v>
      </c>
      <c r="D615">
        <v>1</v>
      </c>
      <c r="E615" t="b">
        <v>1</v>
      </c>
      <c r="F615" s="2">
        <v>5.049049958385722</v>
      </c>
      <c r="G615" t="b">
        <v>0</v>
      </c>
      <c r="H615" t="s">
        <v>29</v>
      </c>
      <c r="I615" t="s">
        <v>34</v>
      </c>
    </row>
    <row r="616" spans="1:9" x14ac:dyDescent="0.3">
      <c r="A616" t="str">
        <f t="shared" si="9"/>
        <v>CASE-0615</v>
      </c>
      <c r="B616" s="1">
        <v>45804</v>
      </c>
      <c r="C616" t="s">
        <v>12</v>
      </c>
      <c r="D616">
        <v>4</v>
      </c>
      <c r="E616" t="b">
        <v>1</v>
      </c>
      <c r="F616" s="2">
        <v>3.3393261618431072</v>
      </c>
      <c r="G616" t="b">
        <v>0</v>
      </c>
      <c r="H616" t="s">
        <v>14</v>
      </c>
      <c r="I616" t="s">
        <v>34</v>
      </c>
    </row>
    <row r="617" spans="1:9" x14ac:dyDescent="0.3">
      <c r="A617" t="str">
        <f t="shared" si="9"/>
        <v>CASE-0616</v>
      </c>
      <c r="B617" s="1">
        <v>45614</v>
      </c>
      <c r="C617" t="s">
        <v>11</v>
      </c>
      <c r="D617">
        <v>5</v>
      </c>
      <c r="E617" t="b">
        <v>0</v>
      </c>
      <c r="F617" s="2">
        <v>22.818015354731763</v>
      </c>
      <c r="G617" t="b">
        <v>0</v>
      </c>
      <c r="H617" t="s">
        <v>19</v>
      </c>
      <c r="I617" t="s">
        <v>33</v>
      </c>
    </row>
    <row r="618" spans="1:9" x14ac:dyDescent="0.3">
      <c r="A618" t="str">
        <f t="shared" si="9"/>
        <v>CASE-0617</v>
      </c>
      <c r="B618" s="1">
        <v>45826</v>
      </c>
      <c r="C618" t="s">
        <v>10</v>
      </c>
      <c r="D618">
        <v>5</v>
      </c>
      <c r="E618" t="b">
        <v>1</v>
      </c>
      <c r="F618" s="2">
        <v>5.7975303852088826</v>
      </c>
      <c r="G618" t="b">
        <v>0</v>
      </c>
      <c r="H618" t="s">
        <v>23</v>
      </c>
      <c r="I618" t="s">
        <v>34</v>
      </c>
    </row>
    <row r="619" spans="1:9" x14ac:dyDescent="0.3">
      <c r="A619" t="str">
        <f t="shared" si="9"/>
        <v>CASE-0618</v>
      </c>
      <c r="B619" s="1">
        <v>45602</v>
      </c>
      <c r="C619" t="s">
        <v>10</v>
      </c>
      <c r="D619">
        <v>5</v>
      </c>
      <c r="E619" t="b">
        <v>0</v>
      </c>
      <c r="F619" s="2">
        <v>20.047218774555944</v>
      </c>
      <c r="G619" t="b">
        <v>0</v>
      </c>
      <c r="H619" t="s">
        <v>19</v>
      </c>
      <c r="I619" t="s">
        <v>33</v>
      </c>
    </row>
    <row r="620" spans="1:9" x14ac:dyDescent="0.3">
      <c r="A620" t="str">
        <f t="shared" si="9"/>
        <v>CASE-0619</v>
      </c>
      <c r="B620" s="1">
        <v>45567</v>
      </c>
      <c r="C620" t="s">
        <v>12</v>
      </c>
      <c r="D620">
        <v>5</v>
      </c>
      <c r="E620" t="b">
        <v>0</v>
      </c>
      <c r="F620" s="2">
        <v>21.389001940993328</v>
      </c>
      <c r="G620" t="b">
        <v>0</v>
      </c>
      <c r="H620" t="s">
        <v>13</v>
      </c>
      <c r="I620" t="s">
        <v>33</v>
      </c>
    </row>
    <row r="621" spans="1:9" x14ac:dyDescent="0.3">
      <c r="A621" t="str">
        <f t="shared" si="9"/>
        <v>CASE-0620</v>
      </c>
      <c r="B621" s="1">
        <v>46016</v>
      </c>
      <c r="C621" t="s">
        <v>12</v>
      </c>
      <c r="D621">
        <v>2</v>
      </c>
      <c r="E621" t="b">
        <v>1</v>
      </c>
      <c r="F621" s="2">
        <v>7.9819755082046262</v>
      </c>
      <c r="G621" t="b">
        <v>0</v>
      </c>
      <c r="H621" t="s">
        <v>13</v>
      </c>
      <c r="I621" t="s">
        <v>34</v>
      </c>
    </row>
    <row r="622" spans="1:9" x14ac:dyDescent="0.3">
      <c r="A622" t="str">
        <f t="shared" si="9"/>
        <v>CASE-0621</v>
      </c>
      <c r="B622" s="1">
        <v>45632</v>
      </c>
      <c r="C622" t="s">
        <v>9</v>
      </c>
      <c r="D622">
        <v>1</v>
      </c>
      <c r="E622" t="b">
        <v>0</v>
      </c>
      <c r="F622" s="2">
        <v>15.983003486811933</v>
      </c>
      <c r="G622" t="b">
        <v>1</v>
      </c>
      <c r="H622" t="s">
        <v>18</v>
      </c>
      <c r="I622" t="s">
        <v>33</v>
      </c>
    </row>
    <row r="623" spans="1:9" x14ac:dyDescent="0.3">
      <c r="A623" t="str">
        <f t="shared" si="9"/>
        <v>CASE-0622</v>
      </c>
      <c r="B623" s="1">
        <v>45485</v>
      </c>
      <c r="C623" t="s">
        <v>9</v>
      </c>
      <c r="D623">
        <v>3</v>
      </c>
      <c r="E623" t="b">
        <v>0</v>
      </c>
      <c r="F623" s="2">
        <v>19.155893678505237</v>
      </c>
      <c r="G623" t="b">
        <v>0</v>
      </c>
      <c r="H623" t="s">
        <v>30</v>
      </c>
      <c r="I623" t="s">
        <v>33</v>
      </c>
    </row>
    <row r="624" spans="1:9" x14ac:dyDescent="0.3">
      <c r="A624" t="str">
        <f t="shared" si="9"/>
        <v>CASE-0623</v>
      </c>
      <c r="B624" s="1">
        <v>45949</v>
      </c>
      <c r="C624" t="s">
        <v>10</v>
      </c>
      <c r="D624">
        <v>2</v>
      </c>
      <c r="E624" t="b">
        <v>1</v>
      </c>
      <c r="F624" s="2">
        <v>6.240462265385915</v>
      </c>
      <c r="G624" t="b">
        <v>0</v>
      </c>
      <c r="H624" t="s">
        <v>13</v>
      </c>
      <c r="I624" t="s">
        <v>34</v>
      </c>
    </row>
    <row r="625" spans="1:9" x14ac:dyDescent="0.3">
      <c r="A625" t="str">
        <f t="shared" si="9"/>
        <v>CASE-0624</v>
      </c>
      <c r="B625" s="1">
        <v>46011</v>
      </c>
      <c r="C625" t="s">
        <v>11</v>
      </c>
      <c r="D625">
        <v>4</v>
      </c>
      <c r="E625" t="b">
        <v>0</v>
      </c>
      <c r="F625" s="2">
        <v>4.9472216599418042</v>
      </c>
      <c r="G625" t="b">
        <v>0</v>
      </c>
      <c r="H625" t="s">
        <v>15</v>
      </c>
      <c r="I625" t="s">
        <v>34</v>
      </c>
    </row>
    <row r="626" spans="1:9" x14ac:dyDescent="0.3">
      <c r="A626" t="str">
        <f t="shared" si="9"/>
        <v>CASE-0625</v>
      </c>
      <c r="B626" s="1">
        <v>45488</v>
      </c>
      <c r="C626" t="s">
        <v>12</v>
      </c>
      <c r="D626">
        <v>3</v>
      </c>
      <c r="E626" t="b">
        <v>0</v>
      </c>
      <c r="F626" s="2">
        <v>32.996942346577555</v>
      </c>
      <c r="G626" t="b">
        <v>0</v>
      </c>
      <c r="H626" t="s">
        <v>21</v>
      </c>
      <c r="I626" t="s">
        <v>33</v>
      </c>
    </row>
    <row r="627" spans="1:9" x14ac:dyDescent="0.3">
      <c r="A627" t="str">
        <f t="shared" si="9"/>
        <v>CASE-0626</v>
      </c>
      <c r="B627" s="1">
        <v>45483</v>
      </c>
      <c r="C627" t="s">
        <v>12</v>
      </c>
      <c r="D627">
        <v>5</v>
      </c>
      <c r="E627" t="b">
        <v>0</v>
      </c>
      <c r="F627" s="2">
        <v>27.17714421774906</v>
      </c>
      <c r="G627" t="b">
        <v>0</v>
      </c>
      <c r="H627" t="s">
        <v>31</v>
      </c>
      <c r="I627" t="s">
        <v>33</v>
      </c>
    </row>
    <row r="628" spans="1:9" x14ac:dyDescent="0.3">
      <c r="A628" t="str">
        <f t="shared" si="9"/>
        <v>CASE-0627</v>
      </c>
      <c r="B628" s="1">
        <v>45825</v>
      </c>
      <c r="C628" t="s">
        <v>12</v>
      </c>
      <c r="D628">
        <v>2</v>
      </c>
      <c r="E628" t="b">
        <v>1</v>
      </c>
      <c r="F628" s="2">
        <v>3.3932748234696306</v>
      </c>
      <c r="G628" t="b">
        <v>0</v>
      </c>
      <c r="H628" t="s">
        <v>28</v>
      </c>
      <c r="I628" t="s">
        <v>34</v>
      </c>
    </row>
    <row r="629" spans="1:9" x14ac:dyDescent="0.3">
      <c r="A629" t="str">
        <f t="shared" si="9"/>
        <v>CASE-0628</v>
      </c>
      <c r="B629" s="1">
        <v>45541</v>
      </c>
      <c r="C629" t="s">
        <v>11</v>
      </c>
      <c r="D629">
        <v>2</v>
      </c>
      <c r="E629" t="b">
        <v>0</v>
      </c>
      <c r="F629" s="2">
        <v>33.486921403300563</v>
      </c>
      <c r="G629" t="b">
        <v>0</v>
      </c>
      <c r="H629" t="s">
        <v>16</v>
      </c>
      <c r="I629" t="s">
        <v>33</v>
      </c>
    </row>
    <row r="630" spans="1:9" x14ac:dyDescent="0.3">
      <c r="A630" t="str">
        <f t="shared" si="9"/>
        <v>CASE-0629</v>
      </c>
      <c r="B630" s="1">
        <v>46136</v>
      </c>
      <c r="C630" t="s">
        <v>10</v>
      </c>
      <c r="D630">
        <v>1</v>
      </c>
      <c r="E630" t="b">
        <v>0</v>
      </c>
      <c r="F630" s="2">
        <v>5.5138533103981153</v>
      </c>
      <c r="G630" t="b">
        <v>0</v>
      </c>
      <c r="H630" t="s">
        <v>28</v>
      </c>
      <c r="I630" t="s">
        <v>34</v>
      </c>
    </row>
    <row r="631" spans="1:9" x14ac:dyDescent="0.3">
      <c r="A631" t="str">
        <f t="shared" si="9"/>
        <v>CASE-0630</v>
      </c>
      <c r="B631" s="1">
        <v>46098</v>
      </c>
      <c r="C631" t="s">
        <v>10</v>
      </c>
      <c r="D631">
        <v>2</v>
      </c>
      <c r="E631" t="b">
        <v>1</v>
      </c>
      <c r="F631" s="2">
        <v>7.0098154829724013</v>
      </c>
      <c r="G631" t="b">
        <v>0</v>
      </c>
      <c r="H631" t="s">
        <v>15</v>
      </c>
      <c r="I631" t="s">
        <v>34</v>
      </c>
    </row>
    <row r="632" spans="1:9" x14ac:dyDescent="0.3">
      <c r="A632" t="str">
        <f t="shared" si="9"/>
        <v>CASE-0631</v>
      </c>
      <c r="B632" s="1">
        <v>45800</v>
      </c>
      <c r="C632" t="s">
        <v>9</v>
      </c>
      <c r="D632">
        <v>4</v>
      </c>
      <c r="E632" t="b">
        <v>1</v>
      </c>
      <c r="F632" s="2">
        <v>3.6026570059232212</v>
      </c>
      <c r="G632" t="b">
        <v>0</v>
      </c>
      <c r="H632" t="s">
        <v>14</v>
      </c>
      <c r="I632" t="s">
        <v>34</v>
      </c>
    </row>
    <row r="633" spans="1:9" x14ac:dyDescent="0.3">
      <c r="A633" t="str">
        <f t="shared" si="9"/>
        <v>CASE-0632</v>
      </c>
      <c r="B633" s="1">
        <v>45906</v>
      </c>
      <c r="C633" t="s">
        <v>12</v>
      </c>
      <c r="D633">
        <v>3</v>
      </c>
      <c r="E633" t="b">
        <v>1</v>
      </c>
      <c r="F633" s="2">
        <v>7.5385455976268734</v>
      </c>
      <c r="G633" t="b">
        <v>0</v>
      </c>
      <c r="H633" t="s">
        <v>21</v>
      </c>
      <c r="I633" t="s">
        <v>34</v>
      </c>
    </row>
    <row r="634" spans="1:9" x14ac:dyDescent="0.3">
      <c r="A634" t="str">
        <f t="shared" si="9"/>
        <v>CASE-0633</v>
      </c>
      <c r="B634" s="1">
        <v>46046</v>
      </c>
      <c r="C634" t="s">
        <v>12</v>
      </c>
      <c r="D634">
        <v>2</v>
      </c>
      <c r="E634" t="b">
        <v>1</v>
      </c>
      <c r="F634" s="2">
        <v>6.3421166340380957</v>
      </c>
      <c r="G634" t="b">
        <v>0</v>
      </c>
      <c r="H634" t="s">
        <v>17</v>
      </c>
      <c r="I634" t="s">
        <v>34</v>
      </c>
    </row>
    <row r="635" spans="1:9" x14ac:dyDescent="0.3">
      <c r="A635" t="str">
        <f t="shared" si="9"/>
        <v>CASE-0634</v>
      </c>
      <c r="B635" s="1">
        <v>45554</v>
      </c>
      <c r="C635" t="s">
        <v>10</v>
      </c>
      <c r="D635">
        <v>5</v>
      </c>
      <c r="E635" t="b">
        <v>0</v>
      </c>
      <c r="F635" s="2">
        <v>16.215403545114139</v>
      </c>
      <c r="G635" t="b">
        <v>0</v>
      </c>
      <c r="H635" t="s">
        <v>26</v>
      </c>
      <c r="I635" t="s">
        <v>33</v>
      </c>
    </row>
    <row r="636" spans="1:9" x14ac:dyDescent="0.3">
      <c r="A636" t="str">
        <f t="shared" si="9"/>
        <v>CASE-0635</v>
      </c>
      <c r="B636" s="1">
        <v>45876</v>
      </c>
      <c r="C636" t="s">
        <v>12</v>
      </c>
      <c r="D636">
        <v>5</v>
      </c>
      <c r="E636" t="b">
        <v>1</v>
      </c>
      <c r="F636" s="2">
        <v>3.4182460968108597</v>
      </c>
      <c r="G636" t="b">
        <v>0</v>
      </c>
      <c r="H636" t="s">
        <v>17</v>
      </c>
      <c r="I636" t="s">
        <v>34</v>
      </c>
    </row>
    <row r="637" spans="1:9" x14ac:dyDescent="0.3">
      <c r="A637" t="str">
        <f t="shared" si="9"/>
        <v>CASE-0636</v>
      </c>
      <c r="B637" s="1">
        <v>45989</v>
      </c>
      <c r="C637" t="s">
        <v>10</v>
      </c>
      <c r="D637">
        <v>5</v>
      </c>
      <c r="E637" t="b">
        <v>0</v>
      </c>
      <c r="F637" s="2">
        <v>5.8305451515194333</v>
      </c>
      <c r="G637" t="b">
        <v>0</v>
      </c>
      <c r="H637" t="s">
        <v>26</v>
      </c>
      <c r="I637" t="s">
        <v>34</v>
      </c>
    </row>
    <row r="638" spans="1:9" x14ac:dyDescent="0.3">
      <c r="A638" t="str">
        <f t="shared" si="9"/>
        <v>CASE-0637</v>
      </c>
      <c r="B638" s="1">
        <v>45695</v>
      </c>
      <c r="C638" t="s">
        <v>9</v>
      </c>
      <c r="D638">
        <v>5</v>
      </c>
      <c r="E638" t="b">
        <v>1</v>
      </c>
      <c r="F638" s="2">
        <v>7.9803375055970651</v>
      </c>
      <c r="G638" t="b">
        <v>0</v>
      </c>
      <c r="H638" t="s">
        <v>30</v>
      </c>
      <c r="I638" t="s">
        <v>34</v>
      </c>
    </row>
    <row r="639" spans="1:9" x14ac:dyDescent="0.3">
      <c r="A639" t="str">
        <f t="shared" si="9"/>
        <v>CASE-0638</v>
      </c>
      <c r="B639" s="1">
        <v>45515</v>
      </c>
      <c r="C639" t="s">
        <v>9</v>
      </c>
      <c r="D639">
        <v>3</v>
      </c>
      <c r="E639" t="b">
        <v>0</v>
      </c>
      <c r="F639" s="2">
        <v>17.000864128539689</v>
      </c>
      <c r="G639" t="b">
        <v>0</v>
      </c>
      <c r="H639" t="s">
        <v>31</v>
      </c>
      <c r="I639" t="s">
        <v>33</v>
      </c>
    </row>
    <row r="640" spans="1:9" x14ac:dyDescent="0.3">
      <c r="A640" t="str">
        <f t="shared" si="9"/>
        <v>CASE-0639</v>
      </c>
      <c r="B640" s="1">
        <v>45777</v>
      </c>
      <c r="C640" t="s">
        <v>9</v>
      </c>
      <c r="D640">
        <v>5</v>
      </c>
      <c r="E640" t="b">
        <v>1</v>
      </c>
      <c r="F640" s="2">
        <v>5.8875362032470235</v>
      </c>
      <c r="G640" t="b">
        <v>0</v>
      </c>
      <c r="H640" t="s">
        <v>25</v>
      </c>
      <c r="I640" t="s">
        <v>34</v>
      </c>
    </row>
    <row r="641" spans="1:9" x14ac:dyDescent="0.3">
      <c r="A641" t="str">
        <f t="shared" si="9"/>
        <v>CASE-0640</v>
      </c>
      <c r="B641" s="1">
        <v>45804</v>
      </c>
      <c r="C641" t="s">
        <v>12</v>
      </c>
      <c r="D641">
        <v>5</v>
      </c>
      <c r="E641" t="b">
        <v>1</v>
      </c>
      <c r="F641" s="2">
        <v>7.0741447811463978</v>
      </c>
      <c r="G641" t="b">
        <v>0</v>
      </c>
      <c r="H641" t="s">
        <v>30</v>
      </c>
      <c r="I641" t="s">
        <v>35</v>
      </c>
    </row>
    <row r="642" spans="1:9" x14ac:dyDescent="0.3">
      <c r="A642" t="str">
        <f t="shared" si="9"/>
        <v>CASE-0641</v>
      </c>
      <c r="B642" s="1">
        <v>45761</v>
      </c>
      <c r="C642" t="s">
        <v>9</v>
      </c>
      <c r="D642">
        <v>4</v>
      </c>
      <c r="E642" t="b">
        <v>1</v>
      </c>
      <c r="F642" s="2">
        <v>20.311930973273203</v>
      </c>
      <c r="G642" t="b">
        <v>0</v>
      </c>
      <c r="H642" t="s">
        <v>29</v>
      </c>
      <c r="I642" t="s">
        <v>33</v>
      </c>
    </row>
    <row r="643" spans="1:9" x14ac:dyDescent="0.3">
      <c r="A643" t="str">
        <f t="shared" ref="A643:A706" si="10">"CASE-"&amp;TEXT(ROW()-1,"0000")</f>
        <v>CASE-0642</v>
      </c>
      <c r="B643" s="1">
        <v>45596</v>
      </c>
      <c r="C643" t="s">
        <v>10</v>
      </c>
      <c r="D643">
        <v>1</v>
      </c>
      <c r="E643" t="b">
        <v>0</v>
      </c>
      <c r="F643" s="2">
        <v>25.725999137689922</v>
      </c>
      <c r="G643" t="b">
        <v>0</v>
      </c>
      <c r="H643" t="s">
        <v>28</v>
      </c>
      <c r="I643" t="s">
        <v>33</v>
      </c>
    </row>
    <row r="644" spans="1:9" x14ac:dyDescent="0.3">
      <c r="A644" t="str">
        <f t="shared" si="10"/>
        <v>CASE-0643</v>
      </c>
      <c r="B644" s="1">
        <v>45927</v>
      </c>
      <c r="C644" t="s">
        <v>12</v>
      </c>
      <c r="D644">
        <v>3</v>
      </c>
      <c r="E644" t="b">
        <v>1</v>
      </c>
      <c r="F644" s="2">
        <v>4.5078726847849673</v>
      </c>
      <c r="G644" t="b">
        <v>0</v>
      </c>
      <c r="H644" t="s">
        <v>23</v>
      </c>
      <c r="I644" t="s">
        <v>34</v>
      </c>
    </row>
    <row r="645" spans="1:9" x14ac:dyDescent="0.3">
      <c r="A645" t="str">
        <f t="shared" si="10"/>
        <v>CASE-0644</v>
      </c>
      <c r="B645" s="1">
        <v>45704</v>
      </c>
      <c r="C645" t="s">
        <v>9</v>
      </c>
      <c r="D645">
        <v>2</v>
      </c>
      <c r="E645" t="b">
        <v>1</v>
      </c>
      <c r="F645" s="2">
        <v>2.7482822866115066</v>
      </c>
      <c r="G645" t="b">
        <v>0</v>
      </c>
      <c r="H645" t="s">
        <v>20</v>
      </c>
      <c r="I645" t="s">
        <v>34</v>
      </c>
    </row>
    <row r="646" spans="1:9" x14ac:dyDescent="0.3">
      <c r="A646" t="str">
        <f t="shared" si="10"/>
        <v>CASE-0645</v>
      </c>
      <c r="B646" s="1">
        <v>46019</v>
      </c>
      <c r="C646" t="s">
        <v>11</v>
      </c>
      <c r="D646">
        <v>5</v>
      </c>
      <c r="E646" t="b">
        <v>1</v>
      </c>
      <c r="F646" s="2">
        <v>29.060880567665759</v>
      </c>
      <c r="G646" t="b">
        <v>0</v>
      </c>
      <c r="H646" t="s">
        <v>21</v>
      </c>
      <c r="I646" t="s">
        <v>33</v>
      </c>
    </row>
    <row r="647" spans="1:9" x14ac:dyDescent="0.3">
      <c r="A647" t="str">
        <f t="shared" si="10"/>
        <v>CASE-0646</v>
      </c>
      <c r="B647" s="1">
        <v>46146</v>
      </c>
      <c r="C647" t="s">
        <v>12</v>
      </c>
      <c r="D647">
        <v>3</v>
      </c>
      <c r="E647" t="b">
        <v>1</v>
      </c>
      <c r="F647" s="2">
        <v>9.1330354130550315</v>
      </c>
      <c r="G647" t="b">
        <v>0</v>
      </c>
      <c r="H647" t="s">
        <v>18</v>
      </c>
      <c r="I647" t="s">
        <v>34</v>
      </c>
    </row>
    <row r="648" spans="1:9" x14ac:dyDescent="0.3">
      <c r="A648" t="str">
        <f t="shared" si="10"/>
        <v>CASE-0647</v>
      </c>
      <c r="B648" s="1">
        <v>45737</v>
      </c>
      <c r="C648" t="s">
        <v>9</v>
      </c>
      <c r="D648">
        <v>1</v>
      </c>
      <c r="E648" t="b">
        <v>0</v>
      </c>
      <c r="F648" s="2">
        <v>6.959637911631722</v>
      </c>
      <c r="G648" t="b">
        <v>0</v>
      </c>
      <c r="H648" t="s">
        <v>18</v>
      </c>
      <c r="I648" t="s">
        <v>35</v>
      </c>
    </row>
    <row r="649" spans="1:9" x14ac:dyDescent="0.3">
      <c r="A649" t="str">
        <f t="shared" si="10"/>
        <v>CASE-0648</v>
      </c>
      <c r="B649" s="1">
        <v>45586</v>
      </c>
      <c r="C649" t="s">
        <v>11</v>
      </c>
      <c r="D649">
        <v>4</v>
      </c>
      <c r="E649" t="b">
        <v>0</v>
      </c>
      <c r="F649" s="2">
        <v>17.485733228135</v>
      </c>
      <c r="G649" t="b">
        <v>0</v>
      </c>
      <c r="H649" t="s">
        <v>18</v>
      </c>
      <c r="I649" t="s">
        <v>33</v>
      </c>
    </row>
    <row r="650" spans="1:9" x14ac:dyDescent="0.3">
      <c r="A650" t="str">
        <f t="shared" si="10"/>
        <v>CASE-0649</v>
      </c>
      <c r="B650" s="1">
        <v>45543</v>
      </c>
      <c r="C650" t="s">
        <v>9</v>
      </c>
      <c r="D650">
        <v>5</v>
      </c>
      <c r="E650" t="b">
        <v>0</v>
      </c>
      <c r="F650" s="2">
        <v>22.666920208626497</v>
      </c>
      <c r="G650" t="b">
        <v>0</v>
      </c>
      <c r="H650" t="s">
        <v>31</v>
      </c>
      <c r="I650" t="s">
        <v>33</v>
      </c>
    </row>
    <row r="651" spans="1:9" x14ac:dyDescent="0.3">
      <c r="A651" t="str">
        <f t="shared" si="10"/>
        <v>CASE-0650</v>
      </c>
      <c r="B651" s="1">
        <v>45829</v>
      </c>
      <c r="C651" t="s">
        <v>11</v>
      </c>
      <c r="D651">
        <v>3</v>
      </c>
      <c r="E651" t="b">
        <v>1</v>
      </c>
      <c r="F651" s="2">
        <v>6.328227678352131</v>
      </c>
      <c r="G651" t="b">
        <v>0</v>
      </c>
      <c r="H651" t="s">
        <v>15</v>
      </c>
      <c r="I651" t="s">
        <v>34</v>
      </c>
    </row>
    <row r="652" spans="1:9" x14ac:dyDescent="0.3">
      <c r="A652" t="str">
        <f t="shared" si="10"/>
        <v>CASE-0651</v>
      </c>
      <c r="B652" s="1">
        <v>45636</v>
      </c>
      <c r="C652" t="s">
        <v>9</v>
      </c>
      <c r="D652">
        <v>4</v>
      </c>
      <c r="E652" t="b">
        <v>0</v>
      </c>
      <c r="F652" s="2">
        <v>27.967107404276181</v>
      </c>
      <c r="G652" t="b">
        <v>0</v>
      </c>
      <c r="H652" t="s">
        <v>18</v>
      </c>
      <c r="I652" t="s">
        <v>33</v>
      </c>
    </row>
    <row r="653" spans="1:9" x14ac:dyDescent="0.3">
      <c r="A653" t="str">
        <f t="shared" si="10"/>
        <v>CASE-0652</v>
      </c>
      <c r="B653" s="1">
        <v>46024</v>
      </c>
      <c r="C653" t="s">
        <v>10</v>
      </c>
      <c r="D653">
        <v>4</v>
      </c>
      <c r="E653" t="b">
        <v>0</v>
      </c>
      <c r="F653" s="2">
        <v>3.9088373894791579</v>
      </c>
      <c r="G653" t="b">
        <v>0</v>
      </c>
      <c r="H653" t="s">
        <v>25</v>
      </c>
      <c r="I653" t="s">
        <v>34</v>
      </c>
    </row>
    <row r="654" spans="1:9" x14ac:dyDescent="0.3">
      <c r="A654" t="str">
        <f t="shared" si="10"/>
        <v>CASE-0653</v>
      </c>
      <c r="B654" s="1">
        <v>45582</v>
      </c>
      <c r="C654" t="s">
        <v>11</v>
      </c>
      <c r="D654">
        <v>4</v>
      </c>
      <c r="E654" t="b">
        <v>0</v>
      </c>
      <c r="F654" s="2">
        <v>25.130296585044611</v>
      </c>
      <c r="G654" t="b">
        <v>0</v>
      </c>
      <c r="H654" t="s">
        <v>18</v>
      </c>
      <c r="I654" t="s">
        <v>33</v>
      </c>
    </row>
    <row r="655" spans="1:9" x14ac:dyDescent="0.3">
      <c r="A655" t="str">
        <f t="shared" si="10"/>
        <v>CASE-0654</v>
      </c>
      <c r="B655" s="1">
        <v>45803</v>
      </c>
      <c r="C655" t="s">
        <v>11</v>
      </c>
      <c r="D655">
        <v>2</v>
      </c>
      <c r="E655" t="b">
        <v>1</v>
      </c>
      <c r="F655" s="2">
        <v>9.8381826304020308</v>
      </c>
      <c r="G655" t="b">
        <v>0</v>
      </c>
      <c r="H655" t="s">
        <v>28</v>
      </c>
      <c r="I655" t="s">
        <v>34</v>
      </c>
    </row>
    <row r="656" spans="1:9" x14ac:dyDescent="0.3">
      <c r="A656" t="str">
        <f t="shared" si="10"/>
        <v>CASE-0655</v>
      </c>
      <c r="B656" s="1">
        <v>45778</v>
      </c>
      <c r="C656" t="s">
        <v>10</v>
      </c>
      <c r="D656">
        <v>5</v>
      </c>
      <c r="E656" t="b">
        <v>1</v>
      </c>
      <c r="F656" s="2">
        <v>4.1484669352791688</v>
      </c>
      <c r="G656" t="b">
        <v>0</v>
      </c>
      <c r="H656" t="s">
        <v>18</v>
      </c>
      <c r="I656" t="s">
        <v>34</v>
      </c>
    </row>
    <row r="657" spans="1:9" x14ac:dyDescent="0.3">
      <c r="A657" t="str">
        <f t="shared" si="10"/>
        <v>CASE-0656</v>
      </c>
      <c r="B657" s="1">
        <v>45824</v>
      </c>
      <c r="C657" t="s">
        <v>10</v>
      </c>
      <c r="D657">
        <v>3</v>
      </c>
      <c r="E657" t="b">
        <v>0</v>
      </c>
      <c r="F657" s="2">
        <v>9.0304237319070957</v>
      </c>
      <c r="G657" t="b">
        <v>0</v>
      </c>
      <c r="H657" t="s">
        <v>15</v>
      </c>
      <c r="I657" t="s">
        <v>34</v>
      </c>
    </row>
    <row r="658" spans="1:9" x14ac:dyDescent="0.3">
      <c r="A658" t="str">
        <f t="shared" si="10"/>
        <v>CASE-0657</v>
      </c>
      <c r="B658" s="1">
        <v>45977</v>
      </c>
      <c r="C658" t="s">
        <v>12</v>
      </c>
      <c r="D658">
        <v>1</v>
      </c>
      <c r="E658" t="b">
        <v>1</v>
      </c>
      <c r="F658" s="2">
        <v>5.1091848099746819</v>
      </c>
      <c r="G658" t="b">
        <v>0</v>
      </c>
      <c r="H658" t="s">
        <v>32</v>
      </c>
      <c r="I658" t="s">
        <v>34</v>
      </c>
    </row>
    <row r="659" spans="1:9" x14ac:dyDescent="0.3">
      <c r="A659" t="str">
        <f t="shared" si="10"/>
        <v>CASE-0658</v>
      </c>
      <c r="B659" s="1">
        <v>45885</v>
      </c>
      <c r="C659" t="s">
        <v>11</v>
      </c>
      <c r="D659">
        <v>3</v>
      </c>
      <c r="E659" t="b">
        <v>0</v>
      </c>
      <c r="F659" s="2">
        <v>4.5350140080832295</v>
      </c>
      <c r="G659" t="b">
        <v>0</v>
      </c>
      <c r="H659" t="s">
        <v>15</v>
      </c>
      <c r="I659" t="s">
        <v>34</v>
      </c>
    </row>
    <row r="660" spans="1:9" x14ac:dyDescent="0.3">
      <c r="A660" t="str">
        <f t="shared" si="10"/>
        <v>CASE-0659</v>
      </c>
      <c r="B660" s="1">
        <v>45830</v>
      </c>
      <c r="C660" t="s">
        <v>11</v>
      </c>
      <c r="D660">
        <v>2</v>
      </c>
      <c r="E660" t="b">
        <v>1</v>
      </c>
      <c r="F660" s="2">
        <v>4.1111282418844866</v>
      </c>
      <c r="G660" t="b">
        <v>0</v>
      </c>
      <c r="H660" t="s">
        <v>14</v>
      </c>
      <c r="I660" t="s">
        <v>34</v>
      </c>
    </row>
    <row r="661" spans="1:9" x14ac:dyDescent="0.3">
      <c r="A661" t="str">
        <f t="shared" si="10"/>
        <v>CASE-0660</v>
      </c>
      <c r="B661" s="1">
        <v>46029</v>
      </c>
      <c r="C661" t="s">
        <v>9</v>
      </c>
      <c r="D661">
        <v>2</v>
      </c>
      <c r="E661" t="b">
        <v>1</v>
      </c>
      <c r="F661" s="2">
        <v>0.94280581078898607</v>
      </c>
      <c r="G661" t="b">
        <v>0</v>
      </c>
      <c r="H661" t="s">
        <v>30</v>
      </c>
      <c r="I661" t="s">
        <v>34</v>
      </c>
    </row>
    <row r="662" spans="1:9" x14ac:dyDescent="0.3">
      <c r="A662" t="str">
        <f t="shared" si="10"/>
        <v>CASE-0661</v>
      </c>
      <c r="B662" s="1">
        <v>45831</v>
      </c>
      <c r="C662" t="s">
        <v>11</v>
      </c>
      <c r="D662">
        <v>1</v>
      </c>
      <c r="E662" t="b">
        <v>1</v>
      </c>
      <c r="F662" s="2">
        <v>4.8159274039818758</v>
      </c>
      <c r="G662" t="b">
        <v>0</v>
      </c>
      <c r="H662" t="s">
        <v>19</v>
      </c>
      <c r="I662" t="s">
        <v>34</v>
      </c>
    </row>
    <row r="663" spans="1:9" x14ac:dyDescent="0.3">
      <c r="A663" t="str">
        <f t="shared" si="10"/>
        <v>CASE-0662</v>
      </c>
      <c r="B663" s="1">
        <v>46018</v>
      </c>
      <c r="C663" t="s">
        <v>10</v>
      </c>
      <c r="D663">
        <v>4</v>
      </c>
      <c r="E663" t="b">
        <v>1</v>
      </c>
      <c r="F663" s="2">
        <v>2.609261176478328</v>
      </c>
      <c r="G663" t="b">
        <v>0</v>
      </c>
      <c r="H663" t="s">
        <v>13</v>
      </c>
      <c r="I663" t="s">
        <v>34</v>
      </c>
    </row>
    <row r="664" spans="1:9" x14ac:dyDescent="0.3">
      <c r="A664" t="str">
        <f t="shared" si="10"/>
        <v>CASE-0663</v>
      </c>
      <c r="B664" s="1">
        <v>45596</v>
      </c>
      <c r="C664" t="s">
        <v>10</v>
      </c>
      <c r="D664">
        <v>1</v>
      </c>
      <c r="E664" t="b">
        <v>0</v>
      </c>
      <c r="F664" s="2">
        <v>22.241042861756767</v>
      </c>
      <c r="G664" t="b">
        <v>0</v>
      </c>
      <c r="H664" t="s">
        <v>25</v>
      </c>
      <c r="I664" t="s">
        <v>33</v>
      </c>
    </row>
    <row r="665" spans="1:9" x14ac:dyDescent="0.3">
      <c r="A665" t="str">
        <f t="shared" si="10"/>
        <v>CASE-0664</v>
      </c>
      <c r="B665" s="1">
        <v>45658</v>
      </c>
      <c r="C665" t="s">
        <v>9</v>
      </c>
      <c r="D665">
        <v>1</v>
      </c>
      <c r="E665" t="b">
        <v>1</v>
      </c>
      <c r="F665" s="2">
        <v>8.6047738712153343</v>
      </c>
      <c r="G665" t="b">
        <v>0</v>
      </c>
      <c r="H665" t="s">
        <v>13</v>
      </c>
      <c r="I665" t="s">
        <v>34</v>
      </c>
    </row>
    <row r="666" spans="1:9" x14ac:dyDescent="0.3">
      <c r="A666" t="str">
        <f t="shared" si="10"/>
        <v>CASE-0665</v>
      </c>
      <c r="B666" s="1">
        <v>45793</v>
      </c>
      <c r="C666" t="s">
        <v>9</v>
      </c>
      <c r="D666">
        <v>2</v>
      </c>
      <c r="E666" t="b">
        <v>0</v>
      </c>
      <c r="F666" s="2">
        <v>5.2344827043967195</v>
      </c>
      <c r="G666" t="b">
        <v>0</v>
      </c>
      <c r="H666" t="s">
        <v>25</v>
      </c>
      <c r="I666" t="s">
        <v>34</v>
      </c>
    </row>
    <row r="667" spans="1:9" x14ac:dyDescent="0.3">
      <c r="A667" t="str">
        <f t="shared" si="10"/>
        <v>CASE-0666</v>
      </c>
      <c r="B667" s="1">
        <v>45533</v>
      </c>
      <c r="C667" t="s">
        <v>10</v>
      </c>
      <c r="D667">
        <v>4</v>
      </c>
      <c r="E667" t="b">
        <v>0</v>
      </c>
      <c r="F667" s="2">
        <v>33.83308565515425</v>
      </c>
      <c r="G667" t="b">
        <v>0</v>
      </c>
      <c r="H667" t="s">
        <v>23</v>
      </c>
      <c r="I667" t="s">
        <v>33</v>
      </c>
    </row>
    <row r="668" spans="1:9" x14ac:dyDescent="0.3">
      <c r="A668" t="str">
        <f t="shared" si="10"/>
        <v>CASE-0667</v>
      </c>
      <c r="B668" s="1">
        <v>45998</v>
      </c>
      <c r="C668" t="s">
        <v>10</v>
      </c>
      <c r="D668">
        <v>1</v>
      </c>
      <c r="E668" t="b">
        <v>1</v>
      </c>
      <c r="F668" s="2">
        <v>20.585497976277964</v>
      </c>
      <c r="G668" t="b">
        <v>0</v>
      </c>
      <c r="H668" t="s">
        <v>15</v>
      </c>
      <c r="I668" t="s">
        <v>33</v>
      </c>
    </row>
    <row r="669" spans="1:9" x14ac:dyDescent="0.3">
      <c r="A669" t="str">
        <f t="shared" si="10"/>
        <v>CASE-0668</v>
      </c>
      <c r="B669" s="1">
        <v>46166</v>
      </c>
      <c r="C669" t="s">
        <v>12</v>
      </c>
      <c r="D669">
        <v>2</v>
      </c>
      <c r="E669" t="b">
        <v>1</v>
      </c>
      <c r="F669" s="2">
        <v>6.4019028778228702</v>
      </c>
      <c r="G669" t="b">
        <v>0</v>
      </c>
      <c r="H669" t="s">
        <v>31</v>
      </c>
      <c r="I669" t="s">
        <v>34</v>
      </c>
    </row>
    <row r="670" spans="1:9" x14ac:dyDescent="0.3">
      <c r="A670" t="str">
        <f t="shared" si="10"/>
        <v>CASE-0669</v>
      </c>
      <c r="B670" s="1">
        <v>46155</v>
      </c>
      <c r="C670" t="s">
        <v>11</v>
      </c>
      <c r="D670">
        <v>1</v>
      </c>
      <c r="E670" t="b">
        <v>1</v>
      </c>
      <c r="F670" s="2">
        <v>4.311033506205308</v>
      </c>
      <c r="G670" t="b">
        <v>0</v>
      </c>
      <c r="H670" t="s">
        <v>24</v>
      </c>
      <c r="I670" t="s">
        <v>34</v>
      </c>
    </row>
    <row r="671" spans="1:9" x14ac:dyDescent="0.3">
      <c r="A671" t="str">
        <f t="shared" si="10"/>
        <v>CASE-0670</v>
      </c>
      <c r="B671" s="1">
        <v>45542</v>
      </c>
      <c r="C671" t="s">
        <v>12</v>
      </c>
      <c r="D671">
        <v>1</v>
      </c>
      <c r="E671" t="b">
        <v>0</v>
      </c>
      <c r="F671" s="2">
        <v>24.28556083039728</v>
      </c>
      <c r="G671" t="b">
        <v>0</v>
      </c>
      <c r="H671" t="s">
        <v>18</v>
      </c>
      <c r="I671" t="s">
        <v>33</v>
      </c>
    </row>
    <row r="672" spans="1:9" x14ac:dyDescent="0.3">
      <c r="A672" t="str">
        <f t="shared" si="10"/>
        <v>CASE-0671</v>
      </c>
      <c r="B672" s="1">
        <v>45988</v>
      </c>
      <c r="C672" t="s">
        <v>9</v>
      </c>
      <c r="D672">
        <v>3</v>
      </c>
      <c r="E672" t="b">
        <v>1</v>
      </c>
      <c r="F672" s="2">
        <v>6.1488648536830715</v>
      </c>
      <c r="G672" t="b">
        <v>0</v>
      </c>
      <c r="H672" t="s">
        <v>30</v>
      </c>
      <c r="I672" t="s">
        <v>35</v>
      </c>
    </row>
    <row r="673" spans="1:9" x14ac:dyDescent="0.3">
      <c r="A673" t="str">
        <f t="shared" si="10"/>
        <v>CASE-0672</v>
      </c>
      <c r="B673" s="1">
        <v>46048</v>
      </c>
      <c r="C673" t="s">
        <v>9</v>
      </c>
      <c r="D673">
        <v>3</v>
      </c>
      <c r="E673" t="b">
        <v>0</v>
      </c>
      <c r="F673" s="2">
        <v>7.0851791874553465</v>
      </c>
      <c r="G673" t="b">
        <v>0</v>
      </c>
      <c r="H673" t="s">
        <v>18</v>
      </c>
      <c r="I673" t="s">
        <v>34</v>
      </c>
    </row>
    <row r="674" spans="1:9" x14ac:dyDescent="0.3">
      <c r="A674" t="str">
        <f t="shared" si="10"/>
        <v>CASE-0673</v>
      </c>
      <c r="B674" s="1">
        <v>45832</v>
      </c>
      <c r="C674" t="s">
        <v>11</v>
      </c>
      <c r="D674">
        <v>3</v>
      </c>
      <c r="E674" t="b">
        <v>1</v>
      </c>
      <c r="F674" s="2">
        <v>11.349663129179497</v>
      </c>
      <c r="G674" t="b">
        <v>0</v>
      </c>
      <c r="H674" t="s">
        <v>14</v>
      </c>
      <c r="I674" t="s">
        <v>33</v>
      </c>
    </row>
    <row r="675" spans="1:9" x14ac:dyDescent="0.3">
      <c r="A675" t="str">
        <f t="shared" si="10"/>
        <v>CASE-0674</v>
      </c>
      <c r="B675" s="1">
        <v>46137</v>
      </c>
      <c r="C675" t="s">
        <v>9</v>
      </c>
      <c r="D675">
        <v>5</v>
      </c>
      <c r="E675" t="b">
        <v>1</v>
      </c>
      <c r="F675" s="2">
        <v>6.5045285869120191</v>
      </c>
      <c r="G675" t="b">
        <v>0</v>
      </c>
      <c r="H675" t="s">
        <v>21</v>
      </c>
      <c r="I675" t="s">
        <v>34</v>
      </c>
    </row>
    <row r="676" spans="1:9" x14ac:dyDescent="0.3">
      <c r="A676" t="str">
        <f t="shared" si="10"/>
        <v>CASE-0675</v>
      </c>
      <c r="B676" s="1">
        <v>45576</v>
      </c>
      <c r="C676" t="s">
        <v>9</v>
      </c>
      <c r="D676">
        <v>5</v>
      </c>
      <c r="E676" t="b">
        <v>0</v>
      </c>
      <c r="F676" s="2">
        <v>15.863978917023076</v>
      </c>
      <c r="G676" t="b">
        <v>0</v>
      </c>
      <c r="H676" t="s">
        <v>22</v>
      </c>
      <c r="I676" t="s">
        <v>33</v>
      </c>
    </row>
    <row r="677" spans="1:9" x14ac:dyDescent="0.3">
      <c r="A677" t="str">
        <f t="shared" si="10"/>
        <v>CASE-0676</v>
      </c>
      <c r="B677" s="1">
        <v>45562</v>
      </c>
      <c r="C677" t="s">
        <v>10</v>
      </c>
      <c r="D677">
        <v>1</v>
      </c>
      <c r="E677" t="b">
        <v>0</v>
      </c>
      <c r="F677" s="2">
        <v>27.252323201635559</v>
      </c>
      <c r="G677" t="b">
        <v>0</v>
      </c>
      <c r="H677" t="s">
        <v>31</v>
      </c>
      <c r="I677" t="s">
        <v>33</v>
      </c>
    </row>
    <row r="678" spans="1:9" x14ac:dyDescent="0.3">
      <c r="A678" t="str">
        <f t="shared" si="10"/>
        <v>CASE-0677</v>
      </c>
      <c r="B678" s="1">
        <v>45488</v>
      </c>
      <c r="C678" t="s">
        <v>12</v>
      </c>
      <c r="D678">
        <v>5</v>
      </c>
      <c r="E678" t="b">
        <v>0</v>
      </c>
      <c r="F678" s="2">
        <v>26.600676507479665</v>
      </c>
      <c r="G678" t="b">
        <v>0</v>
      </c>
      <c r="H678" t="s">
        <v>15</v>
      </c>
      <c r="I678" t="s">
        <v>33</v>
      </c>
    </row>
    <row r="679" spans="1:9" x14ac:dyDescent="0.3">
      <c r="A679" t="str">
        <f t="shared" si="10"/>
        <v>CASE-0678</v>
      </c>
      <c r="B679" s="1">
        <v>46125</v>
      </c>
      <c r="C679" t="s">
        <v>11</v>
      </c>
      <c r="D679">
        <v>3</v>
      </c>
      <c r="E679" t="b">
        <v>1</v>
      </c>
      <c r="F679" s="2">
        <v>5.8463308603031008</v>
      </c>
      <c r="G679" t="b">
        <v>0</v>
      </c>
      <c r="H679" t="s">
        <v>20</v>
      </c>
      <c r="I679" t="s">
        <v>35</v>
      </c>
    </row>
    <row r="680" spans="1:9" x14ac:dyDescent="0.3">
      <c r="A680" t="str">
        <f t="shared" si="10"/>
        <v>CASE-0679</v>
      </c>
      <c r="B680" s="1">
        <v>45603</v>
      </c>
      <c r="C680" t="s">
        <v>10</v>
      </c>
      <c r="D680">
        <v>1</v>
      </c>
      <c r="E680" t="b">
        <v>0</v>
      </c>
      <c r="F680" s="2">
        <v>22.162334114078345</v>
      </c>
      <c r="G680" t="b">
        <v>0</v>
      </c>
      <c r="H680" t="s">
        <v>15</v>
      </c>
      <c r="I680" t="s">
        <v>33</v>
      </c>
    </row>
    <row r="681" spans="1:9" x14ac:dyDescent="0.3">
      <c r="A681" t="str">
        <f t="shared" si="10"/>
        <v>CASE-0680</v>
      </c>
      <c r="B681" s="1">
        <v>45513</v>
      </c>
      <c r="C681" t="s">
        <v>10</v>
      </c>
      <c r="D681">
        <v>5</v>
      </c>
      <c r="E681" t="b">
        <v>0</v>
      </c>
      <c r="F681" s="2">
        <v>25.996944819758486</v>
      </c>
      <c r="G681" t="b">
        <v>0</v>
      </c>
      <c r="H681" t="s">
        <v>20</v>
      </c>
      <c r="I681" t="s">
        <v>33</v>
      </c>
    </row>
    <row r="682" spans="1:9" x14ac:dyDescent="0.3">
      <c r="A682" t="str">
        <f t="shared" si="10"/>
        <v>CASE-0681</v>
      </c>
      <c r="B682" s="1">
        <v>45640</v>
      </c>
      <c r="C682" t="s">
        <v>9</v>
      </c>
      <c r="D682">
        <v>3</v>
      </c>
      <c r="E682" t="b">
        <v>0</v>
      </c>
      <c r="F682" s="2">
        <v>20.884961927452533</v>
      </c>
      <c r="G682" t="b">
        <v>0</v>
      </c>
      <c r="H682" t="s">
        <v>18</v>
      </c>
      <c r="I682" t="s">
        <v>33</v>
      </c>
    </row>
    <row r="683" spans="1:9" x14ac:dyDescent="0.3">
      <c r="A683" t="str">
        <f t="shared" si="10"/>
        <v>CASE-0682</v>
      </c>
      <c r="B683" s="1">
        <v>45891</v>
      </c>
      <c r="C683" t="s">
        <v>10</v>
      </c>
      <c r="D683">
        <v>5</v>
      </c>
      <c r="E683" t="b">
        <v>1</v>
      </c>
      <c r="F683" s="2">
        <v>27.902083374622684</v>
      </c>
      <c r="G683" t="b">
        <v>0</v>
      </c>
      <c r="H683" t="s">
        <v>30</v>
      </c>
      <c r="I683" t="s">
        <v>33</v>
      </c>
    </row>
    <row r="684" spans="1:9" x14ac:dyDescent="0.3">
      <c r="A684" t="str">
        <f t="shared" si="10"/>
        <v>CASE-0683</v>
      </c>
      <c r="B684" s="1">
        <v>46091</v>
      </c>
      <c r="C684" t="s">
        <v>10</v>
      </c>
      <c r="D684">
        <v>2</v>
      </c>
      <c r="E684" t="b">
        <v>1</v>
      </c>
      <c r="F684" s="2">
        <v>3.1956787525653727</v>
      </c>
      <c r="G684" t="b">
        <v>0</v>
      </c>
      <c r="H684" t="s">
        <v>13</v>
      </c>
      <c r="I684" t="s">
        <v>34</v>
      </c>
    </row>
    <row r="685" spans="1:9" x14ac:dyDescent="0.3">
      <c r="A685" t="str">
        <f t="shared" si="10"/>
        <v>CASE-0684</v>
      </c>
      <c r="B685" s="1">
        <v>45867</v>
      </c>
      <c r="C685" t="s">
        <v>12</v>
      </c>
      <c r="D685">
        <v>4</v>
      </c>
      <c r="E685" t="b">
        <v>1</v>
      </c>
      <c r="F685" s="2">
        <v>16.690718958703808</v>
      </c>
      <c r="G685" t="b">
        <v>0</v>
      </c>
      <c r="H685" t="s">
        <v>14</v>
      </c>
      <c r="I685" t="s">
        <v>33</v>
      </c>
    </row>
    <row r="686" spans="1:9" x14ac:dyDescent="0.3">
      <c r="A686" t="str">
        <f t="shared" si="10"/>
        <v>CASE-0685</v>
      </c>
      <c r="B686" s="1">
        <v>45760</v>
      </c>
      <c r="C686" t="s">
        <v>11</v>
      </c>
      <c r="D686">
        <v>2</v>
      </c>
      <c r="E686" t="b">
        <v>1</v>
      </c>
      <c r="F686" s="2">
        <v>7.9391320538178762</v>
      </c>
      <c r="G686" t="b">
        <v>0</v>
      </c>
      <c r="H686" t="s">
        <v>20</v>
      </c>
      <c r="I686" t="s">
        <v>34</v>
      </c>
    </row>
    <row r="687" spans="1:9" x14ac:dyDescent="0.3">
      <c r="A687" t="str">
        <f t="shared" si="10"/>
        <v>CASE-0686</v>
      </c>
      <c r="B687" s="1">
        <v>45906</v>
      </c>
      <c r="C687" t="s">
        <v>12</v>
      </c>
      <c r="D687">
        <v>4</v>
      </c>
      <c r="E687" t="b">
        <v>1</v>
      </c>
      <c r="F687" s="2">
        <v>4.6053369385288807</v>
      </c>
      <c r="G687" t="b">
        <v>0</v>
      </c>
      <c r="H687" t="s">
        <v>26</v>
      </c>
      <c r="I687" t="s">
        <v>34</v>
      </c>
    </row>
    <row r="688" spans="1:9" x14ac:dyDescent="0.3">
      <c r="A688" t="str">
        <f t="shared" si="10"/>
        <v>CASE-0687</v>
      </c>
      <c r="B688" s="1">
        <v>45838</v>
      </c>
      <c r="C688" t="s">
        <v>12</v>
      </c>
      <c r="D688">
        <v>2</v>
      </c>
      <c r="E688" t="b">
        <v>1</v>
      </c>
      <c r="F688" s="2">
        <v>6.8451068119592655</v>
      </c>
      <c r="G688" t="b">
        <v>0</v>
      </c>
      <c r="H688" t="s">
        <v>21</v>
      </c>
      <c r="I688" t="s">
        <v>34</v>
      </c>
    </row>
    <row r="689" spans="1:9" x14ac:dyDescent="0.3">
      <c r="A689" t="str">
        <f t="shared" si="10"/>
        <v>CASE-0688</v>
      </c>
      <c r="B689" s="1">
        <v>45856</v>
      </c>
      <c r="C689" t="s">
        <v>12</v>
      </c>
      <c r="D689">
        <v>1</v>
      </c>
      <c r="E689" t="b">
        <v>1</v>
      </c>
      <c r="F689" s="2">
        <v>6.1128339806930825</v>
      </c>
      <c r="G689" t="b">
        <v>0</v>
      </c>
      <c r="H689" t="s">
        <v>29</v>
      </c>
      <c r="I689" t="s">
        <v>34</v>
      </c>
    </row>
    <row r="690" spans="1:9" x14ac:dyDescent="0.3">
      <c r="A690" t="str">
        <f t="shared" si="10"/>
        <v>CASE-0689</v>
      </c>
      <c r="B690" s="1">
        <v>45761</v>
      </c>
      <c r="C690" t="s">
        <v>9</v>
      </c>
      <c r="D690">
        <v>1</v>
      </c>
      <c r="E690" t="b">
        <v>0</v>
      </c>
      <c r="F690" s="2">
        <v>7.6971069722189585</v>
      </c>
      <c r="G690" t="b">
        <v>0</v>
      </c>
      <c r="H690" t="s">
        <v>15</v>
      </c>
      <c r="I690" t="s">
        <v>34</v>
      </c>
    </row>
    <row r="691" spans="1:9" x14ac:dyDescent="0.3">
      <c r="A691" t="str">
        <f t="shared" si="10"/>
        <v>CASE-0690</v>
      </c>
      <c r="B691" s="1">
        <v>45678</v>
      </c>
      <c r="C691" t="s">
        <v>10</v>
      </c>
      <c r="D691">
        <v>5</v>
      </c>
      <c r="E691" t="b">
        <v>1</v>
      </c>
      <c r="F691" s="2">
        <v>10.56896286065256</v>
      </c>
      <c r="G691" t="b">
        <v>0</v>
      </c>
      <c r="H691" t="s">
        <v>32</v>
      </c>
      <c r="I691" t="s">
        <v>34</v>
      </c>
    </row>
    <row r="692" spans="1:9" x14ac:dyDescent="0.3">
      <c r="A692" t="str">
        <f t="shared" si="10"/>
        <v>CASE-0691</v>
      </c>
      <c r="B692" s="1">
        <v>45988</v>
      </c>
      <c r="C692" t="s">
        <v>11</v>
      </c>
      <c r="D692">
        <v>3</v>
      </c>
      <c r="E692" t="b">
        <v>1</v>
      </c>
      <c r="F692" s="2">
        <v>3.4427633750388562</v>
      </c>
      <c r="G692" t="b">
        <v>1</v>
      </c>
      <c r="H692" t="s">
        <v>31</v>
      </c>
      <c r="I692" t="s">
        <v>34</v>
      </c>
    </row>
    <row r="693" spans="1:9" x14ac:dyDescent="0.3">
      <c r="A693" t="str">
        <f t="shared" si="10"/>
        <v>CASE-0692</v>
      </c>
      <c r="B693" s="1">
        <v>45623</v>
      </c>
      <c r="C693" t="s">
        <v>9</v>
      </c>
      <c r="D693">
        <v>3</v>
      </c>
      <c r="E693" t="b">
        <v>0</v>
      </c>
      <c r="F693" s="2">
        <v>31.341214002475201</v>
      </c>
      <c r="G693" t="b">
        <v>0</v>
      </c>
      <c r="H693" t="s">
        <v>15</v>
      </c>
      <c r="I693" t="s">
        <v>33</v>
      </c>
    </row>
    <row r="694" spans="1:9" x14ac:dyDescent="0.3">
      <c r="A694" t="str">
        <f t="shared" si="10"/>
        <v>CASE-0693</v>
      </c>
      <c r="B694" s="1">
        <v>46132</v>
      </c>
      <c r="C694" t="s">
        <v>12</v>
      </c>
      <c r="D694">
        <v>3</v>
      </c>
      <c r="E694" t="b">
        <v>1</v>
      </c>
      <c r="F694" s="2">
        <v>4.6349613374109015</v>
      </c>
      <c r="G694" t="b">
        <v>0</v>
      </c>
      <c r="H694" t="s">
        <v>17</v>
      </c>
      <c r="I694" t="s">
        <v>34</v>
      </c>
    </row>
    <row r="695" spans="1:9" x14ac:dyDescent="0.3">
      <c r="A695" t="str">
        <f t="shared" si="10"/>
        <v>CASE-0694</v>
      </c>
      <c r="B695" s="1">
        <v>45909</v>
      </c>
      <c r="C695" t="s">
        <v>11</v>
      </c>
      <c r="D695">
        <v>2</v>
      </c>
      <c r="E695" t="b">
        <v>1</v>
      </c>
      <c r="F695" s="2">
        <v>1.5771860251254326</v>
      </c>
      <c r="G695" t="b">
        <v>0</v>
      </c>
      <c r="H695" t="s">
        <v>20</v>
      </c>
      <c r="I695" t="s">
        <v>35</v>
      </c>
    </row>
    <row r="696" spans="1:9" x14ac:dyDescent="0.3">
      <c r="A696" t="str">
        <f t="shared" si="10"/>
        <v>CASE-0695</v>
      </c>
      <c r="B696" s="1">
        <v>46059</v>
      </c>
      <c r="C696" t="s">
        <v>12</v>
      </c>
      <c r="D696">
        <v>4</v>
      </c>
      <c r="E696" t="b">
        <v>0</v>
      </c>
      <c r="F696" s="2">
        <v>23.949854469407878</v>
      </c>
      <c r="G696" t="b">
        <v>0</v>
      </c>
      <c r="H696" t="s">
        <v>16</v>
      </c>
      <c r="I696" t="s">
        <v>33</v>
      </c>
    </row>
    <row r="697" spans="1:9" x14ac:dyDescent="0.3">
      <c r="A697" t="str">
        <f t="shared" si="10"/>
        <v>CASE-0696</v>
      </c>
      <c r="B697" s="1">
        <v>45871</v>
      </c>
      <c r="C697" t="s">
        <v>9</v>
      </c>
      <c r="D697">
        <v>4</v>
      </c>
      <c r="E697" t="b">
        <v>0</v>
      </c>
      <c r="F697" s="2">
        <v>6.34085152643818</v>
      </c>
      <c r="G697" t="b">
        <v>0</v>
      </c>
      <c r="H697" t="s">
        <v>25</v>
      </c>
      <c r="I697" t="s">
        <v>34</v>
      </c>
    </row>
    <row r="698" spans="1:9" x14ac:dyDescent="0.3">
      <c r="A698" t="str">
        <f t="shared" si="10"/>
        <v>CASE-0697</v>
      </c>
      <c r="B698" s="1">
        <v>46012</v>
      </c>
      <c r="C698" t="s">
        <v>11</v>
      </c>
      <c r="D698">
        <v>2</v>
      </c>
      <c r="E698" t="b">
        <v>1</v>
      </c>
      <c r="F698" s="2">
        <v>8.2776004929650533</v>
      </c>
      <c r="G698" t="b">
        <v>0</v>
      </c>
      <c r="H698" t="s">
        <v>14</v>
      </c>
      <c r="I698" t="s">
        <v>34</v>
      </c>
    </row>
    <row r="699" spans="1:9" x14ac:dyDescent="0.3">
      <c r="A699" t="str">
        <f t="shared" si="10"/>
        <v>CASE-0698</v>
      </c>
      <c r="B699" s="1">
        <v>45912</v>
      </c>
      <c r="C699" t="s">
        <v>10</v>
      </c>
      <c r="D699">
        <v>3</v>
      </c>
      <c r="E699" t="b">
        <v>1</v>
      </c>
      <c r="F699" s="2">
        <v>4.1133177191276218</v>
      </c>
      <c r="G699" t="b">
        <v>0</v>
      </c>
      <c r="H699" t="s">
        <v>18</v>
      </c>
      <c r="I699" t="s">
        <v>34</v>
      </c>
    </row>
    <row r="700" spans="1:9" x14ac:dyDescent="0.3">
      <c r="A700" t="str">
        <f t="shared" si="10"/>
        <v>CASE-0699</v>
      </c>
      <c r="B700" s="1">
        <v>45989</v>
      </c>
      <c r="C700" t="s">
        <v>10</v>
      </c>
      <c r="D700">
        <v>1</v>
      </c>
      <c r="E700" t="b">
        <v>1</v>
      </c>
      <c r="F700" s="2">
        <v>2.0572072657656593</v>
      </c>
      <c r="G700" t="b">
        <v>0</v>
      </c>
      <c r="H700" t="s">
        <v>16</v>
      </c>
      <c r="I700" t="s">
        <v>34</v>
      </c>
    </row>
    <row r="701" spans="1:9" x14ac:dyDescent="0.3">
      <c r="A701" t="str">
        <f t="shared" si="10"/>
        <v>CASE-0700</v>
      </c>
      <c r="B701" s="1">
        <v>45849</v>
      </c>
      <c r="C701" t="s">
        <v>12</v>
      </c>
      <c r="D701">
        <v>3</v>
      </c>
      <c r="E701" t="b">
        <v>1</v>
      </c>
      <c r="F701" s="2">
        <v>7.9572559135832392</v>
      </c>
      <c r="G701" t="b">
        <v>0</v>
      </c>
      <c r="H701" t="s">
        <v>24</v>
      </c>
      <c r="I701" t="s">
        <v>34</v>
      </c>
    </row>
    <row r="702" spans="1:9" x14ac:dyDescent="0.3">
      <c r="A702" t="str">
        <f t="shared" si="10"/>
        <v>CASE-0701</v>
      </c>
      <c r="B702" s="1">
        <v>45745</v>
      </c>
      <c r="C702" t="s">
        <v>11</v>
      </c>
      <c r="D702">
        <v>1</v>
      </c>
      <c r="E702" t="b">
        <v>0</v>
      </c>
      <c r="F702" s="2">
        <v>5.6613857444239128</v>
      </c>
      <c r="G702" t="b">
        <v>0</v>
      </c>
      <c r="H702" t="s">
        <v>15</v>
      </c>
      <c r="I702" t="s">
        <v>35</v>
      </c>
    </row>
    <row r="703" spans="1:9" x14ac:dyDescent="0.3">
      <c r="A703" t="str">
        <f t="shared" si="10"/>
        <v>CASE-0702</v>
      </c>
      <c r="B703" s="1">
        <v>45796</v>
      </c>
      <c r="C703" t="s">
        <v>10</v>
      </c>
      <c r="D703">
        <v>3</v>
      </c>
      <c r="E703" t="b">
        <v>0</v>
      </c>
      <c r="F703" s="2">
        <v>30.248522910096064</v>
      </c>
      <c r="G703" t="b">
        <v>0</v>
      </c>
      <c r="H703" t="s">
        <v>26</v>
      </c>
      <c r="I703" t="s">
        <v>33</v>
      </c>
    </row>
    <row r="704" spans="1:9" x14ac:dyDescent="0.3">
      <c r="A704" t="str">
        <f t="shared" si="10"/>
        <v>CASE-0703</v>
      </c>
      <c r="B704" s="1">
        <v>45483</v>
      </c>
      <c r="C704" t="s">
        <v>9</v>
      </c>
      <c r="D704">
        <v>5</v>
      </c>
      <c r="E704" t="b">
        <v>0</v>
      </c>
      <c r="F704" s="2">
        <v>28.664078702642058</v>
      </c>
      <c r="G704" t="b">
        <v>0</v>
      </c>
      <c r="H704" t="s">
        <v>13</v>
      </c>
      <c r="I704" t="s">
        <v>33</v>
      </c>
    </row>
    <row r="705" spans="1:9" x14ac:dyDescent="0.3">
      <c r="A705" t="str">
        <f t="shared" si="10"/>
        <v>CASE-0704</v>
      </c>
      <c r="B705" s="1">
        <v>46130</v>
      </c>
      <c r="C705" t="s">
        <v>11</v>
      </c>
      <c r="D705">
        <v>3</v>
      </c>
      <c r="E705" t="b">
        <v>1</v>
      </c>
      <c r="F705" s="2">
        <v>6.0107544790191865</v>
      </c>
      <c r="G705" t="b">
        <v>0</v>
      </c>
      <c r="H705" t="s">
        <v>26</v>
      </c>
      <c r="I705" t="s">
        <v>34</v>
      </c>
    </row>
    <row r="706" spans="1:9" x14ac:dyDescent="0.3">
      <c r="A706" t="str">
        <f t="shared" si="10"/>
        <v>CASE-0705</v>
      </c>
      <c r="B706" s="1">
        <v>45879</v>
      </c>
      <c r="C706" t="s">
        <v>9</v>
      </c>
      <c r="D706">
        <v>3</v>
      </c>
      <c r="E706" t="b">
        <v>1</v>
      </c>
      <c r="F706" s="2">
        <v>11.197103251113287</v>
      </c>
      <c r="G706" t="b">
        <v>0</v>
      </c>
      <c r="H706" t="s">
        <v>31</v>
      </c>
      <c r="I706" t="s">
        <v>33</v>
      </c>
    </row>
    <row r="707" spans="1:9" x14ac:dyDescent="0.3">
      <c r="A707" t="str">
        <f t="shared" ref="A707:A770" si="11">"CASE-"&amp;TEXT(ROW()-1,"0000")</f>
        <v>CASE-0706</v>
      </c>
      <c r="B707" s="1">
        <v>46202</v>
      </c>
      <c r="C707" t="s">
        <v>11</v>
      </c>
      <c r="D707">
        <v>5</v>
      </c>
      <c r="E707" t="b">
        <v>1</v>
      </c>
      <c r="F707" s="2">
        <v>9.627885427287433</v>
      </c>
      <c r="G707" t="b">
        <v>0</v>
      </c>
      <c r="H707" t="s">
        <v>23</v>
      </c>
      <c r="I707" t="s">
        <v>34</v>
      </c>
    </row>
    <row r="708" spans="1:9" x14ac:dyDescent="0.3">
      <c r="A708" t="str">
        <f t="shared" si="11"/>
        <v>CASE-0707</v>
      </c>
      <c r="B708" s="1">
        <v>45601</v>
      </c>
      <c r="C708" t="s">
        <v>10</v>
      </c>
      <c r="D708">
        <v>1</v>
      </c>
      <c r="E708" t="b">
        <v>0</v>
      </c>
      <c r="F708" s="2">
        <v>14.307932734167222</v>
      </c>
      <c r="G708" t="b">
        <v>0</v>
      </c>
      <c r="H708" t="s">
        <v>23</v>
      </c>
      <c r="I708" t="s">
        <v>33</v>
      </c>
    </row>
    <row r="709" spans="1:9" x14ac:dyDescent="0.3">
      <c r="A709" t="str">
        <f t="shared" si="11"/>
        <v>CASE-0708</v>
      </c>
      <c r="B709" s="1">
        <v>46186</v>
      </c>
      <c r="C709" t="s">
        <v>12</v>
      </c>
      <c r="D709">
        <v>2</v>
      </c>
      <c r="E709" t="b">
        <v>1</v>
      </c>
      <c r="F709" s="2">
        <v>2.4985763350295449</v>
      </c>
      <c r="G709" t="b">
        <v>0</v>
      </c>
      <c r="H709" t="s">
        <v>22</v>
      </c>
      <c r="I709" t="s">
        <v>34</v>
      </c>
    </row>
    <row r="710" spans="1:9" x14ac:dyDescent="0.3">
      <c r="A710" t="str">
        <f t="shared" si="11"/>
        <v>CASE-0709</v>
      </c>
      <c r="B710" s="1">
        <v>45500</v>
      </c>
      <c r="C710" t="s">
        <v>12</v>
      </c>
      <c r="D710">
        <v>1</v>
      </c>
      <c r="E710" t="b">
        <v>0</v>
      </c>
      <c r="F710" s="2">
        <v>24.039899434741365</v>
      </c>
      <c r="G710" t="b">
        <v>0</v>
      </c>
      <c r="H710" t="s">
        <v>26</v>
      </c>
      <c r="I710" t="s">
        <v>33</v>
      </c>
    </row>
    <row r="711" spans="1:9" x14ac:dyDescent="0.3">
      <c r="A711" t="str">
        <f t="shared" si="11"/>
        <v>CASE-0710</v>
      </c>
      <c r="B711" s="1">
        <v>45953</v>
      </c>
      <c r="C711" t="s">
        <v>9</v>
      </c>
      <c r="D711">
        <v>3</v>
      </c>
      <c r="E711" t="b">
        <v>0</v>
      </c>
      <c r="F711" s="2">
        <v>5.2747225100636461</v>
      </c>
      <c r="G711" t="b">
        <v>0</v>
      </c>
      <c r="H711" t="s">
        <v>19</v>
      </c>
      <c r="I711" t="s">
        <v>34</v>
      </c>
    </row>
    <row r="712" spans="1:9" x14ac:dyDescent="0.3">
      <c r="A712" t="str">
        <f t="shared" si="11"/>
        <v>CASE-0711</v>
      </c>
      <c r="B712" s="1">
        <v>45601</v>
      </c>
      <c r="C712" t="s">
        <v>9</v>
      </c>
      <c r="D712">
        <v>3</v>
      </c>
      <c r="E712" t="b">
        <v>0</v>
      </c>
      <c r="F712" s="2">
        <v>26.662963358189959</v>
      </c>
      <c r="G712" t="b">
        <v>1</v>
      </c>
      <c r="H712" t="s">
        <v>26</v>
      </c>
      <c r="I712" t="s">
        <v>33</v>
      </c>
    </row>
    <row r="713" spans="1:9" x14ac:dyDescent="0.3">
      <c r="A713" t="str">
        <f t="shared" si="11"/>
        <v>CASE-0712</v>
      </c>
      <c r="B713" s="1">
        <v>45753</v>
      </c>
      <c r="C713" t="s">
        <v>10</v>
      </c>
      <c r="D713">
        <v>2</v>
      </c>
      <c r="E713" t="b">
        <v>0</v>
      </c>
      <c r="F713" s="2">
        <v>8.436244922632719</v>
      </c>
      <c r="G713" t="b">
        <v>0</v>
      </c>
      <c r="H713" t="s">
        <v>25</v>
      </c>
      <c r="I713" t="s">
        <v>34</v>
      </c>
    </row>
    <row r="714" spans="1:9" x14ac:dyDescent="0.3">
      <c r="A714" t="str">
        <f t="shared" si="11"/>
        <v>CASE-0713</v>
      </c>
      <c r="B714" s="1">
        <v>45893</v>
      </c>
      <c r="C714" t="s">
        <v>12</v>
      </c>
      <c r="D714">
        <v>1</v>
      </c>
      <c r="E714" t="b">
        <v>1</v>
      </c>
      <c r="F714" s="2">
        <v>17.381026168574444</v>
      </c>
      <c r="G714" t="b">
        <v>0</v>
      </c>
      <c r="H714" t="s">
        <v>28</v>
      </c>
      <c r="I714" t="s">
        <v>33</v>
      </c>
    </row>
    <row r="715" spans="1:9" x14ac:dyDescent="0.3">
      <c r="A715" t="str">
        <f t="shared" si="11"/>
        <v>CASE-0714</v>
      </c>
      <c r="B715" s="1">
        <v>45609</v>
      </c>
      <c r="C715" t="s">
        <v>11</v>
      </c>
      <c r="D715">
        <v>5</v>
      </c>
      <c r="E715" t="b">
        <v>0</v>
      </c>
      <c r="F715" s="2">
        <v>33.144858257490519</v>
      </c>
      <c r="G715" t="b">
        <v>0</v>
      </c>
      <c r="H715" t="s">
        <v>28</v>
      </c>
      <c r="I715" t="s">
        <v>33</v>
      </c>
    </row>
    <row r="716" spans="1:9" x14ac:dyDescent="0.3">
      <c r="A716" t="str">
        <f t="shared" si="11"/>
        <v>CASE-0715</v>
      </c>
      <c r="B716" s="1">
        <v>45894</v>
      </c>
      <c r="C716" t="s">
        <v>11</v>
      </c>
      <c r="D716">
        <v>5</v>
      </c>
      <c r="E716" t="b">
        <v>1</v>
      </c>
      <c r="F716" s="2">
        <v>19.220877729444425</v>
      </c>
      <c r="G716" t="b">
        <v>0</v>
      </c>
      <c r="H716" t="s">
        <v>19</v>
      </c>
      <c r="I716" t="s">
        <v>33</v>
      </c>
    </row>
    <row r="717" spans="1:9" x14ac:dyDescent="0.3">
      <c r="A717" t="str">
        <f t="shared" si="11"/>
        <v>CASE-0716</v>
      </c>
      <c r="B717" s="1">
        <v>45975</v>
      </c>
      <c r="C717" t="s">
        <v>11</v>
      </c>
      <c r="D717">
        <v>4</v>
      </c>
      <c r="E717" t="b">
        <v>1</v>
      </c>
      <c r="F717" s="2">
        <v>7.7085476511438458</v>
      </c>
      <c r="G717" t="b">
        <v>0</v>
      </c>
      <c r="H717" t="s">
        <v>18</v>
      </c>
      <c r="I717" t="s">
        <v>34</v>
      </c>
    </row>
    <row r="718" spans="1:9" x14ac:dyDescent="0.3">
      <c r="A718" t="str">
        <f t="shared" si="11"/>
        <v>CASE-0717</v>
      </c>
      <c r="B718" s="1">
        <v>46070</v>
      </c>
      <c r="C718" t="s">
        <v>9</v>
      </c>
      <c r="D718">
        <v>1</v>
      </c>
      <c r="E718" t="b">
        <v>1</v>
      </c>
      <c r="F718" s="2">
        <v>22.574026515483812</v>
      </c>
      <c r="G718" t="b">
        <v>0</v>
      </c>
      <c r="H718" t="s">
        <v>15</v>
      </c>
      <c r="I718" t="s">
        <v>33</v>
      </c>
    </row>
    <row r="719" spans="1:9" x14ac:dyDescent="0.3">
      <c r="A719" t="str">
        <f t="shared" si="11"/>
        <v>CASE-0718</v>
      </c>
      <c r="B719" s="1">
        <v>46033</v>
      </c>
      <c r="C719" t="s">
        <v>10</v>
      </c>
      <c r="D719">
        <v>5</v>
      </c>
      <c r="E719" t="b">
        <v>1</v>
      </c>
      <c r="F719" s="2">
        <v>33.512612884687812</v>
      </c>
      <c r="G719" t="b">
        <v>0</v>
      </c>
      <c r="H719" t="s">
        <v>30</v>
      </c>
      <c r="I719" t="s">
        <v>33</v>
      </c>
    </row>
    <row r="720" spans="1:9" x14ac:dyDescent="0.3">
      <c r="A720" t="str">
        <f t="shared" si="11"/>
        <v>CASE-0719</v>
      </c>
      <c r="B720" s="1">
        <v>45915</v>
      </c>
      <c r="C720" t="s">
        <v>10</v>
      </c>
      <c r="D720">
        <v>1</v>
      </c>
      <c r="E720" t="b">
        <v>1</v>
      </c>
      <c r="F720" s="2">
        <v>5.8562668766649582</v>
      </c>
      <c r="G720" t="b">
        <v>0</v>
      </c>
      <c r="H720" t="s">
        <v>30</v>
      </c>
      <c r="I720" t="s">
        <v>34</v>
      </c>
    </row>
    <row r="721" spans="1:9" x14ac:dyDescent="0.3">
      <c r="A721" t="str">
        <f t="shared" si="11"/>
        <v>CASE-0720</v>
      </c>
      <c r="B721" s="1">
        <v>45851</v>
      </c>
      <c r="C721" t="s">
        <v>11</v>
      </c>
      <c r="D721">
        <v>1</v>
      </c>
      <c r="E721" t="b">
        <v>1</v>
      </c>
      <c r="F721" s="2">
        <v>6.4701304672480511</v>
      </c>
      <c r="G721" t="b">
        <v>0</v>
      </c>
      <c r="H721" t="s">
        <v>18</v>
      </c>
      <c r="I721" t="s">
        <v>34</v>
      </c>
    </row>
    <row r="722" spans="1:9" x14ac:dyDescent="0.3">
      <c r="A722" t="str">
        <f t="shared" si="11"/>
        <v>CASE-0721</v>
      </c>
      <c r="B722" s="1">
        <v>45741</v>
      </c>
      <c r="C722" t="s">
        <v>12</v>
      </c>
      <c r="D722">
        <v>1</v>
      </c>
      <c r="E722" t="b">
        <v>0</v>
      </c>
      <c r="F722" s="2">
        <v>5.6406783617242748</v>
      </c>
      <c r="G722" t="b">
        <v>0</v>
      </c>
      <c r="H722" t="s">
        <v>18</v>
      </c>
      <c r="I722" t="s">
        <v>35</v>
      </c>
    </row>
    <row r="723" spans="1:9" x14ac:dyDescent="0.3">
      <c r="A723" t="str">
        <f t="shared" si="11"/>
        <v>CASE-0722</v>
      </c>
      <c r="B723" s="1">
        <v>45902</v>
      </c>
      <c r="C723" t="s">
        <v>10</v>
      </c>
      <c r="D723">
        <v>4</v>
      </c>
      <c r="E723" t="b">
        <v>0</v>
      </c>
      <c r="F723" s="2">
        <v>4.576395810243711</v>
      </c>
      <c r="G723" t="b">
        <v>0</v>
      </c>
      <c r="H723" t="s">
        <v>14</v>
      </c>
      <c r="I723" t="s">
        <v>34</v>
      </c>
    </row>
    <row r="724" spans="1:9" x14ac:dyDescent="0.3">
      <c r="A724" t="str">
        <f t="shared" si="11"/>
        <v>CASE-0723</v>
      </c>
      <c r="B724" s="1">
        <v>45886</v>
      </c>
      <c r="C724" t="s">
        <v>12</v>
      </c>
      <c r="D724">
        <v>3</v>
      </c>
      <c r="E724" t="b">
        <v>1</v>
      </c>
      <c r="F724" s="2">
        <v>6.6862236874769989</v>
      </c>
      <c r="G724" t="b">
        <v>0</v>
      </c>
      <c r="H724" t="s">
        <v>19</v>
      </c>
      <c r="I724" t="s">
        <v>34</v>
      </c>
    </row>
    <row r="725" spans="1:9" x14ac:dyDescent="0.3">
      <c r="A725" t="str">
        <f t="shared" si="11"/>
        <v>CASE-0724</v>
      </c>
      <c r="B725" s="1">
        <v>46026</v>
      </c>
      <c r="C725" t="s">
        <v>10</v>
      </c>
      <c r="D725">
        <v>5</v>
      </c>
      <c r="E725" t="b">
        <v>1</v>
      </c>
      <c r="F725" s="2">
        <v>6.6886711985355332</v>
      </c>
      <c r="G725" t="b">
        <v>0</v>
      </c>
      <c r="H725" t="s">
        <v>27</v>
      </c>
      <c r="I725" t="s">
        <v>34</v>
      </c>
    </row>
    <row r="726" spans="1:9" x14ac:dyDescent="0.3">
      <c r="A726" t="str">
        <f t="shared" si="11"/>
        <v>CASE-0725</v>
      </c>
      <c r="B726" s="1">
        <v>46061</v>
      </c>
      <c r="C726" t="s">
        <v>11</v>
      </c>
      <c r="D726">
        <v>3</v>
      </c>
      <c r="E726" t="b">
        <v>1</v>
      </c>
      <c r="F726" s="2">
        <v>4.2560209115608831</v>
      </c>
      <c r="G726" t="b">
        <v>0</v>
      </c>
      <c r="H726" t="s">
        <v>19</v>
      </c>
      <c r="I726" t="s">
        <v>34</v>
      </c>
    </row>
    <row r="727" spans="1:9" x14ac:dyDescent="0.3">
      <c r="A727" t="str">
        <f t="shared" si="11"/>
        <v>CASE-0726</v>
      </c>
      <c r="B727" s="1">
        <v>45539</v>
      </c>
      <c r="C727" t="s">
        <v>12</v>
      </c>
      <c r="D727">
        <v>5</v>
      </c>
      <c r="E727" t="b">
        <v>0</v>
      </c>
      <c r="F727" s="2">
        <v>24.063274418080354</v>
      </c>
      <c r="G727" t="b">
        <v>0</v>
      </c>
      <c r="H727" t="s">
        <v>22</v>
      </c>
      <c r="I727" t="s">
        <v>33</v>
      </c>
    </row>
    <row r="728" spans="1:9" x14ac:dyDescent="0.3">
      <c r="A728" t="str">
        <f t="shared" si="11"/>
        <v>CASE-0727</v>
      </c>
      <c r="B728" s="1">
        <v>46144</v>
      </c>
      <c r="C728" t="s">
        <v>9</v>
      </c>
      <c r="D728">
        <v>3</v>
      </c>
      <c r="E728" t="b">
        <v>1</v>
      </c>
      <c r="F728" s="2">
        <v>4.023043693178054</v>
      </c>
      <c r="G728" t="b">
        <v>0</v>
      </c>
      <c r="H728" t="s">
        <v>20</v>
      </c>
      <c r="I728" t="s">
        <v>34</v>
      </c>
    </row>
    <row r="729" spans="1:9" x14ac:dyDescent="0.3">
      <c r="A729" t="str">
        <f t="shared" si="11"/>
        <v>CASE-0728</v>
      </c>
      <c r="B729" s="1">
        <v>45485</v>
      </c>
      <c r="C729" t="s">
        <v>9</v>
      </c>
      <c r="D729">
        <v>3</v>
      </c>
      <c r="E729" t="b">
        <v>0</v>
      </c>
      <c r="F729" s="2">
        <v>22.048983488953144</v>
      </c>
      <c r="G729" t="b">
        <v>0</v>
      </c>
      <c r="H729" t="s">
        <v>28</v>
      </c>
      <c r="I729" t="s">
        <v>33</v>
      </c>
    </row>
    <row r="730" spans="1:9" x14ac:dyDescent="0.3">
      <c r="A730" t="str">
        <f t="shared" si="11"/>
        <v>CASE-0729</v>
      </c>
      <c r="B730" s="1">
        <v>45561</v>
      </c>
      <c r="C730" t="s">
        <v>10</v>
      </c>
      <c r="D730">
        <v>3</v>
      </c>
      <c r="E730" t="b">
        <v>0</v>
      </c>
      <c r="F730" s="2">
        <v>23.570190006857263</v>
      </c>
      <c r="G730" t="b">
        <v>0</v>
      </c>
      <c r="H730" t="s">
        <v>28</v>
      </c>
      <c r="I730" t="s">
        <v>33</v>
      </c>
    </row>
    <row r="731" spans="1:9" x14ac:dyDescent="0.3">
      <c r="A731" t="str">
        <f t="shared" si="11"/>
        <v>CASE-0730</v>
      </c>
      <c r="B731" s="1">
        <v>45579</v>
      </c>
      <c r="C731" t="s">
        <v>12</v>
      </c>
      <c r="D731">
        <v>5</v>
      </c>
      <c r="E731" t="b">
        <v>0</v>
      </c>
      <c r="F731" s="2">
        <v>32.669686280912444</v>
      </c>
      <c r="G731" t="b">
        <v>0</v>
      </c>
      <c r="H731" t="s">
        <v>28</v>
      </c>
      <c r="I731" t="s">
        <v>33</v>
      </c>
    </row>
    <row r="732" spans="1:9" x14ac:dyDescent="0.3">
      <c r="A732" t="str">
        <f t="shared" si="11"/>
        <v>CASE-0731</v>
      </c>
      <c r="B732" s="1">
        <v>45589</v>
      </c>
      <c r="C732" t="s">
        <v>12</v>
      </c>
      <c r="D732">
        <v>1</v>
      </c>
      <c r="E732" t="b">
        <v>0</v>
      </c>
      <c r="F732" s="2">
        <v>14.543913625169443</v>
      </c>
      <c r="G732" t="b">
        <v>0</v>
      </c>
      <c r="H732" t="s">
        <v>21</v>
      </c>
      <c r="I732" t="s">
        <v>33</v>
      </c>
    </row>
    <row r="733" spans="1:9" x14ac:dyDescent="0.3">
      <c r="A733" t="str">
        <f t="shared" si="11"/>
        <v>CASE-0732</v>
      </c>
      <c r="B733" s="1">
        <v>46178</v>
      </c>
      <c r="C733" t="s">
        <v>10</v>
      </c>
      <c r="D733">
        <v>2</v>
      </c>
      <c r="E733" t="b">
        <v>1</v>
      </c>
      <c r="F733" s="2">
        <v>5.9644487741406476</v>
      </c>
      <c r="G733" t="b">
        <v>0</v>
      </c>
      <c r="H733" t="s">
        <v>23</v>
      </c>
      <c r="I733" t="s">
        <v>34</v>
      </c>
    </row>
    <row r="734" spans="1:9" x14ac:dyDescent="0.3">
      <c r="A734" t="str">
        <f t="shared" si="11"/>
        <v>CASE-0733</v>
      </c>
      <c r="B734" s="1">
        <v>46094</v>
      </c>
      <c r="C734" t="s">
        <v>9</v>
      </c>
      <c r="D734">
        <v>5</v>
      </c>
      <c r="E734" t="b">
        <v>1</v>
      </c>
      <c r="F734" s="2">
        <v>6.1333057832671338</v>
      </c>
      <c r="G734" t="b">
        <v>0</v>
      </c>
      <c r="H734" t="s">
        <v>18</v>
      </c>
      <c r="I734" t="s">
        <v>34</v>
      </c>
    </row>
    <row r="735" spans="1:9" x14ac:dyDescent="0.3">
      <c r="A735" t="str">
        <f t="shared" si="11"/>
        <v>CASE-0734</v>
      </c>
      <c r="B735" s="1">
        <v>45605</v>
      </c>
      <c r="C735" t="s">
        <v>9</v>
      </c>
      <c r="D735">
        <v>4</v>
      </c>
      <c r="E735" t="b">
        <v>0</v>
      </c>
      <c r="F735" s="2">
        <v>31.424370732439076</v>
      </c>
      <c r="G735" t="b">
        <v>0</v>
      </c>
      <c r="H735" t="s">
        <v>19</v>
      </c>
      <c r="I735" t="s">
        <v>33</v>
      </c>
    </row>
    <row r="736" spans="1:9" x14ac:dyDescent="0.3">
      <c r="A736" t="str">
        <f t="shared" si="11"/>
        <v>CASE-0735</v>
      </c>
      <c r="B736" s="1">
        <v>45697</v>
      </c>
      <c r="C736" t="s">
        <v>11</v>
      </c>
      <c r="D736">
        <v>5</v>
      </c>
      <c r="E736" t="b">
        <v>1</v>
      </c>
      <c r="F736" s="2">
        <v>20.838842778163965</v>
      </c>
      <c r="G736" t="b">
        <v>0</v>
      </c>
      <c r="H736" t="s">
        <v>28</v>
      </c>
      <c r="I736" t="s">
        <v>33</v>
      </c>
    </row>
    <row r="737" spans="1:9" x14ac:dyDescent="0.3">
      <c r="A737" t="str">
        <f t="shared" si="11"/>
        <v>CASE-0736</v>
      </c>
      <c r="B737" s="1">
        <v>46154</v>
      </c>
      <c r="C737" t="s">
        <v>10</v>
      </c>
      <c r="D737">
        <v>1</v>
      </c>
      <c r="E737" t="b">
        <v>1</v>
      </c>
      <c r="F737" s="2">
        <v>7.5768948298957834</v>
      </c>
      <c r="G737" t="b">
        <v>0</v>
      </c>
      <c r="H737" t="s">
        <v>32</v>
      </c>
      <c r="I737" t="s">
        <v>34</v>
      </c>
    </row>
    <row r="738" spans="1:9" x14ac:dyDescent="0.3">
      <c r="A738" t="str">
        <f t="shared" si="11"/>
        <v>CASE-0737</v>
      </c>
      <c r="B738" s="1">
        <v>45602</v>
      </c>
      <c r="C738" t="s">
        <v>12</v>
      </c>
      <c r="D738">
        <v>3</v>
      </c>
      <c r="E738" t="b">
        <v>0</v>
      </c>
      <c r="F738" s="2">
        <v>24.229896083458947</v>
      </c>
      <c r="G738" t="b">
        <v>0</v>
      </c>
      <c r="H738" t="s">
        <v>19</v>
      </c>
      <c r="I738" t="s">
        <v>33</v>
      </c>
    </row>
    <row r="739" spans="1:9" x14ac:dyDescent="0.3">
      <c r="A739" t="str">
        <f t="shared" si="11"/>
        <v>CASE-0738</v>
      </c>
      <c r="B739" s="1">
        <v>45845</v>
      </c>
      <c r="C739" t="s">
        <v>10</v>
      </c>
      <c r="D739">
        <v>1</v>
      </c>
      <c r="E739" t="b">
        <v>0</v>
      </c>
      <c r="F739" s="2">
        <v>8.2058247034422909</v>
      </c>
      <c r="G739" t="b">
        <v>0</v>
      </c>
      <c r="H739" t="s">
        <v>19</v>
      </c>
      <c r="I739" t="s">
        <v>34</v>
      </c>
    </row>
    <row r="740" spans="1:9" x14ac:dyDescent="0.3">
      <c r="A740" t="str">
        <f t="shared" si="11"/>
        <v>CASE-0739</v>
      </c>
      <c r="B740" s="1">
        <v>46051</v>
      </c>
      <c r="C740" t="s">
        <v>11</v>
      </c>
      <c r="D740">
        <v>2</v>
      </c>
      <c r="E740" t="b">
        <v>0</v>
      </c>
      <c r="F740" s="2">
        <v>5.0591606130302322</v>
      </c>
      <c r="G740" t="b">
        <v>0</v>
      </c>
      <c r="H740" t="s">
        <v>32</v>
      </c>
      <c r="I740" t="s">
        <v>34</v>
      </c>
    </row>
    <row r="741" spans="1:9" x14ac:dyDescent="0.3">
      <c r="A741" t="str">
        <f t="shared" si="11"/>
        <v>CASE-0740</v>
      </c>
      <c r="B741" s="1">
        <v>45839</v>
      </c>
      <c r="C741" t="s">
        <v>12</v>
      </c>
      <c r="D741">
        <v>1</v>
      </c>
      <c r="E741" t="b">
        <v>1</v>
      </c>
      <c r="F741" s="2">
        <v>32.953108486624075</v>
      </c>
      <c r="G741" t="b">
        <v>0</v>
      </c>
      <c r="H741" t="s">
        <v>17</v>
      </c>
      <c r="I741" t="s">
        <v>33</v>
      </c>
    </row>
    <row r="742" spans="1:9" x14ac:dyDescent="0.3">
      <c r="A742" t="str">
        <f t="shared" si="11"/>
        <v>CASE-0741</v>
      </c>
      <c r="B742" s="1">
        <v>45494</v>
      </c>
      <c r="C742" t="s">
        <v>11</v>
      </c>
      <c r="D742">
        <v>4</v>
      </c>
      <c r="E742" t="b">
        <v>0</v>
      </c>
      <c r="F742" s="2">
        <v>19.173390447446568</v>
      </c>
      <c r="G742" t="b">
        <v>0</v>
      </c>
      <c r="H742" t="s">
        <v>20</v>
      </c>
      <c r="I742" t="s">
        <v>33</v>
      </c>
    </row>
    <row r="743" spans="1:9" x14ac:dyDescent="0.3">
      <c r="A743" t="str">
        <f t="shared" si="11"/>
        <v>CASE-0742</v>
      </c>
      <c r="B743" s="1">
        <v>45601</v>
      </c>
      <c r="C743" t="s">
        <v>11</v>
      </c>
      <c r="D743">
        <v>3</v>
      </c>
      <c r="E743" t="b">
        <v>0</v>
      </c>
      <c r="F743" s="2">
        <v>39.202728838629213</v>
      </c>
      <c r="G743" t="b">
        <v>0</v>
      </c>
      <c r="H743" t="s">
        <v>26</v>
      </c>
      <c r="I743" t="s">
        <v>33</v>
      </c>
    </row>
    <row r="744" spans="1:9" x14ac:dyDescent="0.3">
      <c r="A744" t="str">
        <f t="shared" si="11"/>
        <v>CASE-0743</v>
      </c>
      <c r="B744" s="1">
        <v>45726</v>
      </c>
      <c r="C744" t="s">
        <v>11</v>
      </c>
      <c r="D744">
        <v>3</v>
      </c>
      <c r="E744" t="b">
        <v>1</v>
      </c>
      <c r="F744" s="2">
        <v>4.3114634719625409</v>
      </c>
      <c r="G744" t="b">
        <v>0</v>
      </c>
      <c r="H744" t="s">
        <v>13</v>
      </c>
      <c r="I744" t="s">
        <v>34</v>
      </c>
    </row>
    <row r="745" spans="1:9" x14ac:dyDescent="0.3">
      <c r="A745" t="str">
        <f t="shared" si="11"/>
        <v>CASE-0744</v>
      </c>
      <c r="B745" s="1">
        <v>45564</v>
      </c>
      <c r="C745" t="s">
        <v>12</v>
      </c>
      <c r="D745">
        <v>2</v>
      </c>
      <c r="E745" t="b">
        <v>0</v>
      </c>
      <c r="F745" s="2">
        <v>28.896885658667074</v>
      </c>
      <c r="G745" t="b">
        <v>0</v>
      </c>
      <c r="H745" t="s">
        <v>14</v>
      </c>
      <c r="I745" t="s">
        <v>33</v>
      </c>
    </row>
    <row r="746" spans="1:9" x14ac:dyDescent="0.3">
      <c r="A746" t="str">
        <f t="shared" si="11"/>
        <v>CASE-0745</v>
      </c>
      <c r="B746" s="1">
        <v>45651</v>
      </c>
      <c r="C746" t="s">
        <v>10</v>
      </c>
      <c r="D746">
        <v>1</v>
      </c>
      <c r="E746" t="b">
        <v>0</v>
      </c>
      <c r="F746" s="2">
        <v>18.786264965579811</v>
      </c>
      <c r="G746" t="b">
        <v>0</v>
      </c>
      <c r="H746" t="s">
        <v>31</v>
      </c>
      <c r="I746" t="s">
        <v>33</v>
      </c>
    </row>
    <row r="747" spans="1:9" x14ac:dyDescent="0.3">
      <c r="A747" t="str">
        <f t="shared" si="11"/>
        <v>CASE-0746</v>
      </c>
      <c r="B747" s="1">
        <v>45942</v>
      </c>
      <c r="C747" t="s">
        <v>9</v>
      </c>
      <c r="D747">
        <v>5</v>
      </c>
      <c r="E747" t="b">
        <v>1</v>
      </c>
      <c r="F747" s="2">
        <v>5.7768207556759155</v>
      </c>
      <c r="G747" t="b">
        <v>0</v>
      </c>
      <c r="H747" t="s">
        <v>29</v>
      </c>
      <c r="I747" t="s">
        <v>34</v>
      </c>
    </row>
    <row r="748" spans="1:9" x14ac:dyDescent="0.3">
      <c r="A748" t="str">
        <f t="shared" si="11"/>
        <v>CASE-0747</v>
      </c>
      <c r="B748" s="1">
        <v>45544</v>
      </c>
      <c r="C748" t="s">
        <v>10</v>
      </c>
      <c r="D748">
        <v>4</v>
      </c>
      <c r="E748" t="b">
        <v>0</v>
      </c>
      <c r="F748" s="2">
        <v>21.064450978588638</v>
      </c>
      <c r="G748" t="b">
        <v>0</v>
      </c>
      <c r="H748" t="s">
        <v>24</v>
      </c>
      <c r="I748" t="s">
        <v>33</v>
      </c>
    </row>
    <row r="749" spans="1:9" x14ac:dyDescent="0.3">
      <c r="A749" t="str">
        <f t="shared" si="11"/>
        <v>CASE-0748</v>
      </c>
      <c r="B749" s="1">
        <v>45499</v>
      </c>
      <c r="C749" t="s">
        <v>10</v>
      </c>
      <c r="D749">
        <v>4</v>
      </c>
      <c r="E749" t="b">
        <v>0</v>
      </c>
      <c r="F749" s="2">
        <v>13.864847928921332</v>
      </c>
      <c r="G749" t="b">
        <v>0</v>
      </c>
      <c r="H749" t="s">
        <v>21</v>
      </c>
      <c r="I749" t="s">
        <v>33</v>
      </c>
    </row>
    <row r="750" spans="1:9" x14ac:dyDescent="0.3">
      <c r="A750" t="str">
        <f t="shared" si="11"/>
        <v>CASE-0749</v>
      </c>
      <c r="B750" s="1">
        <v>45772</v>
      </c>
      <c r="C750" t="s">
        <v>10</v>
      </c>
      <c r="D750">
        <v>5</v>
      </c>
      <c r="E750" t="b">
        <v>0</v>
      </c>
      <c r="F750" s="2">
        <v>7.0202996039099617</v>
      </c>
      <c r="G750" t="b">
        <v>0</v>
      </c>
      <c r="H750" t="s">
        <v>14</v>
      </c>
      <c r="I750" t="s">
        <v>34</v>
      </c>
    </row>
    <row r="751" spans="1:9" x14ac:dyDescent="0.3">
      <c r="A751" t="str">
        <f t="shared" si="11"/>
        <v>CASE-0750</v>
      </c>
      <c r="B751" s="1">
        <v>45961</v>
      </c>
      <c r="C751" t="s">
        <v>11</v>
      </c>
      <c r="D751">
        <v>5</v>
      </c>
      <c r="E751" t="b">
        <v>1</v>
      </c>
      <c r="F751" s="2">
        <v>40.39058585813067</v>
      </c>
      <c r="G751" t="b">
        <v>0</v>
      </c>
      <c r="H751" t="s">
        <v>28</v>
      </c>
      <c r="I751" t="s">
        <v>33</v>
      </c>
    </row>
    <row r="752" spans="1:9" x14ac:dyDescent="0.3">
      <c r="A752" t="str">
        <f t="shared" si="11"/>
        <v>CASE-0751</v>
      </c>
      <c r="B752" s="1">
        <v>45926</v>
      </c>
      <c r="C752" t="s">
        <v>12</v>
      </c>
      <c r="D752">
        <v>1</v>
      </c>
      <c r="E752" t="b">
        <v>0</v>
      </c>
      <c r="F752" s="2">
        <v>6.6720471185082353</v>
      </c>
      <c r="G752" t="b">
        <v>0</v>
      </c>
      <c r="H752" t="s">
        <v>28</v>
      </c>
      <c r="I752" t="s">
        <v>34</v>
      </c>
    </row>
    <row r="753" spans="1:9" x14ac:dyDescent="0.3">
      <c r="A753" t="str">
        <f t="shared" si="11"/>
        <v>CASE-0752</v>
      </c>
      <c r="B753" s="1">
        <v>45914</v>
      </c>
      <c r="C753" t="s">
        <v>10</v>
      </c>
      <c r="D753">
        <v>1</v>
      </c>
      <c r="E753" t="b">
        <v>0</v>
      </c>
      <c r="F753" s="2">
        <v>5.7842429177018335</v>
      </c>
      <c r="G753" t="b">
        <v>0</v>
      </c>
      <c r="H753" t="s">
        <v>24</v>
      </c>
      <c r="I753" t="s">
        <v>34</v>
      </c>
    </row>
    <row r="754" spans="1:9" x14ac:dyDescent="0.3">
      <c r="A754" t="str">
        <f t="shared" si="11"/>
        <v>CASE-0753</v>
      </c>
      <c r="B754" s="1">
        <v>46010</v>
      </c>
      <c r="C754" t="s">
        <v>10</v>
      </c>
      <c r="D754">
        <v>1</v>
      </c>
      <c r="E754" t="b">
        <v>1</v>
      </c>
      <c r="F754" s="2">
        <v>10.66471632521484</v>
      </c>
      <c r="G754" t="b">
        <v>0</v>
      </c>
      <c r="H754" t="s">
        <v>30</v>
      </c>
      <c r="I754" t="s">
        <v>34</v>
      </c>
    </row>
    <row r="755" spans="1:9" x14ac:dyDescent="0.3">
      <c r="A755" t="str">
        <f t="shared" si="11"/>
        <v>CASE-0754</v>
      </c>
      <c r="B755" s="1">
        <v>45519</v>
      </c>
      <c r="C755" t="s">
        <v>9</v>
      </c>
      <c r="D755">
        <v>4</v>
      </c>
      <c r="E755" t="b">
        <v>0</v>
      </c>
      <c r="F755" s="2">
        <v>30.781069934457257</v>
      </c>
      <c r="G755" t="b">
        <v>0</v>
      </c>
      <c r="H755" t="s">
        <v>17</v>
      </c>
      <c r="I755" t="s">
        <v>33</v>
      </c>
    </row>
    <row r="756" spans="1:9" x14ac:dyDescent="0.3">
      <c r="A756" t="str">
        <f t="shared" si="11"/>
        <v>CASE-0755</v>
      </c>
      <c r="B756" s="1">
        <v>46131</v>
      </c>
      <c r="C756" t="s">
        <v>11</v>
      </c>
      <c r="D756">
        <v>5</v>
      </c>
      <c r="E756" t="b">
        <v>0</v>
      </c>
      <c r="F756" s="2">
        <v>5.7790247677914239</v>
      </c>
      <c r="G756" t="b">
        <v>0</v>
      </c>
      <c r="H756" t="s">
        <v>22</v>
      </c>
      <c r="I756" t="s">
        <v>34</v>
      </c>
    </row>
    <row r="757" spans="1:9" x14ac:dyDescent="0.3">
      <c r="A757" t="str">
        <f t="shared" si="11"/>
        <v>CASE-0756</v>
      </c>
      <c r="B757" s="1">
        <v>45868</v>
      </c>
      <c r="C757" t="s">
        <v>11</v>
      </c>
      <c r="D757">
        <v>1</v>
      </c>
      <c r="E757" t="b">
        <v>0</v>
      </c>
      <c r="F757" s="2">
        <v>19.848424931398586</v>
      </c>
      <c r="G757" t="b">
        <v>0</v>
      </c>
      <c r="H757" t="s">
        <v>19</v>
      </c>
      <c r="I757" t="s">
        <v>33</v>
      </c>
    </row>
    <row r="758" spans="1:9" x14ac:dyDescent="0.3">
      <c r="A758" t="str">
        <f t="shared" si="11"/>
        <v>CASE-0757</v>
      </c>
      <c r="B758" s="1">
        <v>45494</v>
      </c>
      <c r="C758" t="s">
        <v>9</v>
      </c>
      <c r="D758">
        <v>1</v>
      </c>
      <c r="E758" t="b">
        <v>0</v>
      </c>
      <c r="F758" s="2">
        <v>23.122676379204371</v>
      </c>
      <c r="G758" t="b">
        <v>0</v>
      </c>
      <c r="H758" t="s">
        <v>31</v>
      </c>
      <c r="I758" t="s">
        <v>33</v>
      </c>
    </row>
    <row r="759" spans="1:9" x14ac:dyDescent="0.3">
      <c r="A759" t="str">
        <f t="shared" si="11"/>
        <v>CASE-0758</v>
      </c>
      <c r="B759" s="1">
        <v>45894</v>
      </c>
      <c r="C759" t="s">
        <v>9</v>
      </c>
      <c r="D759">
        <v>2</v>
      </c>
      <c r="E759" t="b">
        <v>1</v>
      </c>
      <c r="F759" s="2">
        <v>6.9335254310319794</v>
      </c>
      <c r="G759" t="b">
        <v>0</v>
      </c>
      <c r="H759" t="s">
        <v>32</v>
      </c>
      <c r="I759" t="s">
        <v>34</v>
      </c>
    </row>
    <row r="760" spans="1:9" x14ac:dyDescent="0.3">
      <c r="A760" t="str">
        <f t="shared" si="11"/>
        <v>CASE-0759</v>
      </c>
      <c r="B760" s="1">
        <v>45694</v>
      </c>
      <c r="C760" t="s">
        <v>12</v>
      </c>
      <c r="D760">
        <v>3</v>
      </c>
      <c r="E760" t="b">
        <v>1</v>
      </c>
      <c r="F760" s="2">
        <v>7.3797421233518214</v>
      </c>
      <c r="G760" t="b">
        <v>0</v>
      </c>
      <c r="H760" t="s">
        <v>17</v>
      </c>
      <c r="I760" t="s">
        <v>34</v>
      </c>
    </row>
    <row r="761" spans="1:9" x14ac:dyDescent="0.3">
      <c r="A761" t="str">
        <f t="shared" si="11"/>
        <v>CASE-0760</v>
      </c>
      <c r="B761" s="1">
        <v>46048</v>
      </c>
      <c r="C761" t="s">
        <v>10</v>
      </c>
      <c r="D761">
        <v>3</v>
      </c>
      <c r="E761" t="b">
        <v>1</v>
      </c>
      <c r="F761" s="2">
        <v>6.1429571884210254</v>
      </c>
      <c r="G761" t="b">
        <v>0</v>
      </c>
      <c r="H761" t="s">
        <v>30</v>
      </c>
      <c r="I761" t="s">
        <v>34</v>
      </c>
    </row>
    <row r="762" spans="1:9" x14ac:dyDescent="0.3">
      <c r="A762" t="str">
        <f t="shared" si="11"/>
        <v>CASE-0761</v>
      </c>
      <c r="B762" s="1">
        <v>45951</v>
      </c>
      <c r="C762" t="s">
        <v>10</v>
      </c>
      <c r="D762">
        <v>4</v>
      </c>
      <c r="E762" t="b">
        <v>1</v>
      </c>
      <c r="F762" s="2">
        <v>7.3856261109128223</v>
      </c>
      <c r="G762" t="b">
        <v>0</v>
      </c>
      <c r="H762" t="s">
        <v>26</v>
      </c>
      <c r="I762" t="s">
        <v>34</v>
      </c>
    </row>
    <row r="763" spans="1:9" x14ac:dyDescent="0.3">
      <c r="A763" t="str">
        <f t="shared" si="11"/>
        <v>CASE-0762</v>
      </c>
      <c r="B763" s="1">
        <v>45727</v>
      </c>
      <c r="C763" t="s">
        <v>12</v>
      </c>
      <c r="D763">
        <v>5</v>
      </c>
      <c r="E763" t="b">
        <v>1</v>
      </c>
      <c r="F763" s="2">
        <v>6.0768827480047207</v>
      </c>
      <c r="G763" t="b">
        <v>0</v>
      </c>
      <c r="H763" t="s">
        <v>31</v>
      </c>
      <c r="I763" t="s">
        <v>34</v>
      </c>
    </row>
    <row r="764" spans="1:9" x14ac:dyDescent="0.3">
      <c r="A764" t="str">
        <f t="shared" si="11"/>
        <v>CASE-0763</v>
      </c>
      <c r="B764" s="1">
        <v>45508</v>
      </c>
      <c r="C764" t="s">
        <v>11</v>
      </c>
      <c r="D764">
        <v>4</v>
      </c>
      <c r="E764" t="b">
        <v>0</v>
      </c>
      <c r="F764" s="2">
        <v>27.01937851342506</v>
      </c>
      <c r="G764" t="b">
        <v>0</v>
      </c>
      <c r="H764" t="s">
        <v>28</v>
      </c>
      <c r="I764" t="s">
        <v>33</v>
      </c>
    </row>
    <row r="765" spans="1:9" x14ac:dyDescent="0.3">
      <c r="A765" t="str">
        <f t="shared" si="11"/>
        <v>CASE-0764</v>
      </c>
      <c r="B765" s="1">
        <v>45675</v>
      </c>
      <c r="C765" t="s">
        <v>12</v>
      </c>
      <c r="D765">
        <v>5</v>
      </c>
      <c r="E765" t="b">
        <v>1</v>
      </c>
      <c r="F765" s="2">
        <v>8.1500377663328489</v>
      </c>
      <c r="G765" t="b">
        <v>0</v>
      </c>
      <c r="H765" t="s">
        <v>18</v>
      </c>
      <c r="I765" t="s">
        <v>34</v>
      </c>
    </row>
    <row r="766" spans="1:9" x14ac:dyDescent="0.3">
      <c r="A766" t="str">
        <f t="shared" si="11"/>
        <v>CASE-0765</v>
      </c>
      <c r="B766" s="1">
        <v>45973</v>
      </c>
      <c r="C766" t="s">
        <v>10</v>
      </c>
      <c r="D766">
        <v>1</v>
      </c>
      <c r="E766" t="b">
        <v>1</v>
      </c>
      <c r="F766" s="2">
        <v>8.014229755573858</v>
      </c>
      <c r="G766" t="b">
        <v>0</v>
      </c>
      <c r="H766" t="s">
        <v>30</v>
      </c>
      <c r="I766" t="s">
        <v>35</v>
      </c>
    </row>
    <row r="767" spans="1:9" x14ac:dyDescent="0.3">
      <c r="A767" t="str">
        <f t="shared" si="11"/>
        <v>CASE-0766</v>
      </c>
      <c r="B767" s="1">
        <v>45780</v>
      </c>
      <c r="C767" t="s">
        <v>10</v>
      </c>
      <c r="D767">
        <v>5</v>
      </c>
      <c r="E767" t="b">
        <v>1</v>
      </c>
      <c r="F767" s="2">
        <v>3.8246922944294068</v>
      </c>
      <c r="G767" t="b">
        <v>0</v>
      </c>
      <c r="H767" t="s">
        <v>22</v>
      </c>
      <c r="I767" t="s">
        <v>34</v>
      </c>
    </row>
    <row r="768" spans="1:9" x14ac:dyDescent="0.3">
      <c r="A768" t="str">
        <f t="shared" si="11"/>
        <v>CASE-0767</v>
      </c>
      <c r="B768" s="1">
        <v>45931</v>
      </c>
      <c r="C768" t="s">
        <v>10</v>
      </c>
      <c r="D768">
        <v>2</v>
      </c>
      <c r="E768" t="b">
        <v>1</v>
      </c>
      <c r="F768" s="2">
        <v>3.6196867812789519</v>
      </c>
      <c r="G768" t="b">
        <v>0</v>
      </c>
      <c r="H768" t="s">
        <v>19</v>
      </c>
      <c r="I768" t="s">
        <v>34</v>
      </c>
    </row>
    <row r="769" spans="1:9" x14ac:dyDescent="0.3">
      <c r="A769" t="str">
        <f t="shared" si="11"/>
        <v>CASE-0768</v>
      </c>
      <c r="B769" s="1">
        <v>45994</v>
      </c>
      <c r="C769" t="s">
        <v>10</v>
      </c>
      <c r="D769">
        <v>2</v>
      </c>
      <c r="E769" t="b">
        <v>1</v>
      </c>
      <c r="F769" s="2">
        <v>6.1079759926191253</v>
      </c>
      <c r="G769" t="b">
        <v>0</v>
      </c>
      <c r="H769" t="s">
        <v>32</v>
      </c>
      <c r="I769" t="s">
        <v>34</v>
      </c>
    </row>
    <row r="770" spans="1:9" x14ac:dyDescent="0.3">
      <c r="A770" t="str">
        <f t="shared" si="11"/>
        <v>CASE-0769</v>
      </c>
      <c r="B770" s="1">
        <v>45969</v>
      </c>
      <c r="C770" t="s">
        <v>12</v>
      </c>
      <c r="D770">
        <v>5</v>
      </c>
      <c r="E770" t="b">
        <v>1</v>
      </c>
      <c r="F770" s="2">
        <v>6.4443845927603638</v>
      </c>
      <c r="G770" t="b">
        <v>0</v>
      </c>
      <c r="H770" t="s">
        <v>13</v>
      </c>
      <c r="I770" t="s">
        <v>34</v>
      </c>
    </row>
    <row r="771" spans="1:9" x14ac:dyDescent="0.3">
      <c r="A771" t="str">
        <f t="shared" ref="A771:A834" si="12">"CASE-"&amp;TEXT(ROW()-1,"0000")</f>
        <v>CASE-0770</v>
      </c>
      <c r="B771" s="1">
        <v>46133</v>
      </c>
      <c r="C771" t="s">
        <v>11</v>
      </c>
      <c r="D771">
        <v>2</v>
      </c>
      <c r="E771" t="b">
        <v>1</v>
      </c>
      <c r="F771" s="2">
        <v>7.4601545954562347</v>
      </c>
      <c r="G771" t="b">
        <v>0</v>
      </c>
      <c r="H771" t="s">
        <v>30</v>
      </c>
      <c r="I771" t="s">
        <v>34</v>
      </c>
    </row>
    <row r="772" spans="1:9" x14ac:dyDescent="0.3">
      <c r="A772" t="str">
        <f t="shared" si="12"/>
        <v>CASE-0771</v>
      </c>
      <c r="B772" s="1">
        <v>45590</v>
      </c>
      <c r="C772" t="s">
        <v>10</v>
      </c>
      <c r="D772">
        <v>5</v>
      </c>
      <c r="E772" t="b">
        <v>0</v>
      </c>
      <c r="F772" s="2">
        <v>37.444894077651298</v>
      </c>
      <c r="G772" t="b">
        <v>0</v>
      </c>
      <c r="H772" t="s">
        <v>24</v>
      </c>
      <c r="I772" t="s">
        <v>33</v>
      </c>
    </row>
    <row r="773" spans="1:9" x14ac:dyDescent="0.3">
      <c r="A773" t="str">
        <f t="shared" si="12"/>
        <v>CASE-0772</v>
      </c>
      <c r="B773" s="1">
        <v>45862</v>
      </c>
      <c r="C773" t="s">
        <v>11</v>
      </c>
      <c r="D773">
        <v>1</v>
      </c>
      <c r="E773" t="b">
        <v>1</v>
      </c>
      <c r="F773" s="2">
        <v>7.0339646908758295</v>
      </c>
      <c r="G773" t="b">
        <v>0</v>
      </c>
      <c r="H773" t="s">
        <v>19</v>
      </c>
      <c r="I773" t="s">
        <v>34</v>
      </c>
    </row>
    <row r="774" spans="1:9" x14ac:dyDescent="0.3">
      <c r="A774" t="str">
        <f t="shared" si="12"/>
        <v>CASE-0773</v>
      </c>
      <c r="B774" s="1">
        <v>45564</v>
      </c>
      <c r="C774" t="s">
        <v>12</v>
      </c>
      <c r="D774">
        <v>4</v>
      </c>
      <c r="E774" t="b">
        <v>0</v>
      </c>
      <c r="F774" s="2">
        <v>22.4048606527274</v>
      </c>
      <c r="G774" t="b">
        <v>0</v>
      </c>
      <c r="H774" t="s">
        <v>24</v>
      </c>
      <c r="I774" t="s">
        <v>33</v>
      </c>
    </row>
    <row r="775" spans="1:9" x14ac:dyDescent="0.3">
      <c r="A775" t="str">
        <f t="shared" si="12"/>
        <v>CASE-0774</v>
      </c>
      <c r="B775" s="1">
        <v>45507</v>
      </c>
      <c r="C775" t="s">
        <v>11</v>
      </c>
      <c r="D775">
        <v>4</v>
      </c>
      <c r="E775" t="b">
        <v>0</v>
      </c>
      <c r="F775" s="2">
        <v>36.963038845544233</v>
      </c>
      <c r="G775" t="b">
        <v>0</v>
      </c>
      <c r="H775" t="s">
        <v>20</v>
      </c>
      <c r="I775" t="s">
        <v>33</v>
      </c>
    </row>
    <row r="776" spans="1:9" x14ac:dyDescent="0.3">
      <c r="A776" t="str">
        <f t="shared" si="12"/>
        <v>CASE-0775</v>
      </c>
      <c r="B776" s="1">
        <v>45632</v>
      </c>
      <c r="C776" t="s">
        <v>12</v>
      </c>
      <c r="D776">
        <v>3</v>
      </c>
      <c r="E776" t="b">
        <v>0</v>
      </c>
      <c r="F776" s="2">
        <v>6.9780401506464678</v>
      </c>
      <c r="G776" t="b">
        <v>0</v>
      </c>
      <c r="H776" t="s">
        <v>24</v>
      </c>
      <c r="I776" t="s">
        <v>33</v>
      </c>
    </row>
    <row r="777" spans="1:9" x14ac:dyDescent="0.3">
      <c r="A777" t="str">
        <f t="shared" si="12"/>
        <v>CASE-0776</v>
      </c>
      <c r="B777" s="1">
        <v>45961</v>
      </c>
      <c r="C777" t="s">
        <v>11</v>
      </c>
      <c r="D777">
        <v>3</v>
      </c>
      <c r="E777" t="b">
        <v>1</v>
      </c>
      <c r="F777" s="2">
        <v>7.1266721460259346</v>
      </c>
      <c r="G777" t="b">
        <v>0</v>
      </c>
      <c r="H777" t="s">
        <v>20</v>
      </c>
      <c r="I777" t="s">
        <v>34</v>
      </c>
    </row>
    <row r="778" spans="1:9" x14ac:dyDescent="0.3">
      <c r="A778" t="str">
        <f t="shared" si="12"/>
        <v>CASE-0777</v>
      </c>
      <c r="B778" s="1">
        <v>45961</v>
      </c>
      <c r="C778" t="s">
        <v>11</v>
      </c>
      <c r="D778">
        <v>3</v>
      </c>
      <c r="E778" t="b">
        <v>1</v>
      </c>
      <c r="F778" s="2">
        <v>24.646106981591373</v>
      </c>
      <c r="G778" t="b">
        <v>0</v>
      </c>
      <c r="H778" t="s">
        <v>26</v>
      </c>
      <c r="I778" t="s">
        <v>33</v>
      </c>
    </row>
    <row r="779" spans="1:9" x14ac:dyDescent="0.3">
      <c r="A779" t="str">
        <f t="shared" si="12"/>
        <v>CASE-0778</v>
      </c>
      <c r="B779" s="1">
        <v>45696</v>
      </c>
      <c r="C779" t="s">
        <v>9</v>
      </c>
      <c r="D779">
        <v>5</v>
      </c>
      <c r="E779" t="b">
        <v>1</v>
      </c>
      <c r="F779" s="2">
        <v>20.364627287932326</v>
      </c>
      <c r="G779" t="b">
        <v>0</v>
      </c>
      <c r="H779" t="s">
        <v>14</v>
      </c>
      <c r="I779" t="s">
        <v>33</v>
      </c>
    </row>
    <row r="780" spans="1:9" x14ac:dyDescent="0.3">
      <c r="A780" t="str">
        <f t="shared" si="12"/>
        <v>CASE-0779</v>
      </c>
      <c r="B780" s="1">
        <v>46083</v>
      </c>
      <c r="C780" t="s">
        <v>11</v>
      </c>
      <c r="D780">
        <v>3</v>
      </c>
      <c r="E780" t="b">
        <v>0</v>
      </c>
      <c r="F780" s="2">
        <v>5.7605343669363389</v>
      </c>
      <c r="G780" t="b">
        <v>0</v>
      </c>
      <c r="H780" t="s">
        <v>17</v>
      </c>
      <c r="I780" t="s">
        <v>34</v>
      </c>
    </row>
    <row r="781" spans="1:9" x14ac:dyDescent="0.3">
      <c r="A781" t="str">
        <f t="shared" si="12"/>
        <v>CASE-0780</v>
      </c>
      <c r="B781" s="1">
        <v>46174</v>
      </c>
      <c r="C781" t="s">
        <v>10</v>
      </c>
      <c r="D781">
        <v>5</v>
      </c>
      <c r="E781" t="b">
        <v>1</v>
      </c>
      <c r="F781" s="2">
        <v>4.1714278622340943</v>
      </c>
      <c r="G781" t="b">
        <v>0</v>
      </c>
      <c r="H781" t="s">
        <v>30</v>
      </c>
      <c r="I781" t="s">
        <v>34</v>
      </c>
    </row>
    <row r="782" spans="1:9" x14ac:dyDescent="0.3">
      <c r="A782" t="str">
        <f t="shared" si="12"/>
        <v>CASE-0781</v>
      </c>
      <c r="B782" s="1">
        <v>45780</v>
      </c>
      <c r="C782" t="s">
        <v>10</v>
      </c>
      <c r="D782">
        <v>1</v>
      </c>
      <c r="E782" t="b">
        <v>0</v>
      </c>
      <c r="F782" s="2">
        <v>5.1311145645669516</v>
      </c>
      <c r="G782" t="b">
        <v>0</v>
      </c>
      <c r="H782" t="s">
        <v>31</v>
      </c>
      <c r="I782" t="s">
        <v>35</v>
      </c>
    </row>
    <row r="783" spans="1:9" x14ac:dyDescent="0.3">
      <c r="A783" t="str">
        <f t="shared" si="12"/>
        <v>CASE-0782</v>
      </c>
      <c r="B783" s="1">
        <v>45645</v>
      </c>
      <c r="C783" t="s">
        <v>11</v>
      </c>
      <c r="D783">
        <v>1</v>
      </c>
      <c r="E783" t="b">
        <v>0</v>
      </c>
      <c r="F783" s="2">
        <v>25.432398213376313</v>
      </c>
      <c r="G783" t="b">
        <v>0</v>
      </c>
      <c r="H783" t="s">
        <v>22</v>
      </c>
      <c r="I783" t="s">
        <v>33</v>
      </c>
    </row>
    <row r="784" spans="1:9" x14ac:dyDescent="0.3">
      <c r="A784" t="str">
        <f t="shared" si="12"/>
        <v>CASE-0783</v>
      </c>
      <c r="B784" s="1">
        <v>45532</v>
      </c>
      <c r="C784" t="s">
        <v>10</v>
      </c>
      <c r="D784">
        <v>3</v>
      </c>
      <c r="E784" t="b">
        <v>0</v>
      </c>
      <c r="F784" s="2">
        <v>18.3382571440089</v>
      </c>
      <c r="G784" t="b">
        <v>0</v>
      </c>
      <c r="H784" t="s">
        <v>28</v>
      </c>
      <c r="I784" t="s">
        <v>33</v>
      </c>
    </row>
    <row r="785" spans="1:9" x14ac:dyDescent="0.3">
      <c r="A785" t="str">
        <f t="shared" si="12"/>
        <v>CASE-0784</v>
      </c>
      <c r="B785" s="1">
        <v>46031</v>
      </c>
      <c r="C785" t="s">
        <v>9</v>
      </c>
      <c r="D785">
        <v>5</v>
      </c>
      <c r="E785" t="b">
        <v>1</v>
      </c>
      <c r="F785" s="2">
        <v>3.3584326414608126</v>
      </c>
      <c r="G785" t="b">
        <v>0</v>
      </c>
      <c r="H785" t="s">
        <v>30</v>
      </c>
      <c r="I785" t="s">
        <v>34</v>
      </c>
    </row>
    <row r="786" spans="1:9" x14ac:dyDescent="0.3">
      <c r="A786" t="str">
        <f t="shared" si="12"/>
        <v>CASE-0785</v>
      </c>
      <c r="B786" s="1">
        <v>45647</v>
      </c>
      <c r="C786" t="s">
        <v>12</v>
      </c>
      <c r="D786">
        <v>5</v>
      </c>
      <c r="E786" t="b">
        <v>0</v>
      </c>
      <c r="F786" s="2">
        <v>20.89223946787444</v>
      </c>
      <c r="G786" t="b">
        <v>0</v>
      </c>
      <c r="H786" t="s">
        <v>23</v>
      </c>
      <c r="I786" t="s">
        <v>33</v>
      </c>
    </row>
    <row r="787" spans="1:9" x14ac:dyDescent="0.3">
      <c r="A787" t="str">
        <f t="shared" si="12"/>
        <v>CASE-0786</v>
      </c>
      <c r="B787" s="1">
        <v>45724</v>
      </c>
      <c r="C787" t="s">
        <v>9</v>
      </c>
      <c r="D787">
        <v>5</v>
      </c>
      <c r="E787" t="b">
        <v>1</v>
      </c>
      <c r="F787" s="2">
        <v>5.5367014571655284</v>
      </c>
      <c r="G787" t="b">
        <v>0</v>
      </c>
      <c r="H787" t="s">
        <v>21</v>
      </c>
      <c r="I787" t="s">
        <v>34</v>
      </c>
    </row>
    <row r="788" spans="1:9" x14ac:dyDescent="0.3">
      <c r="A788" t="str">
        <f t="shared" si="12"/>
        <v>CASE-0787</v>
      </c>
      <c r="B788" s="1">
        <v>45615</v>
      </c>
      <c r="C788" t="s">
        <v>9</v>
      </c>
      <c r="D788">
        <v>3</v>
      </c>
      <c r="E788" t="b">
        <v>0</v>
      </c>
      <c r="F788" s="2">
        <v>22.179246778590596</v>
      </c>
      <c r="G788" t="b">
        <v>0</v>
      </c>
      <c r="H788" t="s">
        <v>20</v>
      </c>
      <c r="I788" t="s">
        <v>33</v>
      </c>
    </row>
    <row r="789" spans="1:9" x14ac:dyDescent="0.3">
      <c r="A789" t="str">
        <f t="shared" si="12"/>
        <v>CASE-0788</v>
      </c>
      <c r="B789" s="1">
        <v>46080</v>
      </c>
      <c r="C789" t="s">
        <v>9</v>
      </c>
      <c r="D789">
        <v>1</v>
      </c>
      <c r="E789" t="b">
        <v>1</v>
      </c>
      <c r="F789" s="2">
        <v>7.205735442976307</v>
      </c>
      <c r="G789" t="b">
        <v>0</v>
      </c>
      <c r="H789" t="s">
        <v>27</v>
      </c>
      <c r="I789" t="s">
        <v>34</v>
      </c>
    </row>
    <row r="790" spans="1:9" x14ac:dyDescent="0.3">
      <c r="A790" t="str">
        <f t="shared" si="12"/>
        <v>CASE-0789</v>
      </c>
      <c r="B790" s="1">
        <v>45880</v>
      </c>
      <c r="C790" t="s">
        <v>11</v>
      </c>
      <c r="D790">
        <v>1</v>
      </c>
      <c r="E790" t="b">
        <v>0</v>
      </c>
      <c r="F790" s="2">
        <v>10.039316721035071</v>
      </c>
      <c r="G790" t="b">
        <v>0</v>
      </c>
      <c r="H790" t="s">
        <v>20</v>
      </c>
      <c r="I790" t="s">
        <v>35</v>
      </c>
    </row>
    <row r="791" spans="1:9" x14ac:dyDescent="0.3">
      <c r="A791" t="str">
        <f t="shared" si="12"/>
        <v>CASE-0790</v>
      </c>
      <c r="B791" s="1">
        <v>45698</v>
      </c>
      <c r="C791" t="s">
        <v>9</v>
      </c>
      <c r="D791">
        <v>3</v>
      </c>
      <c r="E791" t="b">
        <v>0</v>
      </c>
      <c r="F791" s="2">
        <v>31.461377390778043</v>
      </c>
      <c r="G791" t="b">
        <v>1</v>
      </c>
      <c r="H791" t="s">
        <v>21</v>
      </c>
      <c r="I791" t="s">
        <v>33</v>
      </c>
    </row>
    <row r="792" spans="1:9" x14ac:dyDescent="0.3">
      <c r="A792" t="str">
        <f t="shared" si="12"/>
        <v>CASE-0791</v>
      </c>
      <c r="B792" s="1">
        <v>45627</v>
      </c>
      <c r="C792" t="s">
        <v>9</v>
      </c>
      <c r="D792">
        <v>5</v>
      </c>
      <c r="E792" t="b">
        <v>0</v>
      </c>
      <c r="F792" s="2">
        <v>28.465274695861474</v>
      </c>
      <c r="G792" t="b">
        <v>0</v>
      </c>
      <c r="H792" t="s">
        <v>30</v>
      </c>
      <c r="I792" t="s">
        <v>33</v>
      </c>
    </row>
    <row r="793" spans="1:9" x14ac:dyDescent="0.3">
      <c r="A793" t="str">
        <f t="shared" si="12"/>
        <v>CASE-0792</v>
      </c>
      <c r="B793" s="1">
        <v>45553</v>
      </c>
      <c r="C793" t="s">
        <v>9</v>
      </c>
      <c r="D793">
        <v>5</v>
      </c>
      <c r="E793" t="b">
        <v>0</v>
      </c>
      <c r="F793" s="2">
        <v>33.201348982633384</v>
      </c>
      <c r="G793" t="b">
        <v>0</v>
      </c>
      <c r="H793" t="s">
        <v>28</v>
      </c>
      <c r="I793" t="s">
        <v>33</v>
      </c>
    </row>
    <row r="794" spans="1:9" x14ac:dyDescent="0.3">
      <c r="A794" t="str">
        <f t="shared" si="12"/>
        <v>CASE-0793</v>
      </c>
      <c r="B794" s="1">
        <v>45891</v>
      </c>
      <c r="C794" t="s">
        <v>9</v>
      </c>
      <c r="D794">
        <v>2</v>
      </c>
      <c r="E794" t="b">
        <v>1</v>
      </c>
      <c r="F794" s="2">
        <v>6.8706835426229897</v>
      </c>
      <c r="G794" t="b">
        <v>0</v>
      </c>
      <c r="H794" t="s">
        <v>32</v>
      </c>
      <c r="I794" t="s">
        <v>34</v>
      </c>
    </row>
    <row r="795" spans="1:9" x14ac:dyDescent="0.3">
      <c r="A795" t="str">
        <f t="shared" si="12"/>
        <v>CASE-0794</v>
      </c>
      <c r="B795" s="1">
        <v>45996</v>
      </c>
      <c r="C795" t="s">
        <v>11</v>
      </c>
      <c r="D795">
        <v>3</v>
      </c>
      <c r="E795" t="b">
        <v>1</v>
      </c>
      <c r="F795" s="2">
        <v>23.079168019592945</v>
      </c>
      <c r="G795" t="b">
        <v>0</v>
      </c>
      <c r="H795" t="s">
        <v>30</v>
      </c>
      <c r="I795" t="s">
        <v>33</v>
      </c>
    </row>
    <row r="796" spans="1:9" x14ac:dyDescent="0.3">
      <c r="A796" t="str">
        <f t="shared" si="12"/>
        <v>CASE-0795</v>
      </c>
      <c r="B796" s="1">
        <v>45767</v>
      </c>
      <c r="C796" t="s">
        <v>10</v>
      </c>
      <c r="D796">
        <v>5</v>
      </c>
      <c r="E796" t="b">
        <v>1</v>
      </c>
      <c r="F796" s="2">
        <v>7.0615109067959709</v>
      </c>
      <c r="G796" t="b">
        <v>0</v>
      </c>
      <c r="H796" t="s">
        <v>29</v>
      </c>
      <c r="I796" t="s">
        <v>34</v>
      </c>
    </row>
    <row r="797" spans="1:9" x14ac:dyDescent="0.3">
      <c r="A797" t="str">
        <f t="shared" si="12"/>
        <v>CASE-0796</v>
      </c>
      <c r="B797" s="1">
        <v>45971</v>
      </c>
      <c r="C797" t="s">
        <v>12</v>
      </c>
      <c r="D797">
        <v>1</v>
      </c>
      <c r="E797" t="b">
        <v>1</v>
      </c>
      <c r="F797" s="2">
        <v>6.7330424261447979</v>
      </c>
      <c r="G797" t="b">
        <v>0</v>
      </c>
      <c r="H797" t="s">
        <v>24</v>
      </c>
      <c r="I797" t="s">
        <v>34</v>
      </c>
    </row>
    <row r="798" spans="1:9" x14ac:dyDescent="0.3">
      <c r="A798" t="str">
        <f t="shared" si="12"/>
        <v>CASE-0797</v>
      </c>
      <c r="B798" s="1">
        <v>45792</v>
      </c>
      <c r="C798" t="s">
        <v>9</v>
      </c>
      <c r="D798">
        <v>5</v>
      </c>
      <c r="E798" t="b">
        <v>1</v>
      </c>
      <c r="F798" s="2">
        <v>4.992874434293201</v>
      </c>
      <c r="G798" t="b">
        <v>0</v>
      </c>
      <c r="H798" t="s">
        <v>28</v>
      </c>
      <c r="I798" t="s">
        <v>34</v>
      </c>
    </row>
    <row r="799" spans="1:9" x14ac:dyDescent="0.3">
      <c r="A799" t="str">
        <f t="shared" si="12"/>
        <v>CASE-0798</v>
      </c>
      <c r="B799" s="1">
        <v>45800</v>
      </c>
      <c r="C799" t="s">
        <v>10</v>
      </c>
      <c r="D799">
        <v>5</v>
      </c>
      <c r="E799" t="b">
        <v>1</v>
      </c>
      <c r="F799" s="2">
        <v>4.7716673843659994</v>
      </c>
      <c r="G799" t="b">
        <v>0</v>
      </c>
      <c r="H799" t="s">
        <v>30</v>
      </c>
      <c r="I799" t="s">
        <v>34</v>
      </c>
    </row>
    <row r="800" spans="1:9" x14ac:dyDescent="0.3">
      <c r="A800" t="str">
        <f t="shared" si="12"/>
        <v>CASE-0799</v>
      </c>
      <c r="B800" s="1">
        <v>45692</v>
      </c>
      <c r="C800" t="s">
        <v>10</v>
      </c>
      <c r="D800">
        <v>1</v>
      </c>
      <c r="E800" t="b">
        <v>1</v>
      </c>
      <c r="F800" s="2">
        <v>5.7285375985039568</v>
      </c>
      <c r="G800" t="b">
        <v>0</v>
      </c>
      <c r="H800" t="s">
        <v>23</v>
      </c>
      <c r="I800" t="s">
        <v>34</v>
      </c>
    </row>
    <row r="801" spans="1:9" x14ac:dyDescent="0.3">
      <c r="A801" t="str">
        <f t="shared" si="12"/>
        <v>CASE-0800</v>
      </c>
      <c r="B801" s="1">
        <v>45573</v>
      </c>
      <c r="C801" t="s">
        <v>12</v>
      </c>
      <c r="D801">
        <v>5</v>
      </c>
      <c r="E801" t="b">
        <v>0</v>
      </c>
      <c r="F801" s="2">
        <v>19.135680715761744</v>
      </c>
      <c r="G801" t="b">
        <v>0</v>
      </c>
      <c r="H801" t="s">
        <v>20</v>
      </c>
      <c r="I801" t="s">
        <v>33</v>
      </c>
    </row>
    <row r="802" spans="1:9" x14ac:dyDescent="0.3">
      <c r="A802" t="str">
        <f t="shared" si="12"/>
        <v>CASE-0801</v>
      </c>
      <c r="B802" s="1">
        <v>45529</v>
      </c>
      <c r="C802" t="s">
        <v>10</v>
      </c>
      <c r="D802">
        <v>1</v>
      </c>
      <c r="E802" t="b">
        <v>0</v>
      </c>
      <c r="F802" s="2">
        <v>33.365416905745008</v>
      </c>
      <c r="G802" t="b">
        <v>0</v>
      </c>
      <c r="H802" t="s">
        <v>13</v>
      </c>
      <c r="I802" t="s">
        <v>33</v>
      </c>
    </row>
    <row r="803" spans="1:9" x14ac:dyDescent="0.3">
      <c r="A803" t="str">
        <f t="shared" si="12"/>
        <v>CASE-0802</v>
      </c>
      <c r="B803" s="1">
        <v>45623</v>
      </c>
      <c r="C803" t="s">
        <v>9</v>
      </c>
      <c r="D803">
        <v>2</v>
      </c>
      <c r="E803" t="b">
        <v>0</v>
      </c>
      <c r="F803" s="2">
        <v>21.319226372197953</v>
      </c>
      <c r="G803" t="b">
        <v>0</v>
      </c>
      <c r="H803" t="s">
        <v>20</v>
      </c>
      <c r="I803" t="s">
        <v>33</v>
      </c>
    </row>
    <row r="804" spans="1:9" x14ac:dyDescent="0.3">
      <c r="A804" t="str">
        <f t="shared" si="12"/>
        <v>CASE-0803</v>
      </c>
      <c r="B804" s="1">
        <v>46113</v>
      </c>
      <c r="C804" t="s">
        <v>9</v>
      </c>
      <c r="D804">
        <v>5</v>
      </c>
      <c r="E804" t="b">
        <v>1</v>
      </c>
      <c r="F804" s="2">
        <v>5.1379263631416867</v>
      </c>
      <c r="G804" t="b">
        <v>0</v>
      </c>
      <c r="H804" t="s">
        <v>23</v>
      </c>
      <c r="I804" t="s">
        <v>34</v>
      </c>
    </row>
    <row r="805" spans="1:9" x14ac:dyDescent="0.3">
      <c r="A805" t="str">
        <f t="shared" si="12"/>
        <v>CASE-0804</v>
      </c>
      <c r="B805" s="1">
        <v>46010</v>
      </c>
      <c r="C805" t="s">
        <v>11</v>
      </c>
      <c r="D805">
        <v>4</v>
      </c>
      <c r="E805" t="b">
        <v>0</v>
      </c>
      <c r="F805" s="2">
        <v>4.4523605835555662</v>
      </c>
      <c r="G805" t="b">
        <v>0</v>
      </c>
      <c r="H805" t="s">
        <v>17</v>
      </c>
      <c r="I805" t="s">
        <v>34</v>
      </c>
    </row>
    <row r="806" spans="1:9" x14ac:dyDescent="0.3">
      <c r="A806" t="str">
        <f t="shared" si="12"/>
        <v>CASE-0805</v>
      </c>
      <c r="B806" s="1">
        <v>46162</v>
      </c>
      <c r="C806" t="s">
        <v>9</v>
      </c>
      <c r="D806">
        <v>1</v>
      </c>
      <c r="E806" t="b">
        <v>1</v>
      </c>
      <c r="F806" s="2">
        <v>3.8025573307336309</v>
      </c>
      <c r="G806" t="b">
        <v>0</v>
      </c>
      <c r="H806" t="s">
        <v>15</v>
      </c>
      <c r="I806" t="s">
        <v>34</v>
      </c>
    </row>
    <row r="807" spans="1:9" x14ac:dyDescent="0.3">
      <c r="A807" t="str">
        <f t="shared" si="12"/>
        <v>CASE-0806</v>
      </c>
      <c r="B807" s="1">
        <v>45717</v>
      </c>
      <c r="C807" t="s">
        <v>10</v>
      </c>
      <c r="D807">
        <v>3</v>
      </c>
      <c r="E807" t="b">
        <v>0</v>
      </c>
      <c r="F807" s="2">
        <v>25.640328177163614</v>
      </c>
      <c r="G807" t="b">
        <v>0</v>
      </c>
      <c r="H807" t="s">
        <v>22</v>
      </c>
      <c r="I807" t="s">
        <v>33</v>
      </c>
    </row>
    <row r="808" spans="1:9" x14ac:dyDescent="0.3">
      <c r="A808" t="str">
        <f t="shared" si="12"/>
        <v>CASE-0807</v>
      </c>
      <c r="B808" s="1">
        <v>45898</v>
      </c>
      <c r="C808" t="s">
        <v>9</v>
      </c>
      <c r="D808">
        <v>2</v>
      </c>
      <c r="E808" t="b">
        <v>1</v>
      </c>
      <c r="F808" s="2">
        <v>8.7702323729951566</v>
      </c>
      <c r="G808" t="b">
        <v>0</v>
      </c>
      <c r="H808" t="s">
        <v>13</v>
      </c>
      <c r="I808" t="s">
        <v>35</v>
      </c>
    </row>
    <row r="809" spans="1:9" x14ac:dyDescent="0.3">
      <c r="A809" t="str">
        <f t="shared" si="12"/>
        <v>CASE-0808</v>
      </c>
      <c r="B809" s="1">
        <v>45592</v>
      </c>
      <c r="C809" t="s">
        <v>9</v>
      </c>
      <c r="D809">
        <v>5</v>
      </c>
      <c r="E809" t="b">
        <v>0</v>
      </c>
      <c r="F809" s="2">
        <v>31.028507862844069</v>
      </c>
      <c r="G809" t="b">
        <v>0</v>
      </c>
      <c r="H809" t="s">
        <v>14</v>
      </c>
      <c r="I809" t="s">
        <v>33</v>
      </c>
    </row>
    <row r="810" spans="1:9" x14ac:dyDescent="0.3">
      <c r="A810" t="str">
        <f t="shared" si="12"/>
        <v>CASE-0809</v>
      </c>
      <c r="B810" s="1">
        <v>45891</v>
      </c>
      <c r="C810" t="s">
        <v>11</v>
      </c>
      <c r="D810">
        <v>2</v>
      </c>
      <c r="E810" t="b">
        <v>0</v>
      </c>
      <c r="F810" s="2">
        <v>7.9156747299047439</v>
      </c>
      <c r="G810" t="b">
        <v>0</v>
      </c>
      <c r="H810" t="s">
        <v>22</v>
      </c>
      <c r="I810" t="s">
        <v>34</v>
      </c>
    </row>
    <row r="811" spans="1:9" x14ac:dyDescent="0.3">
      <c r="A811" t="str">
        <f t="shared" si="12"/>
        <v>CASE-0810</v>
      </c>
      <c r="B811" s="1">
        <v>45509</v>
      </c>
      <c r="C811" t="s">
        <v>12</v>
      </c>
      <c r="D811">
        <v>1</v>
      </c>
      <c r="E811" t="b">
        <v>0</v>
      </c>
      <c r="F811" s="2">
        <v>29.334208118373741</v>
      </c>
      <c r="G811" t="b">
        <v>0</v>
      </c>
      <c r="H811" t="s">
        <v>26</v>
      </c>
      <c r="I811" t="s">
        <v>33</v>
      </c>
    </row>
    <row r="812" spans="1:9" x14ac:dyDescent="0.3">
      <c r="A812" t="str">
        <f t="shared" si="12"/>
        <v>CASE-0811</v>
      </c>
      <c r="B812" s="1">
        <v>46075</v>
      </c>
      <c r="C812" t="s">
        <v>11</v>
      </c>
      <c r="D812">
        <v>4</v>
      </c>
      <c r="E812" t="b">
        <v>1</v>
      </c>
      <c r="F812" s="2">
        <v>9.1181049803220837</v>
      </c>
      <c r="G812" t="b">
        <v>0</v>
      </c>
      <c r="H812" t="s">
        <v>31</v>
      </c>
      <c r="I812" t="s">
        <v>34</v>
      </c>
    </row>
    <row r="813" spans="1:9" x14ac:dyDescent="0.3">
      <c r="A813" t="str">
        <f t="shared" si="12"/>
        <v>CASE-0812</v>
      </c>
      <c r="B813" s="1">
        <v>45553</v>
      </c>
      <c r="C813" t="s">
        <v>9</v>
      </c>
      <c r="D813">
        <v>3</v>
      </c>
      <c r="E813" t="b">
        <v>0</v>
      </c>
      <c r="F813" s="2">
        <v>18.734246644110527</v>
      </c>
      <c r="G813" t="b">
        <v>0</v>
      </c>
      <c r="H813" t="s">
        <v>17</v>
      </c>
      <c r="I813" t="s">
        <v>33</v>
      </c>
    </row>
    <row r="814" spans="1:9" x14ac:dyDescent="0.3">
      <c r="A814" t="str">
        <f t="shared" si="12"/>
        <v>CASE-0813</v>
      </c>
      <c r="B814" s="1">
        <v>45783</v>
      </c>
      <c r="C814" t="s">
        <v>10</v>
      </c>
      <c r="D814">
        <v>5</v>
      </c>
      <c r="E814" t="b">
        <v>0</v>
      </c>
      <c r="F814" s="2">
        <v>3.9352784786332222</v>
      </c>
      <c r="G814" t="b">
        <v>0</v>
      </c>
      <c r="H814" t="s">
        <v>20</v>
      </c>
      <c r="I814" t="s">
        <v>34</v>
      </c>
    </row>
    <row r="815" spans="1:9" x14ac:dyDescent="0.3">
      <c r="A815" t="str">
        <f t="shared" si="12"/>
        <v>CASE-0814</v>
      </c>
      <c r="B815" s="1">
        <v>45983</v>
      </c>
      <c r="C815" t="s">
        <v>11</v>
      </c>
      <c r="D815">
        <v>3</v>
      </c>
      <c r="E815" t="b">
        <v>1</v>
      </c>
      <c r="F815" s="2">
        <v>6.5616041310554163</v>
      </c>
      <c r="G815" t="b">
        <v>0</v>
      </c>
      <c r="H815" t="s">
        <v>17</v>
      </c>
      <c r="I815" t="s">
        <v>34</v>
      </c>
    </row>
    <row r="816" spans="1:9" x14ac:dyDescent="0.3">
      <c r="A816" t="str">
        <f t="shared" si="12"/>
        <v>CASE-0815</v>
      </c>
      <c r="B816" s="1">
        <v>46053</v>
      </c>
      <c r="C816" t="s">
        <v>11</v>
      </c>
      <c r="D816">
        <v>1</v>
      </c>
      <c r="E816" t="b">
        <v>0</v>
      </c>
      <c r="F816" s="2">
        <v>18.96467104855342</v>
      </c>
      <c r="G816" t="b">
        <v>0</v>
      </c>
      <c r="H816" t="s">
        <v>18</v>
      </c>
      <c r="I816" t="s">
        <v>33</v>
      </c>
    </row>
    <row r="817" spans="1:9" x14ac:dyDescent="0.3">
      <c r="A817" t="str">
        <f t="shared" si="12"/>
        <v>CASE-0816</v>
      </c>
      <c r="B817" s="1">
        <v>45991</v>
      </c>
      <c r="C817" t="s">
        <v>12</v>
      </c>
      <c r="D817">
        <v>3</v>
      </c>
      <c r="E817" t="b">
        <v>1</v>
      </c>
      <c r="F817" s="2">
        <v>10.311251421403409</v>
      </c>
      <c r="G817" t="b">
        <v>0</v>
      </c>
      <c r="H817" t="s">
        <v>14</v>
      </c>
      <c r="I817" t="s">
        <v>34</v>
      </c>
    </row>
    <row r="818" spans="1:9" x14ac:dyDescent="0.3">
      <c r="A818" t="str">
        <f t="shared" si="12"/>
        <v>CASE-0817</v>
      </c>
      <c r="B818" s="1">
        <v>45572</v>
      </c>
      <c r="C818" t="s">
        <v>12</v>
      </c>
      <c r="D818">
        <v>5</v>
      </c>
      <c r="E818" t="b">
        <v>0</v>
      </c>
      <c r="F818" s="2">
        <v>22.418786778587211</v>
      </c>
      <c r="G818" t="b">
        <v>0</v>
      </c>
      <c r="H818" t="s">
        <v>32</v>
      </c>
      <c r="I818" t="s">
        <v>33</v>
      </c>
    </row>
    <row r="819" spans="1:9" x14ac:dyDescent="0.3">
      <c r="A819" t="str">
        <f t="shared" si="12"/>
        <v>CASE-0818</v>
      </c>
      <c r="B819" s="1">
        <v>45936</v>
      </c>
      <c r="C819" t="s">
        <v>9</v>
      </c>
      <c r="D819">
        <v>2</v>
      </c>
      <c r="E819" t="b">
        <v>1</v>
      </c>
      <c r="F819" s="2">
        <v>6.9458292433071058</v>
      </c>
      <c r="G819" t="b">
        <v>0</v>
      </c>
      <c r="H819" t="s">
        <v>22</v>
      </c>
      <c r="I819" t="s">
        <v>34</v>
      </c>
    </row>
    <row r="820" spans="1:9" x14ac:dyDescent="0.3">
      <c r="A820" t="str">
        <f t="shared" si="12"/>
        <v>CASE-0819</v>
      </c>
      <c r="B820" s="1">
        <v>46040</v>
      </c>
      <c r="C820" t="s">
        <v>12</v>
      </c>
      <c r="D820">
        <v>5</v>
      </c>
      <c r="E820" t="b">
        <v>0</v>
      </c>
      <c r="F820" s="2">
        <v>4.3384518090906248</v>
      </c>
      <c r="G820" t="b">
        <v>0</v>
      </c>
      <c r="H820" t="s">
        <v>29</v>
      </c>
      <c r="I820" t="s">
        <v>34</v>
      </c>
    </row>
    <row r="821" spans="1:9" x14ac:dyDescent="0.3">
      <c r="A821" t="str">
        <f t="shared" si="12"/>
        <v>CASE-0820</v>
      </c>
      <c r="B821" s="1">
        <v>45788</v>
      </c>
      <c r="C821" t="s">
        <v>9</v>
      </c>
      <c r="D821">
        <v>5</v>
      </c>
      <c r="E821" t="b">
        <v>1</v>
      </c>
      <c r="F821" s="2">
        <v>18.74164724202058</v>
      </c>
      <c r="G821" t="b">
        <v>0</v>
      </c>
      <c r="H821" t="s">
        <v>21</v>
      </c>
      <c r="I821" t="s">
        <v>33</v>
      </c>
    </row>
    <row r="822" spans="1:9" x14ac:dyDescent="0.3">
      <c r="A822" t="str">
        <f t="shared" si="12"/>
        <v>CASE-0821</v>
      </c>
      <c r="B822" s="1">
        <v>46032</v>
      </c>
      <c r="C822" t="s">
        <v>10</v>
      </c>
      <c r="D822">
        <v>5</v>
      </c>
      <c r="E822" t="b">
        <v>1</v>
      </c>
      <c r="F822" s="2">
        <v>6.1554186335418271</v>
      </c>
      <c r="G822" t="b">
        <v>0</v>
      </c>
      <c r="H822" t="s">
        <v>21</v>
      </c>
      <c r="I822" t="s">
        <v>34</v>
      </c>
    </row>
    <row r="823" spans="1:9" x14ac:dyDescent="0.3">
      <c r="A823" t="str">
        <f t="shared" si="12"/>
        <v>CASE-0822</v>
      </c>
      <c r="B823" s="1">
        <v>45950</v>
      </c>
      <c r="C823" t="s">
        <v>12</v>
      </c>
      <c r="D823">
        <v>1</v>
      </c>
      <c r="E823" t="b">
        <v>1</v>
      </c>
      <c r="F823" s="2">
        <v>32.483396789611049</v>
      </c>
      <c r="G823" t="b">
        <v>0</v>
      </c>
      <c r="H823" t="s">
        <v>26</v>
      </c>
      <c r="I823" t="s">
        <v>33</v>
      </c>
    </row>
    <row r="824" spans="1:9" x14ac:dyDescent="0.3">
      <c r="A824" t="str">
        <f t="shared" si="12"/>
        <v>CASE-0823</v>
      </c>
      <c r="B824" s="1">
        <v>46067</v>
      </c>
      <c r="C824" t="s">
        <v>12</v>
      </c>
      <c r="D824">
        <v>3</v>
      </c>
      <c r="E824" t="b">
        <v>0</v>
      </c>
      <c r="F824" s="2">
        <v>7.6038188257363082</v>
      </c>
      <c r="G824" t="b">
        <v>0</v>
      </c>
      <c r="H824" t="s">
        <v>17</v>
      </c>
      <c r="I824" t="s">
        <v>34</v>
      </c>
    </row>
    <row r="825" spans="1:9" x14ac:dyDescent="0.3">
      <c r="A825" t="str">
        <f t="shared" si="12"/>
        <v>CASE-0824</v>
      </c>
      <c r="B825" s="1">
        <v>46000</v>
      </c>
      <c r="C825" t="s">
        <v>11</v>
      </c>
      <c r="D825">
        <v>1</v>
      </c>
      <c r="E825" t="b">
        <v>1</v>
      </c>
      <c r="F825" s="2">
        <v>8.089220464639979</v>
      </c>
      <c r="G825" t="b">
        <v>0</v>
      </c>
      <c r="H825" t="s">
        <v>20</v>
      </c>
      <c r="I825" t="s">
        <v>34</v>
      </c>
    </row>
    <row r="826" spans="1:9" x14ac:dyDescent="0.3">
      <c r="A826" t="str">
        <f t="shared" si="12"/>
        <v>CASE-0825</v>
      </c>
      <c r="B826" s="1">
        <v>45927</v>
      </c>
      <c r="C826" t="s">
        <v>12</v>
      </c>
      <c r="D826">
        <v>4</v>
      </c>
      <c r="E826" t="b">
        <v>1</v>
      </c>
      <c r="F826" s="2">
        <v>7.1831844289565909</v>
      </c>
      <c r="G826" t="b">
        <v>0</v>
      </c>
      <c r="H826" t="s">
        <v>27</v>
      </c>
      <c r="I826" t="s">
        <v>34</v>
      </c>
    </row>
    <row r="827" spans="1:9" x14ac:dyDescent="0.3">
      <c r="A827" t="str">
        <f t="shared" si="12"/>
        <v>CASE-0826</v>
      </c>
      <c r="B827" s="1">
        <v>45887</v>
      </c>
      <c r="C827" t="s">
        <v>12</v>
      </c>
      <c r="D827">
        <v>1</v>
      </c>
      <c r="E827" t="b">
        <v>0</v>
      </c>
      <c r="F827" s="2">
        <v>0.7098867264955846</v>
      </c>
      <c r="G827" t="b">
        <v>0</v>
      </c>
      <c r="H827" t="s">
        <v>31</v>
      </c>
      <c r="I827" t="s">
        <v>34</v>
      </c>
    </row>
    <row r="828" spans="1:9" x14ac:dyDescent="0.3">
      <c r="A828" t="str">
        <f t="shared" si="12"/>
        <v>CASE-0827</v>
      </c>
      <c r="B828" s="1">
        <v>46157</v>
      </c>
      <c r="C828" t="s">
        <v>11</v>
      </c>
      <c r="D828">
        <v>5</v>
      </c>
      <c r="E828" t="b">
        <v>1</v>
      </c>
      <c r="F828" s="2">
        <v>10.593537268715108</v>
      </c>
      <c r="G828" t="b">
        <v>0</v>
      </c>
      <c r="H828" t="s">
        <v>18</v>
      </c>
      <c r="I828" t="s">
        <v>33</v>
      </c>
    </row>
    <row r="829" spans="1:9" x14ac:dyDescent="0.3">
      <c r="A829" t="str">
        <f t="shared" si="12"/>
        <v>CASE-0828</v>
      </c>
      <c r="B829" s="1">
        <v>46003</v>
      </c>
      <c r="C829" t="s">
        <v>12</v>
      </c>
      <c r="D829">
        <v>1</v>
      </c>
      <c r="E829" t="b">
        <v>1</v>
      </c>
      <c r="F829" s="2">
        <v>7.6088644316479055</v>
      </c>
      <c r="G829" t="b">
        <v>0</v>
      </c>
      <c r="H829" t="s">
        <v>32</v>
      </c>
      <c r="I829" t="s">
        <v>34</v>
      </c>
    </row>
    <row r="830" spans="1:9" x14ac:dyDescent="0.3">
      <c r="A830" t="str">
        <f t="shared" si="12"/>
        <v>CASE-0829</v>
      </c>
      <c r="B830" s="1">
        <v>45946</v>
      </c>
      <c r="C830" t="s">
        <v>10</v>
      </c>
      <c r="D830">
        <v>1</v>
      </c>
      <c r="E830" t="b">
        <v>0</v>
      </c>
      <c r="F830" s="2">
        <v>4.657470841468772</v>
      </c>
      <c r="G830" t="b">
        <v>0</v>
      </c>
      <c r="H830" t="s">
        <v>19</v>
      </c>
      <c r="I830" t="s">
        <v>35</v>
      </c>
    </row>
    <row r="831" spans="1:9" x14ac:dyDescent="0.3">
      <c r="A831" t="str">
        <f t="shared" si="12"/>
        <v>CASE-0830</v>
      </c>
      <c r="B831" s="1">
        <v>45743</v>
      </c>
      <c r="C831" t="s">
        <v>10</v>
      </c>
      <c r="D831">
        <v>1</v>
      </c>
      <c r="E831" t="b">
        <v>1</v>
      </c>
      <c r="F831" s="2">
        <v>8.767941129701585</v>
      </c>
      <c r="G831" t="b">
        <v>0</v>
      </c>
      <c r="H831" t="s">
        <v>13</v>
      </c>
      <c r="I831" t="s">
        <v>34</v>
      </c>
    </row>
    <row r="832" spans="1:9" x14ac:dyDescent="0.3">
      <c r="A832" t="str">
        <f t="shared" si="12"/>
        <v>CASE-0831</v>
      </c>
      <c r="B832" s="1">
        <v>45825</v>
      </c>
      <c r="C832" t="s">
        <v>11</v>
      </c>
      <c r="D832">
        <v>3</v>
      </c>
      <c r="E832" t="b">
        <v>1</v>
      </c>
      <c r="F832" s="2">
        <v>3.6291637383383084</v>
      </c>
      <c r="G832" t="b">
        <v>0</v>
      </c>
      <c r="H832" t="s">
        <v>17</v>
      </c>
      <c r="I832" t="s">
        <v>34</v>
      </c>
    </row>
    <row r="833" spans="1:9" x14ac:dyDescent="0.3">
      <c r="A833" t="str">
        <f t="shared" si="12"/>
        <v>CASE-0832</v>
      </c>
      <c r="B833" s="1">
        <v>45787</v>
      </c>
      <c r="C833" t="s">
        <v>12</v>
      </c>
      <c r="D833">
        <v>1</v>
      </c>
      <c r="E833" t="b">
        <v>1</v>
      </c>
      <c r="F833" s="2">
        <v>7.976378057183938</v>
      </c>
      <c r="G833" t="b">
        <v>0</v>
      </c>
      <c r="H833" t="s">
        <v>20</v>
      </c>
      <c r="I833" t="s">
        <v>34</v>
      </c>
    </row>
    <row r="834" spans="1:9" x14ac:dyDescent="0.3">
      <c r="A834" t="str">
        <f t="shared" si="12"/>
        <v>CASE-0833</v>
      </c>
      <c r="B834" s="1">
        <v>45624</v>
      </c>
      <c r="C834" t="s">
        <v>11</v>
      </c>
      <c r="D834">
        <v>4</v>
      </c>
      <c r="E834" t="b">
        <v>0</v>
      </c>
      <c r="F834" s="2">
        <v>27.698054184250168</v>
      </c>
      <c r="G834" t="b">
        <v>0</v>
      </c>
      <c r="H834" t="s">
        <v>19</v>
      </c>
      <c r="I834" t="s">
        <v>33</v>
      </c>
    </row>
    <row r="835" spans="1:9" x14ac:dyDescent="0.3">
      <c r="A835" t="str">
        <f t="shared" ref="A835:A898" si="13">"CASE-"&amp;TEXT(ROW()-1,"0000")</f>
        <v>CASE-0834</v>
      </c>
      <c r="B835" s="1">
        <v>45506</v>
      </c>
      <c r="C835" t="s">
        <v>10</v>
      </c>
      <c r="D835">
        <v>5</v>
      </c>
      <c r="E835" t="b">
        <v>0</v>
      </c>
      <c r="F835" s="2">
        <v>9.5633109870925672</v>
      </c>
      <c r="G835" t="b">
        <v>0</v>
      </c>
      <c r="H835" t="s">
        <v>23</v>
      </c>
      <c r="I835" t="s">
        <v>33</v>
      </c>
    </row>
    <row r="836" spans="1:9" x14ac:dyDescent="0.3">
      <c r="A836" t="str">
        <f t="shared" si="13"/>
        <v>CASE-0835</v>
      </c>
      <c r="B836" s="1">
        <v>46103</v>
      </c>
      <c r="C836" t="s">
        <v>9</v>
      </c>
      <c r="D836">
        <v>2</v>
      </c>
      <c r="E836" t="b">
        <v>1</v>
      </c>
      <c r="F836" s="2">
        <v>17.102948225353565</v>
      </c>
      <c r="G836" t="b">
        <v>0</v>
      </c>
      <c r="H836" t="s">
        <v>28</v>
      </c>
      <c r="I836" t="s">
        <v>33</v>
      </c>
    </row>
    <row r="837" spans="1:9" x14ac:dyDescent="0.3">
      <c r="A837" t="str">
        <f t="shared" si="13"/>
        <v>CASE-0836</v>
      </c>
      <c r="B837" s="1">
        <v>46120</v>
      </c>
      <c r="C837" t="s">
        <v>9</v>
      </c>
      <c r="D837">
        <v>5</v>
      </c>
      <c r="E837" t="b">
        <v>1</v>
      </c>
      <c r="F837" s="2">
        <v>14.703126767293005</v>
      </c>
      <c r="G837" t="b">
        <v>0</v>
      </c>
      <c r="H837" t="s">
        <v>21</v>
      </c>
      <c r="I837" t="s">
        <v>33</v>
      </c>
    </row>
    <row r="838" spans="1:9" x14ac:dyDescent="0.3">
      <c r="A838" t="str">
        <f t="shared" si="13"/>
        <v>CASE-0837</v>
      </c>
      <c r="B838" s="1">
        <v>45845</v>
      </c>
      <c r="C838" t="s">
        <v>11</v>
      </c>
      <c r="D838">
        <v>2</v>
      </c>
      <c r="E838" t="b">
        <v>1</v>
      </c>
      <c r="F838" s="2">
        <v>6.0528749735605052</v>
      </c>
      <c r="G838" t="b">
        <v>0</v>
      </c>
      <c r="H838" t="s">
        <v>19</v>
      </c>
      <c r="I838" t="s">
        <v>34</v>
      </c>
    </row>
    <row r="839" spans="1:9" x14ac:dyDescent="0.3">
      <c r="A839" t="str">
        <f t="shared" si="13"/>
        <v>CASE-0838</v>
      </c>
      <c r="B839" s="1">
        <v>45935</v>
      </c>
      <c r="C839" t="s">
        <v>10</v>
      </c>
      <c r="D839">
        <v>3</v>
      </c>
      <c r="E839" t="b">
        <v>1</v>
      </c>
      <c r="F839" s="2">
        <v>6.9549991273162179</v>
      </c>
      <c r="G839" t="b">
        <v>0</v>
      </c>
      <c r="H839" t="s">
        <v>27</v>
      </c>
      <c r="I839" t="s">
        <v>34</v>
      </c>
    </row>
    <row r="840" spans="1:9" x14ac:dyDescent="0.3">
      <c r="A840" t="str">
        <f t="shared" si="13"/>
        <v>CASE-0839</v>
      </c>
      <c r="B840" s="1">
        <v>46106</v>
      </c>
      <c r="C840" t="s">
        <v>9</v>
      </c>
      <c r="D840">
        <v>1</v>
      </c>
      <c r="E840" t="b">
        <v>1</v>
      </c>
      <c r="F840" s="2">
        <v>6.6268733965970981</v>
      </c>
      <c r="G840" t="b">
        <v>0</v>
      </c>
      <c r="H840" t="s">
        <v>32</v>
      </c>
      <c r="I840" t="s">
        <v>34</v>
      </c>
    </row>
    <row r="841" spans="1:9" x14ac:dyDescent="0.3">
      <c r="A841" t="str">
        <f t="shared" si="13"/>
        <v>CASE-0840</v>
      </c>
      <c r="B841" s="1">
        <v>45799</v>
      </c>
      <c r="C841" t="s">
        <v>11</v>
      </c>
      <c r="D841">
        <v>3</v>
      </c>
      <c r="E841" t="b">
        <v>1</v>
      </c>
      <c r="F841" s="2">
        <v>6.501655066804096</v>
      </c>
      <c r="G841" t="b">
        <v>0</v>
      </c>
      <c r="H841" t="s">
        <v>15</v>
      </c>
      <c r="I841" t="s">
        <v>34</v>
      </c>
    </row>
    <row r="842" spans="1:9" x14ac:dyDescent="0.3">
      <c r="A842" t="str">
        <f t="shared" si="13"/>
        <v>CASE-0841</v>
      </c>
      <c r="B842" s="1">
        <v>45842</v>
      </c>
      <c r="C842" t="s">
        <v>10</v>
      </c>
      <c r="D842">
        <v>3</v>
      </c>
      <c r="E842" t="b">
        <v>1</v>
      </c>
      <c r="F842" s="2">
        <v>6.3835780572802507</v>
      </c>
      <c r="G842" t="b">
        <v>0</v>
      </c>
      <c r="H842" t="s">
        <v>14</v>
      </c>
      <c r="I842" t="s">
        <v>35</v>
      </c>
    </row>
    <row r="843" spans="1:9" x14ac:dyDescent="0.3">
      <c r="A843" t="str">
        <f t="shared" si="13"/>
        <v>CASE-0842</v>
      </c>
      <c r="B843" s="1">
        <v>45959</v>
      </c>
      <c r="C843" t="s">
        <v>11</v>
      </c>
      <c r="D843">
        <v>2</v>
      </c>
      <c r="E843" t="b">
        <v>1</v>
      </c>
      <c r="F843" s="2">
        <v>4.4322298053047833</v>
      </c>
      <c r="G843" t="b">
        <v>0</v>
      </c>
      <c r="H843" t="s">
        <v>23</v>
      </c>
      <c r="I843" t="s">
        <v>34</v>
      </c>
    </row>
    <row r="844" spans="1:9" x14ac:dyDescent="0.3">
      <c r="A844" t="str">
        <f t="shared" si="13"/>
        <v>CASE-0843</v>
      </c>
      <c r="B844" s="1">
        <v>46074</v>
      </c>
      <c r="C844" t="s">
        <v>12</v>
      </c>
      <c r="D844">
        <v>2</v>
      </c>
      <c r="E844" t="b">
        <v>1</v>
      </c>
      <c r="F844" s="2">
        <v>12.255806577385377</v>
      </c>
      <c r="G844" t="b">
        <v>0</v>
      </c>
      <c r="H844" t="s">
        <v>21</v>
      </c>
      <c r="I844" t="s">
        <v>33</v>
      </c>
    </row>
    <row r="845" spans="1:9" x14ac:dyDescent="0.3">
      <c r="A845" t="str">
        <f t="shared" si="13"/>
        <v>CASE-0844</v>
      </c>
      <c r="B845" s="1">
        <v>46165</v>
      </c>
      <c r="C845" t="s">
        <v>12</v>
      </c>
      <c r="D845">
        <v>3</v>
      </c>
      <c r="E845" t="b">
        <v>1</v>
      </c>
      <c r="F845" s="2">
        <v>5.7503881044310647</v>
      </c>
      <c r="G845" t="b">
        <v>0</v>
      </c>
      <c r="H845" t="s">
        <v>16</v>
      </c>
      <c r="I845" t="s">
        <v>34</v>
      </c>
    </row>
    <row r="846" spans="1:9" x14ac:dyDescent="0.3">
      <c r="A846" t="str">
        <f t="shared" si="13"/>
        <v>CASE-0845</v>
      </c>
      <c r="B846" s="1">
        <v>45942</v>
      </c>
      <c r="C846" t="s">
        <v>11</v>
      </c>
      <c r="D846">
        <v>5</v>
      </c>
      <c r="E846" t="b">
        <v>1</v>
      </c>
      <c r="F846" s="2">
        <v>23.325753198565643</v>
      </c>
      <c r="G846" t="b">
        <v>0</v>
      </c>
      <c r="H846" t="s">
        <v>28</v>
      </c>
      <c r="I846" t="s">
        <v>33</v>
      </c>
    </row>
    <row r="847" spans="1:9" x14ac:dyDescent="0.3">
      <c r="A847" t="str">
        <f t="shared" si="13"/>
        <v>CASE-0846</v>
      </c>
      <c r="B847" s="1">
        <v>45486</v>
      </c>
      <c r="C847" t="s">
        <v>12</v>
      </c>
      <c r="D847">
        <v>3</v>
      </c>
      <c r="E847" t="b">
        <v>0</v>
      </c>
      <c r="F847" s="2">
        <v>16.461368900187406</v>
      </c>
      <c r="G847" t="b">
        <v>0</v>
      </c>
      <c r="H847" t="s">
        <v>15</v>
      </c>
      <c r="I847" t="s">
        <v>33</v>
      </c>
    </row>
    <row r="848" spans="1:9" x14ac:dyDescent="0.3">
      <c r="A848" t="str">
        <f t="shared" si="13"/>
        <v>CASE-0847</v>
      </c>
      <c r="B848" s="1">
        <v>45800</v>
      </c>
      <c r="C848" t="s">
        <v>10</v>
      </c>
      <c r="D848">
        <v>2</v>
      </c>
      <c r="E848" t="b">
        <v>1</v>
      </c>
      <c r="F848" s="2">
        <v>7.8048295645119854</v>
      </c>
      <c r="G848" t="b">
        <v>0</v>
      </c>
      <c r="H848" t="s">
        <v>15</v>
      </c>
      <c r="I848" t="s">
        <v>34</v>
      </c>
    </row>
    <row r="849" spans="1:9" x14ac:dyDescent="0.3">
      <c r="A849" t="str">
        <f t="shared" si="13"/>
        <v>CASE-0848</v>
      </c>
      <c r="B849" s="1">
        <v>46158</v>
      </c>
      <c r="C849" t="s">
        <v>12</v>
      </c>
      <c r="D849">
        <v>3</v>
      </c>
      <c r="E849" t="b">
        <v>1</v>
      </c>
      <c r="F849" s="2">
        <v>2.4498876440028345</v>
      </c>
      <c r="G849" t="b">
        <v>0</v>
      </c>
      <c r="H849" t="s">
        <v>23</v>
      </c>
      <c r="I849" t="s">
        <v>34</v>
      </c>
    </row>
    <row r="850" spans="1:9" x14ac:dyDescent="0.3">
      <c r="A850" t="str">
        <f t="shared" si="13"/>
        <v>CASE-0849</v>
      </c>
      <c r="B850" s="1">
        <v>46130</v>
      </c>
      <c r="C850" t="s">
        <v>12</v>
      </c>
      <c r="D850">
        <v>2</v>
      </c>
      <c r="E850" t="b">
        <v>1</v>
      </c>
      <c r="F850" s="2">
        <v>6.9927799111732636</v>
      </c>
      <c r="G850" t="b">
        <v>0</v>
      </c>
      <c r="H850" t="s">
        <v>24</v>
      </c>
      <c r="I850" t="s">
        <v>34</v>
      </c>
    </row>
    <row r="851" spans="1:9" x14ac:dyDescent="0.3">
      <c r="A851" t="str">
        <f t="shared" si="13"/>
        <v>CASE-0850</v>
      </c>
      <c r="B851" s="1">
        <v>45754</v>
      </c>
      <c r="C851" t="s">
        <v>9</v>
      </c>
      <c r="D851">
        <v>3</v>
      </c>
      <c r="E851" t="b">
        <v>1</v>
      </c>
      <c r="F851" s="2">
        <v>10.526042742529446</v>
      </c>
      <c r="G851" t="b">
        <v>0</v>
      </c>
      <c r="H851" t="s">
        <v>31</v>
      </c>
      <c r="I851" t="s">
        <v>34</v>
      </c>
    </row>
    <row r="852" spans="1:9" x14ac:dyDescent="0.3">
      <c r="A852" t="str">
        <f t="shared" si="13"/>
        <v>CASE-0851</v>
      </c>
      <c r="B852" s="1">
        <v>46064</v>
      </c>
      <c r="C852" t="s">
        <v>9</v>
      </c>
      <c r="D852">
        <v>3</v>
      </c>
      <c r="E852" t="b">
        <v>1</v>
      </c>
      <c r="F852" s="2">
        <v>5.2920293034124084</v>
      </c>
      <c r="G852" t="b">
        <v>0</v>
      </c>
      <c r="H852" t="s">
        <v>25</v>
      </c>
      <c r="I852" t="s">
        <v>34</v>
      </c>
    </row>
    <row r="853" spans="1:9" x14ac:dyDescent="0.3">
      <c r="A853" t="str">
        <f t="shared" si="13"/>
        <v>CASE-0852</v>
      </c>
      <c r="B853" s="1">
        <v>45966</v>
      </c>
      <c r="C853" t="s">
        <v>12</v>
      </c>
      <c r="D853">
        <v>4</v>
      </c>
      <c r="E853" t="b">
        <v>1</v>
      </c>
      <c r="F853" s="2">
        <v>22.832847466136798</v>
      </c>
      <c r="G853" t="b">
        <v>0</v>
      </c>
      <c r="H853" t="s">
        <v>24</v>
      </c>
      <c r="I853" t="s">
        <v>33</v>
      </c>
    </row>
    <row r="854" spans="1:9" x14ac:dyDescent="0.3">
      <c r="A854" t="str">
        <f t="shared" si="13"/>
        <v>CASE-0853</v>
      </c>
      <c r="B854" s="1">
        <v>46076</v>
      </c>
      <c r="C854" t="s">
        <v>11</v>
      </c>
      <c r="D854">
        <v>4</v>
      </c>
      <c r="E854" t="b">
        <v>1</v>
      </c>
      <c r="F854" s="2">
        <v>7.7139262090850806</v>
      </c>
      <c r="G854" t="b">
        <v>0</v>
      </c>
      <c r="H854" t="s">
        <v>19</v>
      </c>
      <c r="I854" t="s">
        <v>34</v>
      </c>
    </row>
    <row r="855" spans="1:9" x14ac:dyDescent="0.3">
      <c r="A855" t="str">
        <f t="shared" si="13"/>
        <v>CASE-0854</v>
      </c>
      <c r="B855" s="1">
        <v>45830</v>
      </c>
      <c r="C855" t="s">
        <v>12</v>
      </c>
      <c r="D855">
        <v>4</v>
      </c>
      <c r="E855" t="b">
        <v>1</v>
      </c>
      <c r="F855" s="2">
        <v>5.5522018778985398</v>
      </c>
      <c r="G855" t="b">
        <v>0</v>
      </c>
      <c r="H855" t="s">
        <v>15</v>
      </c>
      <c r="I855" t="s">
        <v>34</v>
      </c>
    </row>
    <row r="856" spans="1:9" x14ac:dyDescent="0.3">
      <c r="A856" t="str">
        <f t="shared" si="13"/>
        <v>CASE-0855</v>
      </c>
      <c r="B856" s="1">
        <v>46105</v>
      </c>
      <c r="C856" t="s">
        <v>9</v>
      </c>
      <c r="D856">
        <v>5</v>
      </c>
      <c r="E856" t="b">
        <v>1</v>
      </c>
      <c r="F856" s="2">
        <v>7.7946060481402544</v>
      </c>
      <c r="G856" t="b">
        <v>0</v>
      </c>
      <c r="H856" t="s">
        <v>23</v>
      </c>
      <c r="I856" t="s">
        <v>34</v>
      </c>
    </row>
    <row r="857" spans="1:9" x14ac:dyDescent="0.3">
      <c r="A857" t="str">
        <f t="shared" si="13"/>
        <v>CASE-0856</v>
      </c>
      <c r="B857" s="1">
        <v>45676</v>
      </c>
      <c r="C857" t="s">
        <v>9</v>
      </c>
      <c r="D857">
        <v>3</v>
      </c>
      <c r="E857" t="b">
        <v>0</v>
      </c>
      <c r="F857" s="2">
        <v>3.9480410240044734</v>
      </c>
      <c r="G857" t="b">
        <v>1</v>
      </c>
      <c r="H857" t="s">
        <v>19</v>
      </c>
      <c r="I857" t="s">
        <v>34</v>
      </c>
    </row>
    <row r="858" spans="1:9" x14ac:dyDescent="0.3">
      <c r="A858" t="str">
        <f t="shared" si="13"/>
        <v>CASE-0857</v>
      </c>
      <c r="B858" s="1">
        <v>45939</v>
      </c>
      <c r="C858" t="s">
        <v>10</v>
      </c>
      <c r="D858">
        <v>2</v>
      </c>
      <c r="E858" t="b">
        <v>1</v>
      </c>
      <c r="F858" s="2">
        <v>11.064798223459475</v>
      </c>
      <c r="G858" t="b">
        <v>0</v>
      </c>
      <c r="H858" t="s">
        <v>13</v>
      </c>
      <c r="I858" t="s">
        <v>34</v>
      </c>
    </row>
    <row r="859" spans="1:9" x14ac:dyDescent="0.3">
      <c r="A859" t="str">
        <f t="shared" si="13"/>
        <v>CASE-0858</v>
      </c>
      <c r="B859" s="1">
        <v>45860</v>
      </c>
      <c r="C859" t="s">
        <v>11</v>
      </c>
      <c r="D859">
        <v>5</v>
      </c>
      <c r="E859" t="b">
        <v>1</v>
      </c>
      <c r="F859" s="2">
        <v>0.64353931724452185</v>
      </c>
      <c r="G859" t="b">
        <v>0</v>
      </c>
      <c r="H859" t="s">
        <v>26</v>
      </c>
      <c r="I859" t="s">
        <v>34</v>
      </c>
    </row>
    <row r="860" spans="1:9" x14ac:dyDescent="0.3">
      <c r="A860" t="str">
        <f t="shared" si="13"/>
        <v>CASE-0859</v>
      </c>
      <c r="B860" s="1">
        <v>45482</v>
      </c>
      <c r="C860" t="s">
        <v>9</v>
      </c>
      <c r="D860">
        <v>3</v>
      </c>
      <c r="E860" t="b">
        <v>0</v>
      </c>
      <c r="F860" s="2">
        <v>37.400932088660056</v>
      </c>
      <c r="G860" t="b">
        <v>0</v>
      </c>
      <c r="H860" t="s">
        <v>24</v>
      </c>
      <c r="I860" t="s">
        <v>33</v>
      </c>
    </row>
    <row r="861" spans="1:9" x14ac:dyDescent="0.3">
      <c r="A861" t="str">
        <f t="shared" si="13"/>
        <v>CASE-0860</v>
      </c>
      <c r="B861" s="1">
        <v>45741</v>
      </c>
      <c r="C861" t="s">
        <v>9</v>
      </c>
      <c r="D861">
        <v>4</v>
      </c>
      <c r="E861" t="b">
        <v>1</v>
      </c>
      <c r="F861" s="2">
        <v>6.5031423063016778</v>
      </c>
      <c r="G861" t="b">
        <v>0</v>
      </c>
      <c r="H861" t="s">
        <v>32</v>
      </c>
      <c r="I861" t="s">
        <v>34</v>
      </c>
    </row>
    <row r="862" spans="1:9" x14ac:dyDescent="0.3">
      <c r="A862" t="str">
        <f t="shared" si="13"/>
        <v>CASE-0861</v>
      </c>
      <c r="B862" s="1">
        <v>45933</v>
      </c>
      <c r="C862" t="s">
        <v>11</v>
      </c>
      <c r="D862">
        <v>3</v>
      </c>
      <c r="E862" t="b">
        <v>0</v>
      </c>
      <c r="F862" s="2">
        <v>25.651255521336797</v>
      </c>
      <c r="G862" t="b">
        <v>0</v>
      </c>
      <c r="H862" t="s">
        <v>31</v>
      </c>
      <c r="I862" t="s">
        <v>33</v>
      </c>
    </row>
    <row r="863" spans="1:9" x14ac:dyDescent="0.3">
      <c r="A863" t="str">
        <f t="shared" si="13"/>
        <v>CASE-0862</v>
      </c>
      <c r="B863" s="1">
        <v>45987</v>
      </c>
      <c r="C863" t="s">
        <v>9</v>
      </c>
      <c r="D863">
        <v>1</v>
      </c>
      <c r="E863" t="b">
        <v>1</v>
      </c>
      <c r="F863" s="2">
        <v>37.229623801966582</v>
      </c>
      <c r="G863" t="b">
        <v>0</v>
      </c>
      <c r="H863" t="s">
        <v>18</v>
      </c>
      <c r="I863" t="s">
        <v>33</v>
      </c>
    </row>
    <row r="864" spans="1:9" x14ac:dyDescent="0.3">
      <c r="A864" t="str">
        <f t="shared" si="13"/>
        <v>CASE-0863</v>
      </c>
      <c r="B864" s="1">
        <v>45538</v>
      </c>
      <c r="C864" t="s">
        <v>12</v>
      </c>
      <c r="D864">
        <v>2</v>
      </c>
      <c r="E864" t="b">
        <v>0</v>
      </c>
      <c r="F864" s="2">
        <v>26.460524126558408</v>
      </c>
      <c r="G864" t="b">
        <v>0</v>
      </c>
      <c r="H864" t="s">
        <v>21</v>
      </c>
      <c r="I864" t="s">
        <v>33</v>
      </c>
    </row>
    <row r="865" spans="1:9" x14ac:dyDescent="0.3">
      <c r="A865" t="str">
        <f t="shared" si="13"/>
        <v>CASE-0864</v>
      </c>
      <c r="B865" s="1">
        <v>45996</v>
      </c>
      <c r="C865" t="s">
        <v>12</v>
      </c>
      <c r="D865">
        <v>3</v>
      </c>
      <c r="E865" t="b">
        <v>1</v>
      </c>
      <c r="F865" s="2">
        <v>6.4016865665183698</v>
      </c>
      <c r="G865" t="b">
        <v>0</v>
      </c>
      <c r="H865" t="s">
        <v>27</v>
      </c>
      <c r="I865" t="s">
        <v>34</v>
      </c>
    </row>
    <row r="866" spans="1:9" x14ac:dyDescent="0.3">
      <c r="A866" t="str">
        <f t="shared" si="13"/>
        <v>CASE-0865</v>
      </c>
      <c r="B866" s="1">
        <v>45749</v>
      </c>
      <c r="C866" t="s">
        <v>9</v>
      </c>
      <c r="D866">
        <v>5</v>
      </c>
      <c r="E866" t="b">
        <v>1</v>
      </c>
      <c r="F866" s="2">
        <v>9.8567001415668951</v>
      </c>
      <c r="G866" t="b">
        <v>0</v>
      </c>
      <c r="H866" t="s">
        <v>29</v>
      </c>
      <c r="I866" t="s">
        <v>34</v>
      </c>
    </row>
    <row r="867" spans="1:9" x14ac:dyDescent="0.3">
      <c r="A867" t="str">
        <f t="shared" si="13"/>
        <v>CASE-0866</v>
      </c>
      <c r="B867" s="1">
        <v>45744</v>
      </c>
      <c r="C867" t="s">
        <v>10</v>
      </c>
      <c r="D867">
        <v>4</v>
      </c>
      <c r="E867" t="b">
        <v>0</v>
      </c>
      <c r="F867" s="2">
        <v>6.1139860152999006</v>
      </c>
      <c r="G867" t="b">
        <v>0</v>
      </c>
      <c r="H867" t="s">
        <v>16</v>
      </c>
      <c r="I867" t="s">
        <v>34</v>
      </c>
    </row>
    <row r="868" spans="1:9" x14ac:dyDescent="0.3">
      <c r="A868" t="str">
        <f t="shared" si="13"/>
        <v>CASE-0867</v>
      </c>
      <c r="B868" s="1">
        <v>45548</v>
      </c>
      <c r="C868" t="s">
        <v>11</v>
      </c>
      <c r="D868">
        <v>1</v>
      </c>
      <c r="E868" t="b">
        <v>0</v>
      </c>
      <c r="F868" s="2">
        <v>11.501459027525552</v>
      </c>
      <c r="G868" t="b">
        <v>0</v>
      </c>
      <c r="H868" t="s">
        <v>22</v>
      </c>
      <c r="I868" t="s">
        <v>33</v>
      </c>
    </row>
    <row r="869" spans="1:9" x14ac:dyDescent="0.3">
      <c r="A869" t="str">
        <f t="shared" si="13"/>
        <v>CASE-0868</v>
      </c>
      <c r="B869" s="1">
        <v>45773</v>
      </c>
      <c r="C869" t="s">
        <v>9</v>
      </c>
      <c r="D869">
        <v>5</v>
      </c>
      <c r="E869" t="b">
        <v>1</v>
      </c>
      <c r="F869" s="2">
        <v>5.7359528279992533</v>
      </c>
      <c r="G869" t="b">
        <v>0</v>
      </c>
      <c r="H869" t="s">
        <v>31</v>
      </c>
      <c r="I869" t="s">
        <v>34</v>
      </c>
    </row>
    <row r="870" spans="1:9" x14ac:dyDescent="0.3">
      <c r="A870" t="str">
        <f t="shared" si="13"/>
        <v>CASE-0869</v>
      </c>
      <c r="B870" s="1">
        <v>45541</v>
      </c>
      <c r="C870" t="s">
        <v>10</v>
      </c>
      <c r="D870">
        <v>2</v>
      </c>
      <c r="E870" t="b">
        <v>0</v>
      </c>
      <c r="F870" s="2">
        <v>27.304492185717471</v>
      </c>
      <c r="G870" t="b">
        <v>0</v>
      </c>
      <c r="H870" t="s">
        <v>28</v>
      </c>
      <c r="I870" t="s">
        <v>33</v>
      </c>
    </row>
    <row r="871" spans="1:9" x14ac:dyDescent="0.3">
      <c r="A871" t="str">
        <f t="shared" si="13"/>
        <v>CASE-0870</v>
      </c>
      <c r="B871" s="1">
        <v>45971</v>
      </c>
      <c r="C871" t="s">
        <v>12</v>
      </c>
      <c r="D871">
        <v>2</v>
      </c>
      <c r="E871" t="b">
        <v>1</v>
      </c>
      <c r="F871" s="2">
        <v>5.1019993561547237</v>
      </c>
      <c r="G871" t="b">
        <v>0</v>
      </c>
      <c r="H871" t="s">
        <v>17</v>
      </c>
      <c r="I871" t="s">
        <v>34</v>
      </c>
    </row>
    <row r="872" spans="1:9" x14ac:dyDescent="0.3">
      <c r="A872" t="str">
        <f t="shared" si="13"/>
        <v>CASE-0871</v>
      </c>
      <c r="B872" s="1">
        <v>45921</v>
      </c>
      <c r="C872" t="s">
        <v>10</v>
      </c>
      <c r="D872">
        <v>2</v>
      </c>
      <c r="E872" t="b">
        <v>1</v>
      </c>
      <c r="F872" s="2">
        <v>4.094283679228182</v>
      </c>
      <c r="G872" t="b">
        <v>0</v>
      </c>
      <c r="H872" t="s">
        <v>23</v>
      </c>
      <c r="I872" t="s">
        <v>34</v>
      </c>
    </row>
    <row r="873" spans="1:9" x14ac:dyDescent="0.3">
      <c r="A873" t="str">
        <f t="shared" si="13"/>
        <v>CASE-0872</v>
      </c>
      <c r="B873" s="1">
        <v>45692</v>
      </c>
      <c r="C873" t="s">
        <v>11</v>
      </c>
      <c r="D873">
        <v>3</v>
      </c>
      <c r="E873" t="b">
        <v>1</v>
      </c>
      <c r="F873" s="2">
        <v>5.0658864171930116</v>
      </c>
      <c r="G873" t="b">
        <v>0</v>
      </c>
      <c r="H873" t="s">
        <v>31</v>
      </c>
      <c r="I873" t="s">
        <v>34</v>
      </c>
    </row>
    <row r="874" spans="1:9" x14ac:dyDescent="0.3">
      <c r="A874" t="str">
        <f t="shared" si="13"/>
        <v>CASE-0873</v>
      </c>
      <c r="B874" s="1">
        <v>45854</v>
      </c>
      <c r="C874" t="s">
        <v>10</v>
      </c>
      <c r="D874">
        <v>3</v>
      </c>
      <c r="E874" t="b">
        <v>1</v>
      </c>
      <c r="F874" s="2">
        <v>5.3219790067276822</v>
      </c>
      <c r="G874" t="b">
        <v>0</v>
      </c>
      <c r="H874" t="s">
        <v>31</v>
      </c>
      <c r="I874" t="s">
        <v>34</v>
      </c>
    </row>
    <row r="875" spans="1:9" x14ac:dyDescent="0.3">
      <c r="A875" t="str">
        <f t="shared" si="13"/>
        <v>CASE-0874</v>
      </c>
      <c r="B875" s="1">
        <v>45684</v>
      </c>
      <c r="C875" t="s">
        <v>12</v>
      </c>
      <c r="D875">
        <v>3</v>
      </c>
      <c r="E875" t="b">
        <v>1</v>
      </c>
      <c r="F875" s="2">
        <v>4.9735726987814424</v>
      </c>
      <c r="G875" t="b">
        <v>0</v>
      </c>
      <c r="H875" t="s">
        <v>26</v>
      </c>
      <c r="I875" t="s">
        <v>34</v>
      </c>
    </row>
    <row r="876" spans="1:9" x14ac:dyDescent="0.3">
      <c r="A876" t="str">
        <f t="shared" si="13"/>
        <v>CASE-0875</v>
      </c>
      <c r="B876" s="1">
        <v>46186</v>
      </c>
      <c r="C876" t="s">
        <v>12</v>
      </c>
      <c r="D876">
        <v>4</v>
      </c>
      <c r="E876" t="b">
        <v>1</v>
      </c>
      <c r="F876" s="2">
        <v>22.145430770307815</v>
      </c>
      <c r="G876" t="b">
        <v>0</v>
      </c>
      <c r="H876" t="s">
        <v>23</v>
      </c>
      <c r="I876" t="s">
        <v>33</v>
      </c>
    </row>
    <row r="877" spans="1:9" x14ac:dyDescent="0.3">
      <c r="A877" t="str">
        <f t="shared" si="13"/>
        <v>CASE-0876</v>
      </c>
      <c r="B877" s="1">
        <v>45870</v>
      </c>
      <c r="C877" t="s">
        <v>9</v>
      </c>
      <c r="D877">
        <v>4</v>
      </c>
      <c r="E877" t="b">
        <v>0</v>
      </c>
      <c r="F877" s="2">
        <v>4.4779983366526643</v>
      </c>
      <c r="G877" t="b">
        <v>0</v>
      </c>
      <c r="H877" t="s">
        <v>29</v>
      </c>
      <c r="I877" t="s">
        <v>35</v>
      </c>
    </row>
    <row r="878" spans="1:9" x14ac:dyDescent="0.3">
      <c r="A878" t="str">
        <f t="shared" si="13"/>
        <v>CASE-0877</v>
      </c>
      <c r="B878" s="1">
        <v>45721</v>
      </c>
      <c r="C878" t="s">
        <v>9</v>
      </c>
      <c r="D878">
        <v>3</v>
      </c>
      <c r="E878" t="b">
        <v>1</v>
      </c>
      <c r="F878" s="2">
        <v>3.4972864134457109</v>
      </c>
      <c r="G878" t="b">
        <v>0</v>
      </c>
      <c r="H878" t="s">
        <v>16</v>
      </c>
      <c r="I878" t="s">
        <v>34</v>
      </c>
    </row>
    <row r="879" spans="1:9" x14ac:dyDescent="0.3">
      <c r="A879" t="str">
        <f t="shared" si="13"/>
        <v>CASE-0878</v>
      </c>
      <c r="B879" s="1">
        <v>46121</v>
      </c>
      <c r="C879" t="s">
        <v>10</v>
      </c>
      <c r="D879">
        <v>3</v>
      </c>
      <c r="E879" t="b">
        <v>1</v>
      </c>
      <c r="F879" s="2">
        <v>6.372638536751829</v>
      </c>
      <c r="G879" t="b">
        <v>0</v>
      </c>
      <c r="H879" t="s">
        <v>16</v>
      </c>
      <c r="I879" t="s">
        <v>34</v>
      </c>
    </row>
    <row r="880" spans="1:9" x14ac:dyDescent="0.3">
      <c r="A880" t="str">
        <f t="shared" si="13"/>
        <v>CASE-0879</v>
      </c>
      <c r="B880" s="1">
        <v>45654</v>
      </c>
      <c r="C880" t="s">
        <v>10</v>
      </c>
      <c r="D880">
        <v>3</v>
      </c>
      <c r="E880" t="b">
        <v>0</v>
      </c>
      <c r="F880" s="2">
        <v>21.649237828359972</v>
      </c>
      <c r="G880" t="b">
        <v>0</v>
      </c>
      <c r="H880" t="s">
        <v>16</v>
      </c>
      <c r="I880" t="s">
        <v>33</v>
      </c>
    </row>
    <row r="881" spans="1:9" x14ac:dyDescent="0.3">
      <c r="A881" t="str">
        <f t="shared" si="13"/>
        <v>CASE-0880</v>
      </c>
      <c r="B881" s="1">
        <v>46094</v>
      </c>
      <c r="C881" t="s">
        <v>11</v>
      </c>
      <c r="D881">
        <v>3</v>
      </c>
      <c r="E881" t="b">
        <v>1</v>
      </c>
      <c r="F881" s="2">
        <v>5.0932227798441225</v>
      </c>
      <c r="G881" t="b">
        <v>0</v>
      </c>
      <c r="H881" t="s">
        <v>32</v>
      </c>
      <c r="I881" t="s">
        <v>34</v>
      </c>
    </row>
    <row r="882" spans="1:9" x14ac:dyDescent="0.3">
      <c r="A882" t="str">
        <f t="shared" si="13"/>
        <v>CASE-0881</v>
      </c>
      <c r="B882" s="1">
        <v>45703</v>
      </c>
      <c r="C882" t="s">
        <v>9</v>
      </c>
      <c r="D882">
        <v>5</v>
      </c>
      <c r="E882" t="b">
        <v>1</v>
      </c>
      <c r="F882" s="2">
        <v>3.5610392395449404</v>
      </c>
      <c r="G882" t="b">
        <v>0</v>
      </c>
      <c r="H882" t="s">
        <v>31</v>
      </c>
      <c r="I882" t="s">
        <v>34</v>
      </c>
    </row>
    <row r="883" spans="1:9" x14ac:dyDescent="0.3">
      <c r="A883" t="str">
        <f t="shared" si="13"/>
        <v>CASE-0882</v>
      </c>
      <c r="B883" s="1">
        <v>45768</v>
      </c>
      <c r="C883" t="s">
        <v>11</v>
      </c>
      <c r="D883">
        <v>2</v>
      </c>
      <c r="E883" t="b">
        <v>1</v>
      </c>
      <c r="F883" s="2">
        <v>29.600722369911125</v>
      </c>
      <c r="G883" t="b">
        <v>0</v>
      </c>
      <c r="H883" t="s">
        <v>29</v>
      </c>
      <c r="I883" t="s">
        <v>33</v>
      </c>
    </row>
    <row r="884" spans="1:9" x14ac:dyDescent="0.3">
      <c r="A884" t="str">
        <f t="shared" si="13"/>
        <v>CASE-0883</v>
      </c>
      <c r="B884" s="1">
        <v>45581</v>
      </c>
      <c r="C884" t="s">
        <v>11</v>
      </c>
      <c r="D884">
        <v>2</v>
      </c>
      <c r="E884" t="b">
        <v>0</v>
      </c>
      <c r="F884" s="2">
        <v>40.943231035734797</v>
      </c>
      <c r="G884" t="b">
        <v>0</v>
      </c>
      <c r="H884" t="s">
        <v>16</v>
      </c>
      <c r="I884" t="s">
        <v>33</v>
      </c>
    </row>
    <row r="885" spans="1:9" x14ac:dyDescent="0.3">
      <c r="A885" t="str">
        <f t="shared" si="13"/>
        <v>CASE-0884</v>
      </c>
      <c r="B885" s="1">
        <v>45956</v>
      </c>
      <c r="C885" t="s">
        <v>10</v>
      </c>
      <c r="D885">
        <v>1</v>
      </c>
      <c r="E885" t="b">
        <v>0</v>
      </c>
      <c r="F885" s="2">
        <v>4.4785341241472514</v>
      </c>
      <c r="G885" t="b">
        <v>0</v>
      </c>
      <c r="H885" t="s">
        <v>16</v>
      </c>
      <c r="I885" t="s">
        <v>35</v>
      </c>
    </row>
    <row r="886" spans="1:9" x14ac:dyDescent="0.3">
      <c r="A886" t="str">
        <f t="shared" si="13"/>
        <v>CASE-0885</v>
      </c>
      <c r="B886" s="1">
        <v>45819</v>
      </c>
      <c r="C886" t="s">
        <v>11</v>
      </c>
      <c r="D886">
        <v>2</v>
      </c>
      <c r="E886" t="b">
        <v>1</v>
      </c>
      <c r="F886" s="2">
        <v>5.6062485734292071</v>
      </c>
      <c r="G886" t="b">
        <v>0</v>
      </c>
      <c r="H886" t="s">
        <v>27</v>
      </c>
      <c r="I886" t="s">
        <v>34</v>
      </c>
    </row>
    <row r="887" spans="1:9" x14ac:dyDescent="0.3">
      <c r="A887" t="str">
        <f t="shared" si="13"/>
        <v>CASE-0886</v>
      </c>
      <c r="B887" s="1">
        <v>45604</v>
      </c>
      <c r="C887" t="s">
        <v>11</v>
      </c>
      <c r="D887">
        <v>3</v>
      </c>
      <c r="E887" t="b">
        <v>0</v>
      </c>
      <c r="F887" s="2">
        <v>24.355856503125725</v>
      </c>
      <c r="G887" t="b">
        <v>0</v>
      </c>
      <c r="H887" t="s">
        <v>29</v>
      </c>
      <c r="I887" t="s">
        <v>33</v>
      </c>
    </row>
    <row r="888" spans="1:9" x14ac:dyDescent="0.3">
      <c r="A888" t="str">
        <f t="shared" si="13"/>
        <v>CASE-0887</v>
      </c>
      <c r="B888" s="1">
        <v>45892</v>
      </c>
      <c r="C888" t="s">
        <v>12</v>
      </c>
      <c r="D888">
        <v>4</v>
      </c>
      <c r="E888" t="b">
        <v>0</v>
      </c>
      <c r="F888" s="2">
        <v>4.6804400568952529</v>
      </c>
      <c r="G888" t="b">
        <v>0</v>
      </c>
      <c r="H888" t="s">
        <v>31</v>
      </c>
      <c r="I888" t="s">
        <v>34</v>
      </c>
    </row>
    <row r="889" spans="1:9" x14ac:dyDescent="0.3">
      <c r="A889" t="str">
        <f t="shared" si="13"/>
        <v>CASE-0888</v>
      </c>
      <c r="B889" s="1">
        <v>45785</v>
      </c>
      <c r="C889" t="s">
        <v>9</v>
      </c>
      <c r="D889">
        <v>5</v>
      </c>
      <c r="E889" t="b">
        <v>0</v>
      </c>
      <c r="F889" s="2">
        <v>0.68411702925770701</v>
      </c>
      <c r="G889" t="b">
        <v>0</v>
      </c>
      <c r="H889" t="s">
        <v>26</v>
      </c>
      <c r="I889" t="s">
        <v>34</v>
      </c>
    </row>
    <row r="890" spans="1:9" x14ac:dyDescent="0.3">
      <c r="A890" t="str">
        <f t="shared" si="13"/>
        <v>CASE-0889</v>
      </c>
      <c r="B890" s="1">
        <v>45750</v>
      </c>
      <c r="C890" t="s">
        <v>11</v>
      </c>
      <c r="D890">
        <v>1</v>
      </c>
      <c r="E890" t="b">
        <v>1</v>
      </c>
      <c r="F890" s="2">
        <v>7.5231879766159917</v>
      </c>
      <c r="G890" t="b">
        <v>0</v>
      </c>
      <c r="H890" t="s">
        <v>20</v>
      </c>
      <c r="I890" t="s">
        <v>34</v>
      </c>
    </row>
    <row r="891" spans="1:9" x14ac:dyDescent="0.3">
      <c r="A891" t="str">
        <f t="shared" si="13"/>
        <v>CASE-0890</v>
      </c>
      <c r="B891" s="1">
        <v>45799</v>
      </c>
      <c r="C891" t="s">
        <v>11</v>
      </c>
      <c r="D891">
        <v>4</v>
      </c>
      <c r="E891" t="b">
        <v>1</v>
      </c>
      <c r="F891" s="2">
        <v>24.089627245297635</v>
      </c>
      <c r="G891" t="b">
        <v>0</v>
      </c>
      <c r="H891" t="s">
        <v>14</v>
      </c>
      <c r="I891" t="s">
        <v>33</v>
      </c>
    </row>
    <row r="892" spans="1:9" x14ac:dyDescent="0.3">
      <c r="A892" t="str">
        <f t="shared" si="13"/>
        <v>CASE-0891</v>
      </c>
      <c r="B892" s="1">
        <v>45756</v>
      </c>
      <c r="C892" t="s">
        <v>9</v>
      </c>
      <c r="D892">
        <v>3</v>
      </c>
      <c r="E892" t="b">
        <v>1</v>
      </c>
      <c r="F892" s="2">
        <v>3.2747832323600221</v>
      </c>
      <c r="G892" t="b">
        <v>0</v>
      </c>
      <c r="H892" t="s">
        <v>14</v>
      </c>
      <c r="I892" t="s">
        <v>34</v>
      </c>
    </row>
    <row r="893" spans="1:9" x14ac:dyDescent="0.3">
      <c r="A893" t="str">
        <f t="shared" si="13"/>
        <v>CASE-0892</v>
      </c>
      <c r="B893" s="1">
        <v>45751</v>
      </c>
      <c r="C893" t="s">
        <v>9</v>
      </c>
      <c r="D893">
        <v>2</v>
      </c>
      <c r="E893" t="b">
        <v>1</v>
      </c>
      <c r="F893" s="2">
        <v>6.9915732068168284</v>
      </c>
      <c r="G893" t="b">
        <v>0</v>
      </c>
      <c r="H893" t="s">
        <v>14</v>
      </c>
      <c r="I893" t="s">
        <v>34</v>
      </c>
    </row>
    <row r="894" spans="1:9" x14ac:dyDescent="0.3">
      <c r="A894" t="str">
        <f t="shared" si="13"/>
        <v>CASE-0893</v>
      </c>
      <c r="B894" s="1">
        <v>46040</v>
      </c>
      <c r="C894" t="s">
        <v>12</v>
      </c>
      <c r="D894">
        <v>5</v>
      </c>
      <c r="E894" t="b">
        <v>1</v>
      </c>
      <c r="F894" s="2">
        <v>7.5950297256524637</v>
      </c>
      <c r="G894" t="b">
        <v>0</v>
      </c>
      <c r="H894" t="s">
        <v>25</v>
      </c>
      <c r="I894" t="s">
        <v>34</v>
      </c>
    </row>
    <row r="895" spans="1:9" x14ac:dyDescent="0.3">
      <c r="A895" t="str">
        <f t="shared" si="13"/>
        <v>CASE-0894</v>
      </c>
      <c r="B895" s="1">
        <v>45609</v>
      </c>
      <c r="C895" t="s">
        <v>11</v>
      </c>
      <c r="D895">
        <v>4</v>
      </c>
      <c r="E895" t="b">
        <v>0</v>
      </c>
      <c r="F895" s="2">
        <v>8.1597924715999302</v>
      </c>
      <c r="G895" t="b">
        <v>0</v>
      </c>
      <c r="H895" t="s">
        <v>24</v>
      </c>
      <c r="I895" t="s">
        <v>33</v>
      </c>
    </row>
    <row r="896" spans="1:9" x14ac:dyDescent="0.3">
      <c r="A896" t="str">
        <f t="shared" si="13"/>
        <v>CASE-0895</v>
      </c>
      <c r="B896" s="1">
        <v>45912</v>
      </c>
      <c r="C896" t="s">
        <v>10</v>
      </c>
      <c r="D896">
        <v>2</v>
      </c>
      <c r="E896" t="b">
        <v>0</v>
      </c>
      <c r="F896" s="2">
        <v>5.3733415319860267</v>
      </c>
      <c r="G896" t="b">
        <v>0</v>
      </c>
      <c r="H896" t="s">
        <v>14</v>
      </c>
      <c r="I896" t="s">
        <v>34</v>
      </c>
    </row>
    <row r="897" spans="1:9" x14ac:dyDescent="0.3">
      <c r="A897" t="str">
        <f t="shared" si="13"/>
        <v>CASE-0896</v>
      </c>
      <c r="B897" s="1">
        <v>46111</v>
      </c>
      <c r="C897" t="s">
        <v>10</v>
      </c>
      <c r="D897">
        <v>1</v>
      </c>
      <c r="E897" t="b">
        <v>1</v>
      </c>
      <c r="F897" s="2">
        <v>7.6696824462661866</v>
      </c>
      <c r="G897" t="b">
        <v>0</v>
      </c>
      <c r="H897" t="s">
        <v>25</v>
      </c>
      <c r="I897" t="s">
        <v>34</v>
      </c>
    </row>
    <row r="898" spans="1:9" x14ac:dyDescent="0.3">
      <c r="A898" t="str">
        <f t="shared" si="13"/>
        <v>CASE-0897</v>
      </c>
      <c r="B898" s="1">
        <v>46045</v>
      </c>
      <c r="C898" t="s">
        <v>11</v>
      </c>
      <c r="D898">
        <v>1</v>
      </c>
      <c r="E898" t="b">
        <v>1</v>
      </c>
      <c r="F898" s="2">
        <v>22.354845335738609</v>
      </c>
      <c r="G898" t="b">
        <v>0</v>
      </c>
      <c r="H898" t="s">
        <v>20</v>
      </c>
      <c r="I898" t="s">
        <v>33</v>
      </c>
    </row>
    <row r="899" spans="1:9" x14ac:dyDescent="0.3">
      <c r="A899" t="str">
        <f t="shared" ref="A899:A962" si="14">"CASE-"&amp;TEXT(ROW()-1,"0000")</f>
        <v>CASE-0898</v>
      </c>
      <c r="B899" s="1">
        <v>45865</v>
      </c>
      <c r="C899" t="s">
        <v>10</v>
      </c>
      <c r="D899">
        <v>1</v>
      </c>
      <c r="E899" t="b">
        <v>1</v>
      </c>
      <c r="F899" s="2">
        <v>7.9749628430086625</v>
      </c>
      <c r="G899" t="b">
        <v>0</v>
      </c>
      <c r="H899" t="s">
        <v>16</v>
      </c>
      <c r="I899" t="s">
        <v>34</v>
      </c>
    </row>
    <row r="900" spans="1:9" x14ac:dyDescent="0.3">
      <c r="A900" t="str">
        <f t="shared" si="14"/>
        <v>CASE-0899</v>
      </c>
      <c r="B900" s="1">
        <v>45982</v>
      </c>
      <c r="C900" t="s">
        <v>11</v>
      </c>
      <c r="D900">
        <v>3</v>
      </c>
      <c r="E900" t="b">
        <v>1</v>
      </c>
      <c r="F900" s="2">
        <v>9.2872636443127163</v>
      </c>
      <c r="G900" t="b">
        <v>0</v>
      </c>
      <c r="H900" t="s">
        <v>21</v>
      </c>
      <c r="I900" t="s">
        <v>34</v>
      </c>
    </row>
    <row r="901" spans="1:9" x14ac:dyDescent="0.3">
      <c r="A901" t="str">
        <f t="shared" si="14"/>
        <v>CASE-0900</v>
      </c>
      <c r="B901" s="1">
        <v>45850</v>
      </c>
      <c r="C901" t="s">
        <v>10</v>
      </c>
      <c r="D901">
        <v>3</v>
      </c>
      <c r="E901" t="b">
        <v>1</v>
      </c>
      <c r="F901" s="2">
        <v>4.7876896013562291</v>
      </c>
      <c r="G901" t="b">
        <v>0</v>
      </c>
      <c r="H901" t="s">
        <v>21</v>
      </c>
      <c r="I901" t="s">
        <v>34</v>
      </c>
    </row>
    <row r="902" spans="1:9" x14ac:dyDescent="0.3">
      <c r="A902" t="str">
        <f t="shared" si="14"/>
        <v>CASE-0901</v>
      </c>
      <c r="B902" s="1">
        <v>45513</v>
      </c>
      <c r="C902" t="s">
        <v>9</v>
      </c>
      <c r="D902">
        <v>3</v>
      </c>
      <c r="E902" t="b">
        <v>0</v>
      </c>
      <c r="F902" s="2">
        <v>22.717153551935876</v>
      </c>
      <c r="G902" t="b">
        <v>0</v>
      </c>
      <c r="H902" t="s">
        <v>32</v>
      </c>
      <c r="I902" t="s">
        <v>33</v>
      </c>
    </row>
    <row r="903" spans="1:9" x14ac:dyDescent="0.3">
      <c r="A903" t="str">
        <f t="shared" si="14"/>
        <v>CASE-0902</v>
      </c>
      <c r="B903" s="1">
        <v>46199</v>
      </c>
      <c r="C903" t="s">
        <v>9</v>
      </c>
      <c r="D903">
        <v>2</v>
      </c>
      <c r="E903" t="b">
        <v>1</v>
      </c>
      <c r="F903" s="2">
        <v>12.208240514499789</v>
      </c>
      <c r="G903" t="b">
        <v>0</v>
      </c>
      <c r="H903" t="s">
        <v>13</v>
      </c>
      <c r="I903" t="s">
        <v>34</v>
      </c>
    </row>
    <row r="904" spans="1:9" x14ac:dyDescent="0.3">
      <c r="A904" t="str">
        <f t="shared" si="14"/>
        <v>CASE-0903</v>
      </c>
      <c r="B904" s="1">
        <v>45924</v>
      </c>
      <c r="C904" t="s">
        <v>9</v>
      </c>
      <c r="D904">
        <v>1</v>
      </c>
      <c r="E904" t="b">
        <v>1</v>
      </c>
      <c r="F904" s="2">
        <v>24.442860017976543</v>
      </c>
      <c r="G904" t="b">
        <v>0</v>
      </c>
      <c r="H904" t="s">
        <v>28</v>
      </c>
      <c r="I904" t="s">
        <v>33</v>
      </c>
    </row>
    <row r="905" spans="1:9" x14ac:dyDescent="0.3">
      <c r="A905" t="str">
        <f t="shared" si="14"/>
        <v>CASE-0904</v>
      </c>
      <c r="B905" s="1">
        <v>45735</v>
      </c>
      <c r="C905" t="s">
        <v>11</v>
      </c>
      <c r="D905">
        <v>2</v>
      </c>
      <c r="E905" t="b">
        <v>1</v>
      </c>
      <c r="F905" s="2">
        <v>33.7690950182281</v>
      </c>
      <c r="G905" t="b">
        <v>0</v>
      </c>
      <c r="H905" t="s">
        <v>18</v>
      </c>
      <c r="I905" t="s">
        <v>33</v>
      </c>
    </row>
    <row r="906" spans="1:9" x14ac:dyDescent="0.3">
      <c r="A906" t="str">
        <f t="shared" si="14"/>
        <v>CASE-0905</v>
      </c>
      <c r="B906" s="1">
        <v>45500</v>
      </c>
      <c r="C906" t="s">
        <v>11</v>
      </c>
      <c r="D906">
        <v>3</v>
      </c>
      <c r="E906" t="b">
        <v>0</v>
      </c>
      <c r="F906" s="2">
        <v>19.092844859249887</v>
      </c>
      <c r="G906" t="b">
        <v>0</v>
      </c>
      <c r="H906" t="s">
        <v>13</v>
      </c>
      <c r="I906" t="s">
        <v>33</v>
      </c>
    </row>
    <row r="907" spans="1:9" x14ac:dyDescent="0.3">
      <c r="A907" t="str">
        <f t="shared" si="14"/>
        <v>CASE-0906</v>
      </c>
      <c r="B907" s="1">
        <v>45624</v>
      </c>
      <c r="C907" t="s">
        <v>12</v>
      </c>
      <c r="D907">
        <v>5</v>
      </c>
      <c r="E907" t="b">
        <v>0</v>
      </c>
      <c r="F907" s="2">
        <v>23.27465307508157</v>
      </c>
      <c r="G907" t="b">
        <v>0</v>
      </c>
      <c r="H907" t="s">
        <v>16</v>
      </c>
      <c r="I907" t="s">
        <v>33</v>
      </c>
    </row>
    <row r="908" spans="1:9" x14ac:dyDescent="0.3">
      <c r="A908" t="str">
        <f t="shared" si="14"/>
        <v>CASE-0907</v>
      </c>
      <c r="B908" s="1">
        <v>46199</v>
      </c>
      <c r="C908" t="s">
        <v>11</v>
      </c>
      <c r="D908">
        <v>4</v>
      </c>
      <c r="E908" t="b">
        <v>1</v>
      </c>
      <c r="F908" s="2">
        <v>6.20760734001058</v>
      </c>
      <c r="G908" t="b">
        <v>0</v>
      </c>
      <c r="H908" t="s">
        <v>30</v>
      </c>
      <c r="I908" t="s">
        <v>34</v>
      </c>
    </row>
    <row r="909" spans="1:9" x14ac:dyDescent="0.3">
      <c r="A909" t="str">
        <f t="shared" si="14"/>
        <v>CASE-0908</v>
      </c>
      <c r="B909" s="1">
        <v>45583</v>
      </c>
      <c r="C909" t="s">
        <v>11</v>
      </c>
      <c r="D909">
        <v>3</v>
      </c>
      <c r="E909" t="b">
        <v>0</v>
      </c>
      <c r="F909" s="2">
        <v>45.23263590513055</v>
      </c>
      <c r="G909" t="b">
        <v>0</v>
      </c>
      <c r="H909" t="s">
        <v>28</v>
      </c>
      <c r="I909" t="s">
        <v>33</v>
      </c>
    </row>
    <row r="910" spans="1:9" x14ac:dyDescent="0.3">
      <c r="A910" t="str">
        <f t="shared" si="14"/>
        <v>CASE-0909</v>
      </c>
      <c r="B910" s="1">
        <v>45522</v>
      </c>
      <c r="C910" t="s">
        <v>12</v>
      </c>
      <c r="D910">
        <v>5</v>
      </c>
      <c r="E910" t="b">
        <v>0</v>
      </c>
      <c r="F910" s="2">
        <v>27.467473065754792</v>
      </c>
      <c r="G910" t="b">
        <v>0</v>
      </c>
      <c r="H910" t="s">
        <v>31</v>
      </c>
      <c r="I910" t="s">
        <v>33</v>
      </c>
    </row>
    <row r="911" spans="1:9" x14ac:dyDescent="0.3">
      <c r="A911" t="str">
        <f t="shared" si="14"/>
        <v>CASE-0910</v>
      </c>
      <c r="B911" s="1">
        <v>45886</v>
      </c>
      <c r="C911" t="s">
        <v>9</v>
      </c>
      <c r="D911">
        <v>5</v>
      </c>
      <c r="E911" t="b">
        <v>1</v>
      </c>
      <c r="F911" s="2">
        <v>3.0760344925583429</v>
      </c>
      <c r="G911" t="b">
        <v>0</v>
      </c>
      <c r="H911" t="s">
        <v>27</v>
      </c>
      <c r="I911" t="s">
        <v>34</v>
      </c>
    </row>
    <row r="912" spans="1:9" x14ac:dyDescent="0.3">
      <c r="A912" t="str">
        <f t="shared" si="14"/>
        <v>CASE-0911</v>
      </c>
      <c r="B912" s="1">
        <v>46197</v>
      </c>
      <c r="C912" t="s">
        <v>9</v>
      </c>
      <c r="D912">
        <v>5</v>
      </c>
      <c r="E912" t="b">
        <v>0</v>
      </c>
      <c r="F912" s="2">
        <v>20.89718294217997</v>
      </c>
      <c r="G912" t="b">
        <v>0</v>
      </c>
      <c r="H912" t="s">
        <v>21</v>
      </c>
      <c r="I912" t="s">
        <v>33</v>
      </c>
    </row>
    <row r="913" spans="1:9" x14ac:dyDescent="0.3">
      <c r="A913" t="str">
        <f t="shared" si="14"/>
        <v>CASE-0912</v>
      </c>
      <c r="B913" s="1">
        <v>45721</v>
      </c>
      <c r="C913" t="s">
        <v>12</v>
      </c>
      <c r="D913">
        <v>4</v>
      </c>
      <c r="E913" t="b">
        <v>1</v>
      </c>
      <c r="F913" s="2">
        <v>7.0906490400782971</v>
      </c>
      <c r="G913" t="b">
        <v>0</v>
      </c>
      <c r="H913" t="s">
        <v>15</v>
      </c>
      <c r="I913" t="s">
        <v>34</v>
      </c>
    </row>
    <row r="914" spans="1:9" x14ac:dyDescent="0.3">
      <c r="A914" t="str">
        <f t="shared" si="14"/>
        <v>CASE-0913</v>
      </c>
      <c r="B914" s="1">
        <v>46014</v>
      </c>
      <c r="C914" t="s">
        <v>12</v>
      </c>
      <c r="D914">
        <v>4</v>
      </c>
      <c r="E914" t="b">
        <v>1</v>
      </c>
      <c r="F914" s="2">
        <v>6.1191956843130892</v>
      </c>
      <c r="G914" t="b">
        <v>0</v>
      </c>
      <c r="H914" t="s">
        <v>23</v>
      </c>
      <c r="I914" t="s">
        <v>34</v>
      </c>
    </row>
    <row r="915" spans="1:9" x14ac:dyDescent="0.3">
      <c r="A915" t="str">
        <f t="shared" si="14"/>
        <v>CASE-0914</v>
      </c>
      <c r="B915" s="1">
        <v>45788</v>
      </c>
      <c r="C915" t="s">
        <v>10</v>
      </c>
      <c r="D915">
        <v>4</v>
      </c>
      <c r="E915" t="b">
        <v>1</v>
      </c>
      <c r="F915" s="2">
        <v>5.7200963961675368</v>
      </c>
      <c r="G915" t="b">
        <v>0</v>
      </c>
      <c r="H915" t="s">
        <v>13</v>
      </c>
      <c r="I915" t="s">
        <v>34</v>
      </c>
    </row>
    <row r="916" spans="1:9" x14ac:dyDescent="0.3">
      <c r="A916" t="str">
        <f t="shared" si="14"/>
        <v>CASE-0915</v>
      </c>
      <c r="B916" s="1">
        <v>45649</v>
      </c>
      <c r="C916" t="s">
        <v>11</v>
      </c>
      <c r="D916">
        <v>3</v>
      </c>
      <c r="E916" t="b">
        <v>0</v>
      </c>
      <c r="F916" s="2">
        <v>12.5773469388031</v>
      </c>
      <c r="G916" t="b">
        <v>0</v>
      </c>
      <c r="H916" t="s">
        <v>31</v>
      </c>
      <c r="I916" t="s">
        <v>33</v>
      </c>
    </row>
    <row r="917" spans="1:9" x14ac:dyDescent="0.3">
      <c r="A917" t="str">
        <f t="shared" si="14"/>
        <v>CASE-0916</v>
      </c>
      <c r="B917" s="1">
        <v>45535</v>
      </c>
      <c r="C917" t="s">
        <v>9</v>
      </c>
      <c r="D917">
        <v>4</v>
      </c>
      <c r="E917" t="b">
        <v>0</v>
      </c>
      <c r="F917" s="2">
        <v>32.595784188187565</v>
      </c>
      <c r="G917" t="b">
        <v>0</v>
      </c>
      <c r="H917" t="s">
        <v>28</v>
      </c>
      <c r="I917" t="s">
        <v>33</v>
      </c>
    </row>
    <row r="918" spans="1:9" x14ac:dyDescent="0.3">
      <c r="A918" t="str">
        <f t="shared" si="14"/>
        <v>CASE-0917</v>
      </c>
      <c r="B918" s="1">
        <v>45765</v>
      </c>
      <c r="C918" t="s">
        <v>12</v>
      </c>
      <c r="D918">
        <v>1</v>
      </c>
      <c r="E918" t="b">
        <v>1</v>
      </c>
      <c r="F918" s="2">
        <v>6.423626253679048</v>
      </c>
      <c r="G918" t="b">
        <v>0</v>
      </c>
      <c r="H918" t="s">
        <v>13</v>
      </c>
      <c r="I918" t="s">
        <v>34</v>
      </c>
    </row>
    <row r="919" spans="1:9" x14ac:dyDescent="0.3">
      <c r="A919" t="str">
        <f t="shared" si="14"/>
        <v>CASE-0918</v>
      </c>
      <c r="B919" s="1">
        <v>46171</v>
      </c>
      <c r="C919" t="s">
        <v>10</v>
      </c>
      <c r="D919">
        <v>3</v>
      </c>
      <c r="E919" t="b">
        <v>0</v>
      </c>
      <c r="F919" s="2">
        <v>8.6692645384632172</v>
      </c>
      <c r="G919" t="b">
        <v>0</v>
      </c>
      <c r="H919" t="s">
        <v>14</v>
      </c>
      <c r="I919" t="s">
        <v>35</v>
      </c>
    </row>
    <row r="920" spans="1:9" x14ac:dyDescent="0.3">
      <c r="A920" t="str">
        <f t="shared" si="14"/>
        <v>CASE-0919</v>
      </c>
      <c r="B920" s="1">
        <v>45797</v>
      </c>
      <c r="C920" t="s">
        <v>9</v>
      </c>
      <c r="D920">
        <v>2</v>
      </c>
      <c r="E920" t="b">
        <v>1</v>
      </c>
      <c r="F920" s="2">
        <v>8.8428948222286596</v>
      </c>
      <c r="G920" t="b">
        <v>0</v>
      </c>
      <c r="H920" t="s">
        <v>19</v>
      </c>
      <c r="I920" t="s">
        <v>34</v>
      </c>
    </row>
    <row r="921" spans="1:9" x14ac:dyDescent="0.3">
      <c r="A921" t="str">
        <f t="shared" si="14"/>
        <v>CASE-0920</v>
      </c>
      <c r="B921" s="1">
        <v>45827</v>
      </c>
      <c r="C921" t="s">
        <v>12</v>
      </c>
      <c r="D921">
        <v>5</v>
      </c>
      <c r="E921" t="b">
        <v>0</v>
      </c>
      <c r="F921" s="2">
        <v>1.1964040023297411</v>
      </c>
      <c r="G921" t="b">
        <v>1</v>
      </c>
      <c r="H921" t="s">
        <v>16</v>
      </c>
      <c r="I921" t="s">
        <v>34</v>
      </c>
    </row>
    <row r="922" spans="1:9" x14ac:dyDescent="0.3">
      <c r="A922" t="str">
        <f t="shared" si="14"/>
        <v>CASE-0921</v>
      </c>
      <c r="B922" s="1">
        <v>46100</v>
      </c>
      <c r="C922" t="s">
        <v>10</v>
      </c>
      <c r="D922">
        <v>1</v>
      </c>
      <c r="E922" t="b">
        <v>1</v>
      </c>
      <c r="F922" s="2">
        <v>4.9990048936822875</v>
      </c>
      <c r="G922" t="b">
        <v>0</v>
      </c>
      <c r="H922" t="s">
        <v>21</v>
      </c>
      <c r="I922" t="s">
        <v>34</v>
      </c>
    </row>
    <row r="923" spans="1:9" x14ac:dyDescent="0.3">
      <c r="A923" t="str">
        <f t="shared" si="14"/>
        <v>CASE-0922</v>
      </c>
      <c r="B923" s="1">
        <v>46145</v>
      </c>
      <c r="C923" t="s">
        <v>10</v>
      </c>
      <c r="D923">
        <v>1</v>
      </c>
      <c r="E923" t="b">
        <v>1</v>
      </c>
      <c r="F923" s="2">
        <v>7.2732027807253417</v>
      </c>
      <c r="G923" t="b">
        <v>0</v>
      </c>
      <c r="H923" t="s">
        <v>14</v>
      </c>
      <c r="I923" t="s">
        <v>34</v>
      </c>
    </row>
    <row r="924" spans="1:9" x14ac:dyDescent="0.3">
      <c r="A924" t="str">
        <f t="shared" si="14"/>
        <v>CASE-0923</v>
      </c>
      <c r="B924" s="1">
        <v>45705</v>
      </c>
      <c r="C924" t="s">
        <v>11</v>
      </c>
      <c r="D924">
        <v>4</v>
      </c>
      <c r="E924" t="b">
        <v>1</v>
      </c>
      <c r="F924" s="2">
        <v>5.3002157881914993</v>
      </c>
      <c r="G924" t="b">
        <v>0</v>
      </c>
      <c r="H924" t="s">
        <v>32</v>
      </c>
      <c r="I924" t="s">
        <v>34</v>
      </c>
    </row>
    <row r="925" spans="1:9" x14ac:dyDescent="0.3">
      <c r="A925" t="str">
        <f t="shared" si="14"/>
        <v>CASE-0924</v>
      </c>
      <c r="B925" s="1">
        <v>45595</v>
      </c>
      <c r="C925" t="s">
        <v>9</v>
      </c>
      <c r="D925">
        <v>5</v>
      </c>
      <c r="E925" t="b">
        <v>0</v>
      </c>
      <c r="F925" s="2">
        <v>22.002471493307439</v>
      </c>
      <c r="G925" t="b">
        <v>0</v>
      </c>
      <c r="H925" t="s">
        <v>28</v>
      </c>
      <c r="I925" t="s">
        <v>33</v>
      </c>
    </row>
    <row r="926" spans="1:9" x14ac:dyDescent="0.3">
      <c r="A926" t="str">
        <f t="shared" si="14"/>
        <v>CASE-0925</v>
      </c>
      <c r="B926" s="1">
        <v>45868</v>
      </c>
      <c r="C926" t="s">
        <v>11</v>
      </c>
      <c r="D926">
        <v>3</v>
      </c>
      <c r="E926" t="b">
        <v>1</v>
      </c>
      <c r="F926" s="2">
        <v>6.4104367762193624</v>
      </c>
      <c r="G926" t="b">
        <v>0</v>
      </c>
      <c r="H926" t="s">
        <v>16</v>
      </c>
      <c r="I926" t="s">
        <v>34</v>
      </c>
    </row>
    <row r="927" spans="1:9" x14ac:dyDescent="0.3">
      <c r="A927" t="str">
        <f t="shared" si="14"/>
        <v>CASE-0926</v>
      </c>
      <c r="B927" s="1">
        <v>45694</v>
      </c>
      <c r="C927" t="s">
        <v>9</v>
      </c>
      <c r="D927">
        <v>4</v>
      </c>
      <c r="E927" t="b">
        <v>1</v>
      </c>
      <c r="F927" s="2">
        <v>11.547839801996126</v>
      </c>
      <c r="G927" t="b">
        <v>0</v>
      </c>
      <c r="H927" t="s">
        <v>13</v>
      </c>
      <c r="I927" t="s">
        <v>34</v>
      </c>
    </row>
    <row r="928" spans="1:9" x14ac:dyDescent="0.3">
      <c r="A928" t="str">
        <f t="shared" si="14"/>
        <v>CASE-0927</v>
      </c>
      <c r="B928" s="1">
        <v>45928</v>
      </c>
      <c r="C928" t="s">
        <v>10</v>
      </c>
      <c r="D928">
        <v>3</v>
      </c>
      <c r="E928" t="b">
        <v>0</v>
      </c>
      <c r="F928" s="2">
        <v>21.034785781289337</v>
      </c>
      <c r="G928" t="b">
        <v>0</v>
      </c>
      <c r="H928" t="s">
        <v>15</v>
      </c>
      <c r="I928" t="s">
        <v>33</v>
      </c>
    </row>
    <row r="929" spans="1:9" x14ac:dyDescent="0.3">
      <c r="A929" t="str">
        <f t="shared" si="14"/>
        <v>CASE-0928</v>
      </c>
      <c r="B929" s="1">
        <v>45485</v>
      </c>
      <c r="C929" t="s">
        <v>10</v>
      </c>
      <c r="D929">
        <v>2</v>
      </c>
      <c r="E929" t="b">
        <v>0</v>
      </c>
      <c r="F929" s="2">
        <v>24.882626139455098</v>
      </c>
      <c r="G929" t="b">
        <v>0</v>
      </c>
      <c r="H929" t="s">
        <v>19</v>
      </c>
      <c r="I929" t="s">
        <v>33</v>
      </c>
    </row>
    <row r="930" spans="1:9" x14ac:dyDescent="0.3">
      <c r="A930" t="str">
        <f t="shared" si="14"/>
        <v>CASE-0929</v>
      </c>
      <c r="B930" s="1">
        <v>46189</v>
      </c>
      <c r="C930" t="s">
        <v>9</v>
      </c>
      <c r="D930">
        <v>2</v>
      </c>
      <c r="E930" t="b">
        <v>1</v>
      </c>
      <c r="F930" s="2">
        <v>4.2598162956300492</v>
      </c>
      <c r="G930" t="b">
        <v>0</v>
      </c>
      <c r="H930" t="s">
        <v>19</v>
      </c>
      <c r="I930" t="s">
        <v>34</v>
      </c>
    </row>
    <row r="931" spans="1:9" x14ac:dyDescent="0.3">
      <c r="A931" t="str">
        <f t="shared" si="14"/>
        <v>CASE-0930</v>
      </c>
      <c r="B931" s="1">
        <v>46140</v>
      </c>
      <c r="C931" t="s">
        <v>11</v>
      </c>
      <c r="D931">
        <v>5</v>
      </c>
      <c r="E931" t="b">
        <v>1</v>
      </c>
      <c r="F931" s="2">
        <v>26.992299506219162</v>
      </c>
      <c r="G931" t="b">
        <v>0</v>
      </c>
      <c r="H931" t="s">
        <v>20</v>
      </c>
      <c r="I931" t="s">
        <v>33</v>
      </c>
    </row>
    <row r="932" spans="1:9" x14ac:dyDescent="0.3">
      <c r="A932" t="str">
        <f t="shared" si="14"/>
        <v>CASE-0931</v>
      </c>
      <c r="B932" s="1">
        <v>45989</v>
      </c>
      <c r="C932" t="s">
        <v>12</v>
      </c>
      <c r="D932">
        <v>1</v>
      </c>
      <c r="E932" t="b">
        <v>1</v>
      </c>
      <c r="F932" s="2">
        <v>13.305932099142224</v>
      </c>
      <c r="G932" t="b">
        <v>0</v>
      </c>
      <c r="H932" t="s">
        <v>32</v>
      </c>
      <c r="I932" t="s">
        <v>33</v>
      </c>
    </row>
    <row r="933" spans="1:9" x14ac:dyDescent="0.3">
      <c r="A933" t="str">
        <f t="shared" si="14"/>
        <v>CASE-0932</v>
      </c>
      <c r="B933" s="1">
        <v>45887</v>
      </c>
      <c r="C933" t="s">
        <v>11</v>
      </c>
      <c r="D933">
        <v>3</v>
      </c>
      <c r="E933" t="b">
        <v>1</v>
      </c>
      <c r="F933" s="2">
        <v>5.1616344566703338</v>
      </c>
      <c r="G933" t="b">
        <v>0</v>
      </c>
      <c r="H933" t="s">
        <v>19</v>
      </c>
      <c r="I933" t="s">
        <v>34</v>
      </c>
    </row>
    <row r="934" spans="1:9" x14ac:dyDescent="0.3">
      <c r="A934" t="str">
        <f t="shared" si="14"/>
        <v>CASE-0933</v>
      </c>
      <c r="B934" s="1">
        <v>45689</v>
      </c>
      <c r="C934" t="s">
        <v>10</v>
      </c>
      <c r="D934">
        <v>3</v>
      </c>
      <c r="E934" t="b">
        <v>1</v>
      </c>
      <c r="F934" s="2">
        <v>8.2817285635361362</v>
      </c>
      <c r="G934" t="b">
        <v>0</v>
      </c>
      <c r="H934" t="s">
        <v>19</v>
      </c>
      <c r="I934" t="s">
        <v>34</v>
      </c>
    </row>
    <row r="935" spans="1:9" x14ac:dyDescent="0.3">
      <c r="A935" t="str">
        <f t="shared" si="14"/>
        <v>CASE-0934</v>
      </c>
      <c r="B935" s="1">
        <v>46116</v>
      </c>
      <c r="C935" t="s">
        <v>10</v>
      </c>
      <c r="D935">
        <v>4</v>
      </c>
      <c r="E935" t="b">
        <v>1</v>
      </c>
      <c r="F935" s="2">
        <v>9.3577180312025767</v>
      </c>
      <c r="G935" t="b">
        <v>0</v>
      </c>
      <c r="H935" t="s">
        <v>15</v>
      </c>
      <c r="I935" t="s">
        <v>34</v>
      </c>
    </row>
    <row r="936" spans="1:9" x14ac:dyDescent="0.3">
      <c r="A936" t="str">
        <f t="shared" si="14"/>
        <v>CASE-0935</v>
      </c>
      <c r="B936" s="1">
        <v>45763</v>
      </c>
      <c r="C936" t="s">
        <v>11</v>
      </c>
      <c r="D936">
        <v>2</v>
      </c>
      <c r="E936" t="b">
        <v>1</v>
      </c>
      <c r="F936" s="2">
        <v>5.6783187782502367</v>
      </c>
      <c r="G936" t="b">
        <v>0</v>
      </c>
      <c r="H936" t="s">
        <v>21</v>
      </c>
      <c r="I936" t="s">
        <v>34</v>
      </c>
    </row>
    <row r="937" spans="1:9" x14ac:dyDescent="0.3">
      <c r="A937" t="str">
        <f t="shared" si="14"/>
        <v>CASE-0936</v>
      </c>
      <c r="B937" s="1">
        <v>45498</v>
      </c>
      <c r="C937" t="s">
        <v>10</v>
      </c>
      <c r="D937">
        <v>4</v>
      </c>
      <c r="E937" t="b">
        <v>0</v>
      </c>
      <c r="F937" s="2">
        <v>18.327334593399758</v>
      </c>
      <c r="G937" t="b">
        <v>1</v>
      </c>
      <c r="H937" t="s">
        <v>19</v>
      </c>
      <c r="I937" t="s">
        <v>33</v>
      </c>
    </row>
    <row r="938" spans="1:9" x14ac:dyDescent="0.3">
      <c r="A938" t="str">
        <f t="shared" si="14"/>
        <v>CASE-0937</v>
      </c>
      <c r="B938" s="1">
        <v>45485</v>
      </c>
      <c r="C938" t="s">
        <v>11</v>
      </c>
      <c r="D938">
        <v>2</v>
      </c>
      <c r="E938" t="b">
        <v>0</v>
      </c>
      <c r="F938" s="2">
        <v>15.417601168684342</v>
      </c>
      <c r="G938" t="b">
        <v>0</v>
      </c>
      <c r="H938" t="s">
        <v>25</v>
      </c>
      <c r="I938" t="s">
        <v>33</v>
      </c>
    </row>
    <row r="939" spans="1:9" x14ac:dyDescent="0.3">
      <c r="A939" t="str">
        <f t="shared" si="14"/>
        <v>CASE-0938</v>
      </c>
      <c r="B939" s="1">
        <v>45719</v>
      </c>
      <c r="C939" t="s">
        <v>12</v>
      </c>
      <c r="D939">
        <v>5</v>
      </c>
      <c r="E939" t="b">
        <v>1</v>
      </c>
      <c r="F939" s="2">
        <v>6.6852548339800189</v>
      </c>
      <c r="G939" t="b">
        <v>0</v>
      </c>
      <c r="H939" t="s">
        <v>17</v>
      </c>
      <c r="I939" t="s">
        <v>34</v>
      </c>
    </row>
    <row r="940" spans="1:9" x14ac:dyDescent="0.3">
      <c r="A940" t="str">
        <f t="shared" si="14"/>
        <v>CASE-0939</v>
      </c>
      <c r="B940" s="1">
        <v>46200</v>
      </c>
      <c r="C940" t="s">
        <v>12</v>
      </c>
      <c r="D940">
        <v>1</v>
      </c>
      <c r="E940" t="b">
        <v>1</v>
      </c>
      <c r="F940" s="2">
        <v>6.1888016080088111</v>
      </c>
      <c r="G940" t="b">
        <v>0</v>
      </c>
      <c r="H940" t="s">
        <v>22</v>
      </c>
      <c r="I940" t="s">
        <v>34</v>
      </c>
    </row>
    <row r="941" spans="1:9" x14ac:dyDescent="0.3">
      <c r="A941" t="str">
        <f t="shared" si="14"/>
        <v>CASE-0940</v>
      </c>
      <c r="B941" s="1">
        <v>46161</v>
      </c>
      <c r="C941" t="s">
        <v>9</v>
      </c>
      <c r="D941">
        <v>5</v>
      </c>
      <c r="E941" t="b">
        <v>1</v>
      </c>
      <c r="F941" s="2">
        <v>34.270687386813776</v>
      </c>
      <c r="G941" t="b">
        <v>0</v>
      </c>
      <c r="H941" t="s">
        <v>27</v>
      </c>
      <c r="I941" t="s">
        <v>33</v>
      </c>
    </row>
    <row r="942" spans="1:9" x14ac:dyDescent="0.3">
      <c r="A942" t="str">
        <f t="shared" si="14"/>
        <v>CASE-0941</v>
      </c>
      <c r="B942" s="1">
        <v>45653</v>
      </c>
      <c r="C942" t="s">
        <v>9</v>
      </c>
      <c r="D942">
        <v>5</v>
      </c>
      <c r="E942" t="b">
        <v>0</v>
      </c>
      <c r="F942" s="2">
        <v>29.176740149350941</v>
      </c>
      <c r="G942" t="b">
        <v>0</v>
      </c>
      <c r="H942" t="s">
        <v>18</v>
      </c>
      <c r="I942" t="s">
        <v>33</v>
      </c>
    </row>
    <row r="943" spans="1:9" x14ac:dyDescent="0.3">
      <c r="A943" t="str">
        <f t="shared" si="14"/>
        <v>CASE-0942</v>
      </c>
      <c r="B943" s="1">
        <v>45859</v>
      </c>
      <c r="C943" t="s">
        <v>10</v>
      </c>
      <c r="D943">
        <v>4</v>
      </c>
      <c r="E943" t="b">
        <v>1</v>
      </c>
      <c r="F943" s="2">
        <v>35.488759529615635</v>
      </c>
      <c r="G943" t="b">
        <v>0</v>
      </c>
      <c r="H943" t="s">
        <v>21</v>
      </c>
      <c r="I943" t="s">
        <v>33</v>
      </c>
    </row>
    <row r="944" spans="1:9" x14ac:dyDescent="0.3">
      <c r="A944" t="str">
        <f t="shared" si="14"/>
        <v>CASE-0943</v>
      </c>
      <c r="B944" s="1">
        <v>46195</v>
      </c>
      <c r="C944" t="s">
        <v>11</v>
      </c>
      <c r="D944">
        <v>4</v>
      </c>
      <c r="E944" t="b">
        <v>0</v>
      </c>
      <c r="F944" s="2">
        <v>34.72694989719318</v>
      </c>
      <c r="G944" t="b">
        <v>0</v>
      </c>
      <c r="H944" t="s">
        <v>18</v>
      </c>
      <c r="I944" t="s">
        <v>33</v>
      </c>
    </row>
    <row r="945" spans="1:9" x14ac:dyDescent="0.3">
      <c r="A945" t="str">
        <f t="shared" si="14"/>
        <v>CASE-0944</v>
      </c>
      <c r="B945" s="1">
        <v>46078</v>
      </c>
      <c r="C945" t="s">
        <v>9</v>
      </c>
      <c r="D945">
        <v>3</v>
      </c>
      <c r="E945" t="b">
        <v>1</v>
      </c>
      <c r="F945" s="2">
        <v>5.6927024867188516</v>
      </c>
      <c r="G945" t="b">
        <v>0</v>
      </c>
      <c r="H945" t="s">
        <v>23</v>
      </c>
      <c r="I945" t="s">
        <v>34</v>
      </c>
    </row>
    <row r="946" spans="1:9" x14ac:dyDescent="0.3">
      <c r="A946" t="str">
        <f t="shared" si="14"/>
        <v>CASE-0945</v>
      </c>
      <c r="B946" s="1">
        <v>46036</v>
      </c>
      <c r="C946" t="s">
        <v>10</v>
      </c>
      <c r="D946">
        <v>5</v>
      </c>
      <c r="E946" t="b">
        <v>1</v>
      </c>
      <c r="F946" s="2">
        <v>4.716287914861284</v>
      </c>
      <c r="G946" t="b">
        <v>0</v>
      </c>
      <c r="H946" t="s">
        <v>24</v>
      </c>
      <c r="I946" t="s">
        <v>34</v>
      </c>
    </row>
    <row r="947" spans="1:9" x14ac:dyDescent="0.3">
      <c r="A947" t="str">
        <f t="shared" si="14"/>
        <v>CASE-0946</v>
      </c>
      <c r="B947" s="1">
        <v>46083</v>
      </c>
      <c r="C947" t="s">
        <v>11</v>
      </c>
      <c r="D947">
        <v>1</v>
      </c>
      <c r="E947" t="b">
        <v>0</v>
      </c>
      <c r="F947" s="2">
        <v>6.9196819696677476</v>
      </c>
      <c r="G947" t="b">
        <v>0</v>
      </c>
      <c r="H947" t="s">
        <v>23</v>
      </c>
      <c r="I947" t="s">
        <v>34</v>
      </c>
    </row>
    <row r="948" spans="1:9" x14ac:dyDescent="0.3">
      <c r="A948" t="str">
        <f t="shared" si="14"/>
        <v>CASE-0947</v>
      </c>
      <c r="B948" s="1">
        <v>45533</v>
      </c>
      <c r="C948" t="s">
        <v>9</v>
      </c>
      <c r="D948">
        <v>5</v>
      </c>
      <c r="E948" t="b">
        <v>0</v>
      </c>
      <c r="F948" s="2">
        <v>24.256299525076216</v>
      </c>
      <c r="G948" t="b">
        <v>0</v>
      </c>
      <c r="H948" t="s">
        <v>28</v>
      </c>
      <c r="I948" t="s">
        <v>33</v>
      </c>
    </row>
    <row r="949" spans="1:9" x14ac:dyDescent="0.3">
      <c r="A949" t="str">
        <f t="shared" si="14"/>
        <v>CASE-0948</v>
      </c>
      <c r="B949" s="1">
        <v>46027</v>
      </c>
      <c r="C949" t="s">
        <v>12</v>
      </c>
      <c r="D949">
        <v>1</v>
      </c>
      <c r="E949" t="b">
        <v>1</v>
      </c>
      <c r="F949" s="2">
        <v>6.1750954258734314</v>
      </c>
      <c r="G949" t="b">
        <v>0</v>
      </c>
      <c r="H949" t="s">
        <v>22</v>
      </c>
      <c r="I949" t="s">
        <v>34</v>
      </c>
    </row>
    <row r="950" spans="1:9" x14ac:dyDescent="0.3">
      <c r="A950" t="str">
        <f t="shared" si="14"/>
        <v>CASE-0949</v>
      </c>
      <c r="B950" s="1">
        <v>45738</v>
      </c>
      <c r="C950" t="s">
        <v>9</v>
      </c>
      <c r="D950">
        <v>1</v>
      </c>
      <c r="E950" t="b">
        <v>1</v>
      </c>
      <c r="F950" s="2">
        <v>4.2765389088493837</v>
      </c>
      <c r="G950" t="b">
        <v>0</v>
      </c>
      <c r="H950" t="s">
        <v>13</v>
      </c>
      <c r="I950" t="s">
        <v>34</v>
      </c>
    </row>
    <row r="951" spans="1:9" x14ac:dyDescent="0.3">
      <c r="A951" t="str">
        <f t="shared" si="14"/>
        <v>CASE-0950</v>
      </c>
      <c r="B951" s="1">
        <v>45978</v>
      </c>
      <c r="C951" t="s">
        <v>10</v>
      </c>
      <c r="D951">
        <v>1</v>
      </c>
      <c r="E951" t="b">
        <v>1</v>
      </c>
      <c r="F951" s="2">
        <v>21.154195395507458</v>
      </c>
      <c r="G951" t="b">
        <v>0</v>
      </c>
      <c r="H951" t="s">
        <v>19</v>
      </c>
      <c r="I951" t="s">
        <v>33</v>
      </c>
    </row>
    <row r="952" spans="1:9" x14ac:dyDescent="0.3">
      <c r="A952" t="str">
        <f t="shared" si="14"/>
        <v>CASE-0951</v>
      </c>
      <c r="B952" s="1">
        <v>45716</v>
      </c>
      <c r="C952" t="s">
        <v>11</v>
      </c>
      <c r="D952">
        <v>2</v>
      </c>
      <c r="E952" t="b">
        <v>1</v>
      </c>
      <c r="F952" s="2">
        <v>6.2729346133313122</v>
      </c>
      <c r="G952" t="b">
        <v>0</v>
      </c>
      <c r="H952" t="s">
        <v>26</v>
      </c>
      <c r="I952" t="s">
        <v>34</v>
      </c>
    </row>
    <row r="953" spans="1:9" x14ac:dyDescent="0.3">
      <c r="A953" t="str">
        <f t="shared" si="14"/>
        <v>CASE-0952</v>
      </c>
      <c r="B953" s="1">
        <v>45955</v>
      </c>
      <c r="C953" t="s">
        <v>9</v>
      </c>
      <c r="D953">
        <v>1</v>
      </c>
      <c r="E953" t="b">
        <v>1</v>
      </c>
      <c r="F953" s="2">
        <v>33.340018973020257</v>
      </c>
      <c r="G953" t="b">
        <v>0</v>
      </c>
      <c r="H953" t="s">
        <v>19</v>
      </c>
      <c r="I953" t="s">
        <v>33</v>
      </c>
    </row>
    <row r="954" spans="1:9" x14ac:dyDescent="0.3">
      <c r="A954" t="str">
        <f t="shared" si="14"/>
        <v>CASE-0953</v>
      </c>
      <c r="B954" s="1">
        <v>45834</v>
      </c>
      <c r="C954" t="s">
        <v>11</v>
      </c>
      <c r="D954">
        <v>5</v>
      </c>
      <c r="E954" t="b">
        <v>1</v>
      </c>
      <c r="F954" s="2">
        <v>6.2639942897624294</v>
      </c>
      <c r="G954" t="b">
        <v>0</v>
      </c>
      <c r="H954" t="s">
        <v>28</v>
      </c>
      <c r="I954" t="s">
        <v>34</v>
      </c>
    </row>
    <row r="955" spans="1:9" x14ac:dyDescent="0.3">
      <c r="A955" t="str">
        <f t="shared" si="14"/>
        <v>CASE-0954</v>
      </c>
      <c r="B955" s="1">
        <v>45489</v>
      </c>
      <c r="C955" t="s">
        <v>9</v>
      </c>
      <c r="D955">
        <v>1</v>
      </c>
      <c r="E955" t="b">
        <v>0</v>
      </c>
      <c r="F955" s="2">
        <v>14.861262661584147</v>
      </c>
      <c r="G955" t="b">
        <v>0</v>
      </c>
      <c r="H955" t="s">
        <v>27</v>
      </c>
      <c r="I955" t="s">
        <v>33</v>
      </c>
    </row>
    <row r="956" spans="1:9" x14ac:dyDescent="0.3">
      <c r="A956" t="str">
        <f t="shared" si="14"/>
        <v>CASE-0955</v>
      </c>
      <c r="B956" s="1">
        <v>45925</v>
      </c>
      <c r="C956" t="s">
        <v>9</v>
      </c>
      <c r="D956">
        <v>4</v>
      </c>
      <c r="E956" t="b">
        <v>1</v>
      </c>
      <c r="F956" s="2">
        <v>5.4569291088612637</v>
      </c>
      <c r="G956" t="b">
        <v>0</v>
      </c>
      <c r="H956" t="s">
        <v>29</v>
      </c>
      <c r="I956" t="s">
        <v>34</v>
      </c>
    </row>
    <row r="957" spans="1:9" x14ac:dyDescent="0.3">
      <c r="A957" t="str">
        <f t="shared" si="14"/>
        <v>CASE-0956</v>
      </c>
      <c r="B957" s="1">
        <v>45993</v>
      </c>
      <c r="C957" t="s">
        <v>11</v>
      </c>
      <c r="D957">
        <v>3</v>
      </c>
      <c r="E957" t="b">
        <v>1</v>
      </c>
      <c r="F957" s="2">
        <v>4.8517943632424458</v>
      </c>
      <c r="G957" t="b">
        <v>0</v>
      </c>
      <c r="H957" t="s">
        <v>19</v>
      </c>
      <c r="I957" t="s">
        <v>34</v>
      </c>
    </row>
    <row r="958" spans="1:9" x14ac:dyDescent="0.3">
      <c r="A958" t="str">
        <f t="shared" si="14"/>
        <v>CASE-0957</v>
      </c>
      <c r="B958" s="1">
        <v>45849</v>
      </c>
      <c r="C958" t="s">
        <v>9</v>
      </c>
      <c r="D958">
        <v>4</v>
      </c>
      <c r="E958" t="b">
        <v>1</v>
      </c>
      <c r="F958" s="2">
        <v>0.60895140305011175</v>
      </c>
      <c r="G958" t="b">
        <v>0</v>
      </c>
      <c r="H958" t="s">
        <v>16</v>
      </c>
      <c r="I958" t="s">
        <v>35</v>
      </c>
    </row>
    <row r="959" spans="1:9" x14ac:dyDescent="0.3">
      <c r="A959" t="str">
        <f t="shared" si="14"/>
        <v>CASE-0958</v>
      </c>
      <c r="B959" s="1">
        <v>45933</v>
      </c>
      <c r="C959" t="s">
        <v>12</v>
      </c>
      <c r="D959">
        <v>2</v>
      </c>
      <c r="E959" t="b">
        <v>1</v>
      </c>
      <c r="F959" s="2">
        <v>6.9097317145278332</v>
      </c>
      <c r="G959" t="b">
        <v>0</v>
      </c>
      <c r="H959" t="s">
        <v>16</v>
      </c>
      <c r="I959" t="s">
        <v>35</v>
      </c>
    </row>
    <row r="960" spans="1:9" x14ac:dyDescent="0.3">
      <c r="A960" t="str">
        <f t="shared" si="14"/>
        <v>CASE-0959</v>
      </c>
      <c r="B960" s="1">
        <v>45596</v>
      </c>
      <c r="C960" t="s">
        <v>11</v>
      </c>
      <c r="D960">
        <v>3</v>
      </c>
      <c r="E960" t="b">
        <v>0</v>
      </c>
      <c r="F960" s="2">
        <v>32.744410028151435</v>
      </c>
      <c r="G960" t="b">
        <v>0</v>
      </c>
      <c r="H960" t="s">
        <v>32</v>
      </c>
      <c r="I960" t="s">
        <v>33</v>
      </c>
    </row>
    <row r="961" spans="1:9" x14ac:dyDescent="0.3">
      <c r="A961" t="str">
        <f t="shared" si="14"/>
        <v>CASE-0960</v>
      </c>
      <c r="B961" s="1">
        <v>45802</v>
      </c>
      <c r="C961" t="s">
        <v>12</v>
      </c>
      <c r="D961">
        <v>4</v>
      </c>
      <c r="E961" t="b">
        <v>0</v>
      </c>
      <c r="F961" s="2">
        <v>5.3187770248455131</v>
      </c>
      <c r="G961" t="b">
        <v>0</v>
      </c>
      <c r="H961" t="s">
        <v>32</v>
      </c>
      <c r="I961" t="s">
        <v>34</v>
      </c>
    </row>
    <row r="962" spans="1:9" x14ac:dyDescent="0.3">
      <c r="A962" t="str">
        <f t="shared" si="14"/>
        <v>CASE-0961</v>
      </c>
      <c r="B962" s="1">
        <v>46100</v>
      </c>
      <c r="C962" t="s">
        <v>11</v>
      </c>
      <c r="D962">
        <v>4</v>
      </c>
      <c r="E962" t="b">
        <v>1</v>
      </c>
      <c r="F962" s="2">
        <v>3.5787517982176342</v>
      </c>
      <c r="G962" t="b">
        <v>0</v>
      </c>
      <c r="H962" t="s">
        <v>13</v>
      </c>
      <c r="I962" t="s">
        <v>34</v>
      </c>
    </row>
    <row r="963" spans="1:9" x14ac:dyDescent="0.3">
      <c r="A963" t="str">
        <f t="shared" ref="A963:A1026" si="15">"CASE-"&amp;TEXT(ROW()-1,"0000")</f>
        <v>CASE-0962</v>
      </c>
      <c r="B963" s="1">
        <v>45891</v>
      </c>
      <c r="C963" t="s">
        <v>12</v>
      </c>
      <c r="D963">
        <v>5</v>
      </c>
      <c r="E963" t="b">
        <v>1</v>
      </c>
      <c r="F963" s="2">
        <v>5.3889329956524712</v>
      </c>
      <c r="G963" t="b">
        <v>0</v>
      </c>
      <c r="H963" t="s">
        <v>16</v>
      </c>
      <c r="I963" t="s">
        <v>34</v>
      </c>
    </row>
    <row r="964" spans="1:9" x14ac:dyDescent="0.3">
      <c r="A964" t="str">
        <f t="shared" si="15"/>
        <v>CASE-0963</v>
      </c>
      <c r="B964" s="1">
        <v>45910</v>
      </c>
      <c r="C964" t="s">
        <v>9</v>
      </c>
      <c r="D964">
        <v>3</v>
      </c>
      <c r="E964" t="b">
        <v>1</v>
      </c>
      <c r="F964" s="2">
        <v>6.8940044840371169</v>
      </c>
      <c r="G964" t="b">
        <v>0</v>
      </c>
      <c r="H964" t="s">
        <v>19</v>
      </c>
      <c r="I964" t="s">
        <v>34</v>
      </c>
    </row>
    <row r="965" spans="1:9" x14ac:dyDescent="0.3">
      <c r="A965" t="str">
        <f t="shared" si="15"/>
        <v>CASE-0964</v>
      </c>
      <c r="B965" s="1">
        <v>45677</v>
      </c>
      <c r="C965" t="s">
        <v>10</v>
      </c>
      <c r="D965">
        <v>4</v>
      </c>
      <c r="E965" t="b">
        <v>1</v>
      </c>
      <c r="F965" s="2">
        <v>11.278675800967942</v>
      </c>
      <c r="G965" t="b">
        <v>0</v>
      </c>
      <c r="H965" t="s">
        <v>29</v>
      </c>
      <c r="I965" t="s">
        <v>34</v>
      </c>
    </row>
    <row r="966" spans="1:9" x14ac:dyDescent="0.3">
      <c r="A966" t="str">
        <f t="shared" si="15"/>
        <v>CASE-0965</v>
      </c>
      <c r="B966" s="1">
        <v>45783</v>
      </c>
      <c r="C966" t="s">
        <v>11</v>
      </c>
      <c r="D966">
        <v>3</v>
      </c>
      <c r="E966" t="b">
        <v>1</v>
      </c>
      <c r="F966" s="2">
        <v>6.8993133373427193</v>
      </c>
      <c r="G966" t="b">
        <v>0</v>
      </c>
      <c r="H966" t="s">
        <v>16</v>
      </c>
      <c r="I966" t="s">
        <v>34</v>
      </c>
    </row>
    <row r="967" spans="1:9" x14ac:dyDescent="0.3">
      <c r="A967" t="str">
        <f t="shared" si="15"/>
        <v>CASE-0966</v>
      </c>
      <c r="B967" s="1">
        <v>45810</v>
      </c>
      <c r="C967" t="s">
        <v>9</v>
      </c>
      <c r="D967">
        <v>1</v>
      </c>
      <c r="E967" t="b">
        <v>1</v>
      </c>
      <c r="F967" s="2">
        <v>7.6282089715243515</v>
      </c>
      <c r="G967" t="b">
        <v>0</v>
      </c>
      <c r="H967" t="s">
        <v>16</v>
      </c>
      <c r="I967" t="s">
        <v>34</v>
      </c>
    </row>
    <row r="968" spans="1:9" x14ac:dyDescent="0.3">
      <c r="A968" t="str">
        <f t="shared" si="15"/>
        <v>CASE-0967</v>
      </c>
      <c r="B968" s="1">
        <v>45681</v>
      </c>
      <c r="C968" t="s">
        <v>11</v>
      </c>
      <c r="D968">
        <v>2</v>
      </c>
      <c r="E968" t="b">
        <v>1</v>
      </c>
      <c r="F968" s="2">
        <v>3.8470545482076646</v>
      </c>
      <c r="G968" t="b">
        <v>0</v>
      </c>
      <c r="H968" t="s">
        <v>25</v>
      </c>
      <c r="I968" t="s">
        <v>34</v>
      </c>
    </row>
    <row r="969" spans="1:9" x14ac:dyDescent="0.3">
      <c r="A969" t="str">
        <f t="shared" si="15"/>
        <v>CASE-0968</v>
      </c>
      <c r="B969" s="1">
        <v>45545</v>
      </c>
      <c r="C969" t="s">
        <v>9</v>
      </c>
      <c r="D969">
        <v>2</v>
      </c>
      <c r="E969" t="b">
        <v>0</v>
      </c>
      <c r="F969" s="2">
        <v>26.664604584408277</v>
      </c>
      <c r="G969" t="b">
        <v>1</v>
      </c>
      <c r="H969" t="s">
        <v>18</v>
      </c>
      <c r="I969" t="s">
        <v>33</v>
      </c>
    </row>
    <row r="970" spans="1:9" x14ac:dyDescent="0.3">
      <c r="A970" t="str">
        <f t="shared" si="15"/>
        <v>CASE-0969</v>
      </c>
      <c r="B970" s="1">
        <v>46112</v>
      </c>
      <c r="C970" t="s">
        <v>12</v>
      </c>
      <c r="D970">
        <v>4</v>
      </c>
      <c r="E970" t="b">
        <v>0</v>
      </c>
      <c r="F970" s="2">
        <v>6.543689629836889</v>
      </c>
      <c r="G970" t="b">
        <v>0</v>
      </c>
      <c r="H970" t="s">
        <v>28</v>
      </c>
      <c r="I970" t="s">
        <v>34</v>
      </c>
    </row>
    <row r="971" spans="1:9" x14ac:dyDescent="0.3">
      <c r="A971" t="str">
        <f t="shared" si="15"/>
        <v>CASE-0970</v>
      </c>
      <c r="B971" s="1">
        <v>45733</v>
      </c>
      <c r="C971" t="s">
        <v>12</v>
      </c>
      <c r="D971">
        <v>3</v>
      </c>
      <c r="E971" t="b">
        <v>0</v>
      </c>
      <c r="F971" s="2">
        <v>13.233877795954784</v>
      </c>
      <c r="G971" t="b">
        <v>0</v>
      </c>
      <c r="H971" t="s">
        <v>20</v>
      </c>
      <c r="I971" t="s">
        <v>33</v>
      </c>
    </row>
    <row r="972" spans="1:9" x14ac:dyDescent="0.3">
      <c r="A972" t="str">
        <f t="shared" si="15"/>
        <v>CASE-0971</v>
      </c>
      <c r="B972" s="1">
        <v>46183</v>
      </c>
      <c r="C972" t="s">
        <v>9</v>
      </c>
      <c r="D972">
        <v>2</v>
      </c>
      <c r="E972" t="b">
        <v>1</v>
      </c>
      <c r="F972" s="2">
        <v>13.900884629154751</v>
      </c>
      <c r="G972" t="b">
        <v>0</v>
      </c>
      <c r="H972" t="s">
        <v>28</v>
      </c>
      <c r="I972" t="s">
        <v>33</v>
      </c>
    </row>
    <row r="973" spans="1:9" x14ac:dyDescent="0.3">
      <c r="A973" t="str">
        <f t="shared" si="15"/>
        <v>CASE-0972</v>
      </c>
      <c r="B973" s="1">
        <v>45721</v>
      </c>
      <c r="C973" t="s">
        <v>12</v>
      </c>
      <c r="D973">
        <v>4</v>
      </c>
      <c r="E973" t="b">
        <v>1</v>
      </c>
      <c r="F973" s="2">
        <v>6.2343725257239448</v>
      </c>
      <c r="G973" t="b">
        <v>0</v>
      </c>
      <c r="H973" t="s">
        <v>23</v>
      </c>
      <c r="I973" t="s">
        <v>34</v>
      </c>
    </row>
    <row r="974" spans="1:9" x14ac:dyDescent="0.3">
      <c r="A974" t="str">
        <f t="shared" si="15"/>
        <v>CASE-0973</v>
      </c>
      <c r="B974" s="1">
        <v>45482</v>
      </c>
      <c r="C974" t="s">
        <v>12</v>
      </c>
      <c r="D974">
        <v>4</v>
      </c>
      <c r="E974" t="b">
        <v>0</v>
      </c>
      <c r="F974" s="2">
        <v>37.205557990298608</v>
      </c>
      <c r="G974" t="b">
        <v>0</v>
      </c>
      <c r="H974" t="s">
        <v>21</v>
      </c>
      <c r="I974" t="s">
        <v>33</v>
      </c>
    </row>
    <row r="975" spans="1:9" x14ac:dyDescent="0.3">
      <c r="A975" t="str">
        <f t="shared" si="15"/>
        <v>CASE-0974</v>
      </c>
      <c r="B975" s="1">
        <v>46027</v>
      </c>
      <c r="C975" t="s">
        <v>11</v>
      </c>
      <c r="D975">
        <v>4</v>
      </c>
      <c r="E975" t="b">
        <v>1</v>
      </c>
      <c r="F975" s="2">
        <v>7.4900585126024959</v>
      </c>
      <c r="G975" t="b">
        <v>0</v>
      </c>
      <c r="H975" t="s">
        <v>27</v>
      </c>
      <c r="I975" t="s">
        <v>34</v>
      </c>
    </row>
    <row r="976" spans="1:9" x14ac:dyDescent="0.3">
      <c r="A976" t="str">
        <f t="shared" si="15"/>
        <v>CASE-0975</v>
      </c>
      <c r="B976" s="1">
        <v>45719</v>
      </c>
      <c r="C976" t="s">
        <v>9</v>
      </c>
      <c r="D976">
        <v>5</v>
      </c>
      <c r="E976" t="b">
        <v>0</v>
      </c>
      <c r="F976" s="2">
        <v>7.1910147893819039</v>
      </c>
      <c r="G976" t="b">
        <v>0</v>
      </c>
      <c r="H976" t="s">
        <v>15</v>
      </c>
      <c r="I976" t="s">
        <v>34</v>
      </c>
    </row>
    <row r="977" spans="1:9" x14ac:dyDescent="0.3">
      <c r="A977" t="str">
        <f t="shared" si="15"/>
        <v>CASE-0976</v>
      </c>
      <c r="B977" s="1">
        <v>45943</v>
      </c>
      <c r="C977" t="s">
        <v>12</v>
      </c>
      <c r="D977">
        <v>2</v>
      </c>
      <c r="E977" t="b">
        <v>1</v>
      </c>
      <c r="F977" s="2">
        <v>24.818057732004579</v>
      </c>
      <c r="G977" t="b">
        <v>0</v>
      </c>
      <c r="H977" t="s">
        <v>21</v>
      </c>
      <c r="I977" t="s">
        <v>33</v>
      </c>
    </row>
    <row r="978" spans="1:9" x14ac:dyDescent="0.3">
      <c r="A978" t="str">
        <f t="shared" si="15"/>
        <v>CASE-0977</v>
      </c>
      <c r="B978" s="1">
        <v>45877</v>
      </c>
      <c r="C978" t="s">
        <v>12</v>
      </c>
      <c r="D978">
        <v>1</v>
      </c>
      <c r="E978" t="b">
        <v>1</v>
      </c>
      <c r="F978" s="2">
        <v>21.060626613035154</v>
      </c>
      <c r="G978" t="b">
        <v>0</v>
      </c>
      <c r="H978" t="s">
        <v>32</v>
      </c>
      <c r="I978" t="s">
        <v>33</v>
      </c>
    </row>
    <row r="979" spans="1:9" x14ac:dyDescent="0.3">
      <c r="A979" t="str">
        <f t="shared" si="15"/>
        <v>CASE-0978</v>
      </c>
      <c r="B979" s="1">
        <v>45991</v>
      </c>
      <c r="C979" t="s">
        <v>9</v>
      </c>
      <c r="D979">
        <v>3</v>
      </c>
      <c r="E979" t="b">
        <v>1</v>
      </c>
      <c r="F979" s="2">
        <v>6.4556933909565473</v>
      </c>
      <c r="G979" t="b">
        <v>0</v>
      </c>
      <c r="H979" t="s">
        <v>28</v>
      </c>
      <c r="I979" t="s">
        <v>34</v>
      </c>
    </row>
    <row r="980" spans="1:9" x14ac:dyDescent="0.3">
      <c r="A980" t="str">
        <f t="shared" si="15"/>
        <v>CASE-0979</v>
      </c>
      <c r="B980" s="1">
        <v>45963</v>
      </c>
      <c r="C980" t="s">
        <v>12</v>
      </c>
      <c r="D980">
        <v>4</v>
      </c>
      <c r="E980" t="b">
        <v>0</v>
      </c>
      <c r="F980" s="2">
        <v>4.2774079654792736</v>
      </c>
      <c r="G980" t="b">
        <v>0</v>
      </c>
      <c r="H980" t="s">
        <v>19</v>
      </c>
      <c r="I980" t="s">
        <v>34</v>
      </c>
    </row>
    <row r="981" spans="1:9" x14ac:dyDescent="0.3">
      <c r="A981" t="str">
        <f t="shared" si="15"/>
        <v>CASE-0980</v>
      </c>
      <c r="B981" s="1">
        <v>45833</v>
      </c>
      <c r="C981" t="s">
        <v>10</v>
      </c>
      <c r="D981">
        <v>2</v>
      </c>
      <c r="E981" t="b">
        <v>1</v>
      </c>
      <c r="F981" s="2">
        <v>8.1275560854881554</v>
      </c>
      <c r="G981" t="b">
        <v>0</v>
      </c>
      <c r="H981" t="s">
        <v>13</v>
      </c>
      <c r="I981" t="s">
        <v>34</v>
      </c>
    </row>
    <row r="982" spans="1:9" x14ac:dyDescent="0.3">
      <c r="A982" t="str">
        <f t="shared" si="15"/>
        <v>CASE-0981</v>
      </c>
      <c r="B982" s="1">
        <v>46015</v>
      </c>
      <c r="C982" t="s">
        <v>10</v>
      </c>
      <c r="D982">
        <v>1</v>
      </c>
      <c r="E982" t="b">
        <v>1</v>
      </c>
      <c r="F982" s="2">
        <v>29.720267618335235</v>
      </c>
      <c r="G982" t="b">
        <v>0</v>
      </c>
      <c r="H982" t="s">
        <v>19</v>
      </c>
      <c r="I982" t="s">
        <v>33</v>
      </c>
    </row>
    <row r="983" spans="1:9" x14ac:dyDescent="0.3">
      <c r="A983" t="str">
        <f t="shared" si="15"/>
        <v>CASE-0982</v>
      </c>
      <c r="B983" s="1">
        <v>46158</v>
      </c>
      <c r="C983" t="s">
        <v>12</v>
      </c>
      <c r="D983">
        <v>2</v>
      </c>
      <c r="E983" t="b">
        <v>1</v>
      </c>
      <c r="F983" s="2">
        <v>6.389204430790528</v>
      </c>
      <c r="G983" t="b">
        <v>0</v>
      </c>
      <c r="H983" t="s">
        <v>31</v>
      </c>
      <c r="I983" t="s">
        <v>33</v>
      </c>
    </row>
    <row r="984" spans="1:9" x14ac:dyDescent="0.3">
      <c r="A984" t="str">
        <f t="shared" si="15"/>
        <v>CASE-0983</v>
      </c>
      <c r="B984" s="1">
        <v>45888</v>
      </c>
      <c r="C984" t="s">
        <v>9</v>
      </c>
      <c r="D984">
        <v>1</v>
      </c>
      <c r="E984" t="b">
        <v>0</v>
      </c>
      <c r="F984" s="2">
        <v>36.485862967162618</v>
      </c>
      <c r="G984" t="b">
        <v>0</v>
      </c>
      <c r="H984" t="s">
        <v>18</v>
      </c>
      <c r="I984" t="s">
        <v>33</v>
      </c>
    </row>
    <row r="985" spans="1:9" x14ac:dyDescent="0.3">
      <c r="A985" t="str">
        <f t="shared" si="15"/>
        <v>CASE-0984</v>
      </c>
      <c r="B985" s="1">
        <v>46074</v>
      </c>
      <c r="C985" t="s">
        <v>9</v>
      </c>
      <c r="D985">
        <v>5</v>
      </c>
      <c r="E985" t="b">
        <v>1</v>
      </c>
      <c r="F985" s="2">
        <v>6.0318027913895405</v>
      </c>
      <c r="G985" t="b">
        <v>0</v>
      </c>
      <c r="H985" t="s">
        <v>29</v>
      </c>
      <c r="I985" t="s">
        <v>34</v>
      </c>
    </row>
    <row r="986" spans="1:9" x14ac:dyDescent="0.3">
      <c r="A986" t="str">
        <f t="shared" si="15"/>
        <v>CASE-0985</v>
      </c>
      <c r="B986" s="1">
        <v>45500</v>
      </c>
      <c r="C986" t="s">
        <v>10</v>
      </c>
      <c r="D986">
        <v>2</v>
      </c>
      <c r="E986" t="b">
        <v>0</v>
      </c>
      <c r="F986" s="2">
        <v>16.975525990702401</v>
      </c>
      <c r="G986" t="b">
        <v>0</v>
      </c>
      <c r="H986" t="s">
        <v>26</v>
      </c>
      <c r="I986" t="s">
        <v>33</v>
      </c>
    </row>
    <row r="987" spans="1:9" x14ac:dyDescent="0.3">
      <c r="A987" t="str">
        <f t="shared" si="15"/>
        <v>CASE-0986</v>
      </c>
      <c r="B987" s="1">
        <v>45848</v>
      </c>
      <c r="C987" t="s">
        <v>9</v>
      </c>
      <c r="D987">
        <v>2</v>
      </c>
      <c r="E987" t="b">
        <v>1</v>
      </c>
      <c r="F987" s="2">
        <v>7.5811184726474892</v>
      </c>
      <c r="G987" t="b">
        <v>0</v>
      </c>
      <c r="H987" t="s">
        <v>15</v>
      </c>
      <c r="I987" t="s">
        <v>34</v>
      </c>
    </row>
    <row r="988" spans="1:9" x14ac:dyDescent="0.3">
      <c r="A988" t="str">
        <f t="shared" si="15"/>
        <v>CASE-0987</v>
      </c>
      <c r="B988" s="1">
        <v>46138</v>
      </c>
      <c r="C988" t="s">
        <v>11</v>
      </c>
      <c r="D988">
        <v>3</v>
      </c>
      <c r="E988" t="b">
        <v>1</v>
      </c>
      <c r="F988" s="2">
        <v>29.078947839545304</v>
      </c>
      <c r="G988" t="b">
        <v>0</v>
      </c>
      <c r="H988" t="s">
        <v>16</v>
      </c>
      <c r="I988" t="s">
        <v>33</v>
      </c>
    </row>
    <row r="989" spans="1:9" x14ac:dyDescent="0.3">
      <c r="A989" t="str">
        <f t="shared" si="15"/>
        <v>CASE-0988</v>
      </c>
      <c r="B989" s="1">
        <v>45922</v>
      </c>
      <c r="C989" t="s">
        <v>9</v>
      </c>
      <c r="D989">
        <v>4</v>
      </c>
      <c r="E989" t="b">
        <v>1</v>
      </c>
      <c r="F989" s="2">
        <v>4.5982506124764226</v>
      </c>
      <c r="G989" t="b">
        <v>0</v>
      </c>
      <c r="H989" t="s">
        <v>14</v>
      </c>
      <c r="I989" t="s">
        <v>34</v>
      </c>
    </row>
    <row r="990" spans="1:9" x14ac:dyDescent="0.3">
      <c r="A990" t="str">
        <f t="shared" si="15"/>
        <v>CASE-0989</v>
      </c>
      <c r="B990" s="1">
        <v>45567</v>
      </c>
      <c r="C990" t="s">
        <v>12</v>
      </c>
      <c r="D990">
        <v>2</v>
      </c>
      <c r="E990" t="b">
        <v>0</v>
      </c>
      <c r="F990" s="2">
        <v>20.341510406062696</v>
      </c>
      <c r="G990" t="b">
        <v>0</v>
      </c>
      <c r="H990" t="s">
        <v>29</v>
      </c>
      <c r="I990" t="s">
        <v>33</v>
      </c>
    </row>
    <row r="991" spans="1:9" x14ac:dyDescent="0.3">
      <c r="A991" t="str">
        <f t="shared" si="15"/>
        <v>CASE-0990</v>
      </c>
      <c r="B991" s="1">
        <v>45576</v>
      </c>
      <c r="C991" t="s">
        <v>10</v>
      </c>
      <c r="D991">
        <v>5</v>
      </c>
      <c r="E991" t="b">
        <v>0</v>
      </c>
      <c r="F991" s="2">
        <v>19.853848853585468</v>
      </c>
      <c r="G991" t="b">
        <v>0</v>
      </c>
      <c r="H991" t="s">
        <v>24</v>
      </c>
      <c r="I991" t="s">
        <v>33</v>
      </c>
    </row>
    <row r="992" spans="1:9" x14ac:dyDescent="0.3">
      <c r="A992" t="str">
        <f t="shared" si="15"/>
        <v>CASE-0991</v>
      </c>
      <c r="B992" s="1">
        <v>45567</v>
      </c>
      <c r="C992" t="s">
        <v>9</v>
      </c>
      <c r="D992">
        <v>5</v>
      </c>
      <c r="E992" t="b">
        <v>0</v>
      </c>
      <c r="F992" s="2">
        <v>31.8834020496143</v>
      </c>
      <c r="G992" t="b">
        <v>0</v>
      </c>
      <c r="H992" t="s">
        <v>18</v>
      </c>
      <c r="I992" t="s">
        <v>33</v>
      </c>
    </row>
    <row r="993" spans="1:9" x14ac:dyDescent="0.3">
      <c r="A993" t="str">
        <f t="shared" si="15"/>
        <v>CASE-0992</v>
      </c>
      <c r="B993" s="1">
        <v>45760</v>
      </c>
      <c r="C993" t="s">
        <v>9</v>
      </c>
      <c r="D993">
        <v>4</v>
      </c>
      <c r="E993" t="b">
        <v>1</v>
      </c>
      <c r="F993" s="2">
        <v>8.651369041184493</v>
      </c>
      <c r="G993" t="b">
        <v>0</v>
      </c>
      <c r="H993" t="s">
        <v>22</v>
      </c>
      <c r="I993" t="s">
        <v>34</v>
      </c>
    </row>
    <row r="994" spans="1:9" x14ac:dyDescent="0.3">
      <c r="A994" t="str">
        <f t="shared" si="15"/>
        <v>CASE-0993</v>
      </c>
      <c r="B994" s="1">
        <v>45865</v>
      </c>
      <c r="C994" t="s">
        <v>10</v>
      </c>
      <c r="D994">
        <v>5</v>
      </c>
      <c r="E994" t="b">
        <v>1</v>
      </c>
      <c r="F994" s="2">
        <v>7.2959435684084726</v>
      </c>
      <c r="G994" t="b">
        <v>0</v>
      </c>
      <c r="H994" t="s">
        <v>30</v>
      </c>
      <c r="I994" t="s">
        <v>34</v>
      </c>
    </row>
    <row r="995" spans="1:9" x14ac:dyDescent="0.3">
      <c r="A995" t="str">
        <f t="shared" si="15"/>
        <v>CASE-0994</v>
      </c>
      <c r="B995" s="1">
        <v>45926</v>
      </c>
      <c r="C995" t="s">
        <v>12</v>
      </c>
      <c r="D995">
        <v>5</v>
      </c>
      <c r="E995" t="b">
        <v>1</v>
      </c>
      <c r="F995" s="2">
        <v>4.7280099608650694</v>
      </c>
      <c r="G995" t="b">
        <v>0</v>
      </c>
      <c r="H995" t="s">
        <v>18</v>
      </c>
      <c r="I995" t="s">
        <v>34</v>
      </c>
    </row>
    <row r="996" spans="1:9" x14ac:dyDescent="0.3">
      <c r="A996" t="str">
        <f t="shared" si="15"/>
        <v>CASE-0995</v>
      </c>
      <c r="B996" s="1">
        <v>45648</v>
      </c>
      <c r="C996" t="s">
        <v>9</v>
      </c>
      <c r="D996">
        <v>4</v>
      </c>
      <c r="E996" t="b">
        <v>0</v>
      </c>
      <c r="F996" s="2">
        <v>31.768371815056387</v>
      </c>
      <c r="G996" t="b">
        <v>0</v>
      </c>
      <c r="H996" t="s">
        <v>26</v>
      </c>
      <c r="I996" t="s">
        <v>33</v>
      </c>
    </row>
    <row r="997" spans="1:9" x14ac:dyDescent="0.3">
      <c r="A997" t="str">
        <f t="shared" si="15"/>
        <v>CASE-0996</v>
      </c>
      <c r="B997" s="1">
        <v>45583</v>
      </c>
      <c r="C997" t="s">
        <v>9</v>
      </c>
      <c r="D997">
        <v>2</v>
      </c>
      <c r="E997" t="b">
        <v>0</v>
      </c>
      <c r="F997" s="2">
        <v>20.153388296019667</v>
      </c>
      <c r="G997" t="b">
        <v>0</v>
      </c>
      <c r="H997" t="s">
        <v>17</v>
      </c>
      <c r="I997" t="s">
        <v>33</v>
      </c>
    </row>
    <row r="998" spans="1:9" x14ac:dyDescent="0.3">
      <c r="A998" t="str">
        <f t="shared" si="15"/>
        <v>CASE-0997</v>
      </c>
      <c r="B998" s="1">
        <v>45622</v>
      </c>
      <c r="C998" t="s">
        <v>11</v>
      </c>
      <c r="D998">
        <v>1</v>
      </c>
      <c r="E998" t="b">
        <v>0</v>
      </c>
      <c r="F998" s="2">
        <v>19.342178057631497</v>
      </c>
      <c r="G998" t="b">
        <v>0</v>
      </c>
      <c r="H998" t="s">
        <v>14</v>
      </c>
      <c r="I998" t="s">
        <v>33</v>
      </c>
    </row>
    <row r="999" spans="1:9" x14ac:dyDescent="0.3">
      <c r="A999" t="str">
        <f t="shared" si="15"/>
        <v>CASE-0998</v>
      </c>
      <c r="B999" s="1">
        <v>45981</v>
      </c>
      <c r="C999" t="s">
        <v>11</v>
      </c>
      <c r="D999">
        <v>5</v>
      </c>
      <c r="E999" t="b">
        <v>1</v>
      </c>
      <c r="F999" s="2">
        <v>6.8690471467656806</v>
      </c>
      <c r="G999" t="b">
        <v>0</v>
      </c>
      <c r="H999" t="s">
        <v>17</v>
      </c>
      <c r="I999" t="s">
        <v>34</v>
      </c>
    </row>
    <row r="1000" spans="1:9" x14ac:dyDescent="0.3">
      <c r="A1000" t="str">
        <f t="shared" si="15"/>
        <v>CASE-0999</v>
      </c>
      <c r="B1000" s="1">
        <v>45526</v>
      </c>
      <c r="C1000" t="s">
        <v>9</v>
      </c>
      <c r="D1000">
        <v>2</v>
      </c>
      <c r="E1000" t="b">
        <v>0</v>
      </c>
      <c r="F1000" s="2">
        <v>16.355060471818199</v>
      </c>
      <c r="G1000" t="b">
        <v>0</v>
      </c>
      <c r="H1000" t="s">
        <v>17</v>
      </c>
      <c r="I1000" t="s">
        <v>33</v>
      </c>
    </row>
    <row r="1001" spans="1:9" x14ac:dyDescent="0.3">
      <c r="A1001" t="str">
        <f t="shared" si="15"/>
        <v>CASE-1000</v>
      </c>
      <c r="B1001" s="1">
        <v>45543</v>
      </c>
      <c r="C1001" t="s">
        <v>12</v>
      </c>
      <c r="D1001">
        <v>5</v>
      </c>
      <c r="E1001" t="b">
        <v>0</v>
      </c>
      <c r="F1001" s="2">
        <v>30.521205210389937</v>
      </c>
      <c r="G1001" t="b">
        <v>0</v>
      </c>
      <c r="H1001" t="s">
        <v>23</v>
      </c>
      <c r="I1001" t="s">
        <v>33</v>
      </c>
    </row>
    <row r="1002" spans="1:9" x14ac:dyDescent="0.3">
      <c r="A1002" t="str">
        <f t="shared" si="15"/>
        <v>CASE-1001</v>
      </c>
      <c r="B1002" s="1">
        <v>45655</v>
      </c>
      <c r="C1002" t="s">
        <v>12</v>
      </c>
      <c r="D1002">
        <v>3</v>
      </c>
      <c r="E1002" t="b">
        <v>0</v>
      </c>
      <c r="F1002" s="2">
        <v>26.854275487336174</v>
      </c>
      <c r="G1002" t="b">
        <v>0</v>
      </c>
      <c r="H1002" t="s">
        <v>27</v>
      </c>
      <c r="I1002" t="s">
        <v>33</v>
      </c>
    </row>
    <row r="1003" spans="1:9" x14ac:dyDescent="0.3">
      <c r="A1003" t="str">
        <f t="shared" si="15"/>
        <v>CASE-1002</v>
      </c>
      <c r="B1003" s="1">
        <v>45562</v>
      </c>
      <c r="C1003" t="s">
        <v>11</v>
      </c>
      <c r="D1003">
        <v>2</v>
      </c>
      <c r="E1003" t="b">
        <v>0</v>
      </c>
      <c r="F1003" s="2">
        <v>30.467502588783098</v>
      </c>
      <c r="G1003" t="b">
        <v>0</v>
      </c>
      <c r="H1003" t="s">
        <v>21</v>
      </c>
      <c r="I1003" t="s">
        <v>33</v>
      </c>
    </row>
    <row r="1004" spans="1:9" x14ac:dyDescent="0.3">
      <c r="A1004" t="str">
        <f t="shared" si="15"/>
        <v>CASE-1003</v>
      </c>
      <c r="B1004" s="1">
        <v>45510</v>
      </c>
      <c r="C1004" t="s">
        <v>12</v>
      </c>
      <c r="D1004">
        <v>2</v>
      </c>
      <c r="E1004" t="b">
        <v>0</v>
      </c>
      <c r="F1004" s="2">
        <v>29.684000783755781</v>
      </c>
      <c r="G1004" t="b">
        <v>0</v>
      </c>
      <c r="H1004" t="s">
        <v>29</v>
      </c>
      <c r="I1004" t="s">
        <v>33</v>
      </c>
    </row>
    <row r="1005" spans="1:9" x14ac:dyDescent="0.3">
      <c r="A1005" t="str">
        <f t="shared" si="15"/>
        <v>CASE-1004</v>
      </c>
      <c r="B1005" s="1">
        <v>45932</v>
      </c>
      <c r="C1005" t="s">
        <v>11</v>
      </c>
      <c r="D1005">
        <v>3</v>
      </c>
      <c r="E1005" t="b">
        <v>0</v>
      </c>
      <c r="F1005" s="2">
        <v>3.0266134926242447</v>
      </c>
      <c r="G1005" t="b">
        <v>0</v>
      </c>
      <c r="H1005" t="s">
        <v>15</v>
      </c>
      <c r="I1005" t="s">
        <v>34</v>
      </c>
    </row>
    <row r="1006" spans="1:9" x14ac:dyDescent="0.3">
      <c r="A1006" t="str">
        <f t="shared" si="15"/>
        <v>CASE-1005</v>
      </c>
      <c r="B1006" s="1">
        <v>46052</v>
      </c>
      <c r="C1006" t="s">
        <v>12</v>
      </c>
      <c r="D1006">
        <v>2</v>
      </c>
      <c r="E1006" t="b">
        <v>1</v>
      </c>
      <c r="F1006" s="2">
        <v>3.4192235687477979</v>
      </c>
      <c r="G1006" t="b">
        <v>0</v>
      </c>
      <c r="H1006" t="s">
        <v>16</v>
      </c>
      <c r="I1006" t="s">
        <v>34</v>
      </c>
    </row>
    <row r="1007" spans="1:9" x14ac:dyDescent="0.3">
      <c r="A1007" t="str">
        <f t="shared" si="15"/>
        <v>CASE-1006</v>
      </c>
      <c r="B1007" s="1">
        <v>46081</v>
      </c>
      <c r="C1007" t="s">
        <v>12</v>
      </c>
      <c r="D1007">
        <v>1</v>
      </c>
      <c r="E1007" t="b">
        <v>0</v>
      </c>
      <c r="F1007" s="2">
        <v>0.75697939625460098</v>
      </c>
      <c r="G1007" t="b">
        <v>0</v>
      </c>
      <c r="H1007" t="s">
        <v>18</v>
      </c>
      <c r="I1007" t="s">
        <v>34</v>
      </c>
    </row>
    <row r="1008" spans="1:9" x14ac:dyDescent="0.3">
      <c r="A1008" t="str">
        <f t="shared" si="15"/>
        <v>CASE-1007</v>
      </c>
      <c r="B1008" s="1">
        <v>45824</v>
      </c>
      <c r="C1008" t="s">
        <v>12</v>
      </c>
      <c r="D1008">
        <v>4</v>
      </c>
      <c r="E1008" t="b">
        <v>1</v>
      </c>
      <c r="F1008" s="2">
        <v>5.5859278555094916</v>
      </c>
      <c r="G1008" t="b">
        <v>0</v>
      </c>
      <c r="H1008" t="s">
        <v>15</v>
      </c>
      <c r="I1008" t="s">
        <v>35</v>
      </c>
    </row>
    <row r="1009" spans="1:9" x14ac:dyDescent="0.3">
      <c r="A1009" t="str">
        <f t="shared" si="15"/>
        <v>CASE-1008</v>
      </c>
      <c r="B1009" s="1">
        <v>45991</v>
      </c>
      <c r="C1009" t="s">
        <v>9</v>
      </c>
      <c r="D1009">
        <v>4</v>
      </c>
      <c r="E1009" t="b">
        <v>1</v>
      </c>
      <c r="F1009" s="2">
        <v>18.894831154578014</v>
      </c>
      <c r="G1009" t="b">
        <v>0</v>
      </c>
      <c r="H1009" t="s">
        <v>25</v>
      </c>
      <c r="I1009" t="s">
        <v>33</v>
      </c>
    </row>
    <row r="1010" spans="1:9" x14ac:dyDescent="0.3">
      <c r="A1010" t="str">
        <f t="shared" si="15"/>
        <v>CASE-1009</v>
      </c>
      <c r="B1010" s="1">
        <v>45662</v>
      </c>
      <c r="C1010" t="s">
        <v>11</v>
      </c>
      <c r="D1010">
        <v>5</v>
      </c>
      <c r="E1010" t="b">
        <v>1</v>
      </c>
      <c r="F1010" s="2">
        <v>1.3089118831990154</v>
      </c>
      <c r="G1010" t="b">
        <v>0</v>
      </c>
      <c r="H1010" t="s">
        <v>19</v>
      </c>
      <c r="I1010" t="s">
        <v>34</v>
      </c>
    </row>
    <row r="1011" spans="1:9" x14ac:dyDescent="0.3">
      <c r="A1011" t="str">
        <f t="shared" si="15"/>
        <v>CASE-1010</v>
      </c>
      <c r="B1011" s="1">
        <v>46092</v>
      </c>
      <c r="C1011" t="s">
        <v>12</v>
      </c>
      <c r="D1011">
        <v>3</v>
      </c>
      <c r="E1011" t="b">
        <v>1</v>
      </c>
      <c r="F1011" s="2">
        <v>8.4527231893879957</v>
      </c>
      <c r="G1011" t="b">
        <v>0</v>
      </c>
      <c r="H1011" t="s">
        <v>31</v>
      </c>
      <c r="I1011" t="s">
        <v>34</v>
      </c>
    </row>
    <row r="1012" spans="1:9" x14ac:dyDescent="0.3">
      <c r="A1012" t="str">
        <f t="shared" si="15"/>
        <v>CASE-1011</v>
      </c>
      <c r="B1012" s="1">
        <v>45894</v>
      </c>
      <c r="C1012" t="s">
        <v>11</v>
      </c>
      <c r="D1012">
        <v>3</v>
      </c>
      <c r="E1012" t="b">
        <v>1</v>
      </c>
      <c r="F1012" s="2">
        <v>5.9071240857741003</v>
      </c>
      <c r="G1012" t="b">
        <v>0</v>
      </c>
      <c r="H1012" t="s">
        <v>23</v>
      </c>
      <c r="I1012" t="s">
        <v>35</v>
      </c>
    </row>
    <row r="1013" spans="1:9" x14ac:dyDescent="0.3">
      <c r="A1013" t="str">
        <f t="shared" si="15"/>
        <v>CASE-1012</v>
      </c>
      <c r="B1013" s="1">
        <v>46121</v>
      </c>
      <c r="C1013" t="s">
        <v>12</v>
      </c>
      <c r="D1013">
        <v>5</v>
      </c>
      <c r="E1013" t="b">
        <v>0</v>
      </c>
      <c r="F1013" s="2">
        <v>6.0534682740837473</v>
      </c>
      <c r="G1013" t="b">
        <v>0</v>
      </c>
      <c r="H1013" t="s">
        <v>22</v>
      </c>
      <c r="I1013" t="s">
        <v>34</v>
      </c>
    </row>
    <row r="1014" spans="1:9" x14ac:dyDescent="0.3">
      <c r="A1014" t="str">
        <f t="shared" si="15"/>
        <v>CASE-1013</v>
      </c>
      <c r="B1014" s="1">
        <v>45926</v>
      </c>
      <c r="C1014" t="s">
        <v>11</v>
      </c>
      <c r="D1014">
        <v>4</v>
      </c>
      <c r="E1014" t="b">
        <v>1</v>
      </c>
      <c r="F1014" s="2">
        <v>4.3965372423994005</v>
      </c>
      <c r="G1014" t="b">
        <v>0</v>
      </c>
      <c r="H1014" t="s">
        <v>16</v>
      </c>
      <c r="I1014" t="s">
        <v>34</v>
      </c>
    </row>
    <row r="1015" spans="1:9" x14ac:dyDescent="0.3">
      <c r="A1015" t="str">
        <f t="shared" si="15"/>
        <v>CASE-1014</v>
      </c>
      <c r="B1015" s="1">
        <v>45788</v>
      </c>
      <c r="C1015" t="s">
        <v>10</v>
      </c>
      <c r="D1015">
        <v>5</v>
      </c>
      <c r="E1015" t="b">
        <v>0</v>
      </c>
      <c r="F1015" s="2">
        <v>19.788222324882913</v>
      </c>
      <c r="G1015" t="b">
        <v>0</v>
      </c>
      <c r="H1015" t="s">
        <v>22</v>
      </c>
      <c r="I1015" t="s">
        <v>33</v>
      </c>
    </row>
    <row r="1016" spans="1:9" x14ac:dyDescent="0.3">
      <c r="A1016" t="str">
        <f t="shared" si="15"/>
        <v>CASE-1015</v>
      </c>
      <c r="B1016" s="1">
        <v>45770</v>
      </c>
      <c r="C1016" t="s">
        <v>11</v>
      </c>
      <c r="D1016">
        <v>5</v>
      </c>
      <c r="E1016" t="b">
        <v>0</v>
      </c>
      <c r="F1016" s="2">
        <v>4.2686733068702427</v>
      </c>
      <c r="G1016" t="b">
        <v>0</v>
      </c>
      <c r="H1016" t="s">
        <v>31</v>
      </c>
      <c r="I1016" t="s">
        <v>34</v>
      </c>
    </row>
    <row r="1017" spans="1:9" x14ac:dyDescent="0.3">
      <c r="A1017" t="str">
        <f t="shared" si="15"/>
        <v>CASE-1016</v>
      </c>
      <c r="B1017" s="1">
        <v>46014</v>
      </c>
      <c r="C1017" t="s">
        <v>11</v>
      </c>
      <c r="D1017">
        <v>4</v>
      </c>
      <c r="E1017" t="b">
        <v>1</v>
      </c>
      <c r="F1017" s="2">
        <v>7.8489862188937778</v>
      </c>
      <c r="G1017" t="b">
        <v>0</v>
      </c>
      <c r="H1017" t="s">
        <v>28</v>
      </c>
      <c r="I1017" t="s">
        <v>34</v>
      </c>
    </row>
    <row r="1018" spans="1:9" x14ac:dyDescent="0.3">
      <c r="A1018" t="str">
        <f t="shared" si="15"/>
        <v>CASE-1017</v>
      </c>
      <c r="B1018" s="1">
        <v>45785</v>
      </c>
      <c r="C1018" t="s">
        <v>12</v>
      </c>
      <c r="D1018">
        <v>1</v>
      </c>
      <c r="E1018" t="b">
        <v>1</v>
      </c>
      <c r="F1018" s="2">
        <v>4.0628983673421093</v>
      </c>
      <c r="G1018" t="b">
        <v>0</v>
      </c>
      <c r="H1018" t="s">
        <v>20</v>
      </c>
      <c r="I1018" t="s">
        <v>34</v>
      </c>
    </row>
    <row r="1019" spans="1:9" x14ac:dyDescent="0.3">
      <c r="A1019" t="str">
        <f t="shared" si="15"/>
        <v>CASE-1018</v>
      </c>
      <c r="B1019" s="1">
        <v>46134</v>
      </c>
      <c r="C1019" t="s">
        <v>9</v>
      </c>
      <c r="D1019">
        <v>3</v>
      </c>
      <c r="E1019" t="b">
        <v>1</v>
      </c>
      <c r="F1019" s="2">
        <v>20.525929528626293</v>
      </c>
      <c r="G1019" t="b">
        <v>0</v>
      </c>
      <c r="H1019" t="s">
        <v>27</v>
      </c>
      <c r="I1019" t="s">
        <v>33</v>
      </c>
    </row>
    <row r="1020" spans="1:9" x14ac:dyDescent="0.3">
      <c r="A1020" t="str">
        <f t="shared" si="15"/>
        <v>CASE-1019</v>
      </c>
      <c r="B1020" s="1">
        <v>45618</v>
      </c>
      <c r="C1020" t="s">
        <v>11</v>
      </c>
      <c r="D1020">
        <v>3</v>
      </c>
      <c r="E1020" t="b">
        <v>0</v>
      </c>
      <c r="F1020" s="2">
        <v>31.337498256226098</v>
      </c>
      <c r="G1020" t="b">
        <v>0</v>
      </c>
      <c r="H1020" t="s">
        <v>25</v>
      </c>
      <c r="I1020" t="s">
        <v>33</v>
      </c>
    </row>
    <row r="1021" spans="1:9" x14ac:dyDescent="0.3">
      <c r="A1021" t="str">
        <f t="shared" si="15"/>
        <v>CASE-1020</v>
      </c>
      <c r="B1021" s="1">
        <v>45750</v>
      </c>
      <c r="C1021" t="s">
        <v>10</v>
      </c>
      <c r="D1021">
        <v>3</v>
      </c>
      <c r="E1021" t="b">
        <v>1</v>
      </c>
      <c r="F1021" s="2">
        <v>6.5755984559886302</v>
      </c>
      <c r="G1021" t="b">
        <v>1</v>
      </c>
      <c r="H1021" t="s">
        <v>18</v>
      </c>
      <c r="I1021" t="s">
        <v>34</v>
      </c>
    </row>
    <row r="1022" spans="1:9" x14ac:dyDescent="0.3">
      <c r="A1022" t="str">
        <f t="shared" si="15"/>
        <v>CASE-1021</v>
      </c>
      <c r="B1022" s="1">
        <v>46074</v>
      </c>
      <c r="C1022" t="s">
        <v>9</v>
      </c>
      <c r="D1022">
        <v>4</v>
      </c>
      <c r="E1022" t="b">
        <v>1</v>
      </c>
      <c r="F1022" s="2">
        <v>8.1149095863609197</v>
      </c>
      <c r="G1022" t="b">
        <v>0</v>
      </c>
      <c r="H1022" t="s">
        <v>16</v>
      </c>
      <c r="I1022" t="s">
        <v>34</v>
      </c>
    </row>
    <row r="1023" spans="1:9" x14ac:dyDescent="0.3">
      <c r="A1023" t="str">
        <f t="shared" si="15"/>
        <v>CASE-1022</v>
      </c>
      <c r="B1023" s="1">
        <v>45549</v>
      </c>
      <c r="C1023" t="s">
        <v>9</v>
      </c>
      <c r="D1023">
        <v>3</v>
      </c>
      <c r="E1023" t="b">
        <v>0</v>
      </c>
      <c r="F1023" s="2">
        <v>11.183159928435066</v>
      </c>
      <c r="G1023" t="b">
        <v>0</v>
      </c>
      <c r="H1023" t="s">
        <v>24</v>
      </c>
      <c r="I1023" t="s">
        <v>33</v>
      </c>
    </row>
    <row r="1024" spans="1:9" x14ac:dyDescent="0.3">
      <c r="A1024" t="str">
        <f t="shared" si="15"/>
        <v>CASE-1023</v>
      </c>
      <c r="B1024" s="1">
        <v>46088</v>
      </c>
      <c r="C1024" t="s">
        <v>11</v>
      </c>
      <c r="D1024">
        <v>2</v>
      </c>
      <c r="E1024" t="b">
        <v>0</v>
      </c>
      <c r="F1024" s="2">
        <v>5.0731924734058156</v>
      </c>
      <c r="G1024" t="b">
        <v>0</v>
      </c>
      <c r="H1024" t="s">
        <v>30</v>
      </c>
      <c r="I1024" t="s">
        <v>34</v>
      </c>
    </row>
    <row r="1025" spans="1:9" x14ac:dyDescent="0.3">
      <c r="A1025" t="str">
        <f t="shared" si="15"/>
        <v>CASE-1024</v>
      </c>
      <c r="B1025" s="1">
        <v>45626</v>
      </c>
      <c r="C1025" t="s">
        <v>9</v>
      </c>
      <c r="D1025">
        <v>2</v>
      </c>
      <c r="E1025" t="b">
        <v>0</v>
      </c>
      <c r="F1025" s="2">
        <v>24.779690356432599</v>
      </c>
      <c r="G1025" t="b">
        <v>0</v>
      </c>
      <c r="H1025" t="s">
        <v>32</v>
      </c>
      <c r="I1025" t="s">
        <v>33</v>
      </c>
    </row>
    <row r="1026" spans="1:9" x14ac:dyDescent="0.3">
      <c r="A1026" t="str">
        <f t="shared" si="15"/>
        <v>CASE-1025</v>
      </c>
      <c r="B1026" s="1">
        <v>45513</v>
      </c>
      <c r="C1026" t="s">
        <v>12</v>
      </c>
      <c r="D1026">
        <v>2</v>
      </c>
      <c r="E1026" t="b">
        <v>0</v>
      </c>
      <c r="F1026" s="2">
        <v>22.880584639716947</v>
      </c>
      <c r="G1026" t="b">
        <v>0</v>
      </c>
      <c r="H1026" t="s">
        <v>25</v>
      </c>
      <c r="I1026" t="s">
        <v>33</v>
      </c>
    </row>
    <row r="1027" spans="1:9" x14ac:dyDescent="0.3">
      <c r="A1027" t="str">
        <f t="shared" ref="A1027:A1090" si="16">"CASE-"&amp;TEXT(ROW()-1,"0000")</f>
        <v>CASE-1026</v>
      </c>
      <c r="B1027" s="1">
        <v>45542</v>
      </c>
      <c r="C1027" t="s">
        <v>9</v>
      </c>
      <c r="D1027">
        <v>2</v>
      </c>
      <c r="E1027" t="b">
        <v>0</v>
      </c>
      <c r="F1027" s="2">
        <v>20.638558695069634</v>
      </c>
      <c r="G1027" t="b">
        <v>0</v>
      </c>
      <c r="H1027" t="s">
        <v>31</v>
      </c>
      <c r="I1027" t="s">
        <v>33</v>
      </c>
    </row>
    <row r="1028" spans="1:9" x14ac:dyDescent="0.3">
      <c r="A1028" t="str">
        <f t="shared" si="16"/>
        <v>CASE-1027</v>
      </c>
      <c r="B1028" s="1">
        <v>46173</v>
      </c>
      <c r="C1028" t="s">
        <v>12</v>
      </c>
      <c r="D1028">
        <v>5</v>
      </c>
      <c r="E1028" t="b">
        <v>1</v>
      </c>
      <c r="F1028" s="2">
        <v>6.2280170413300997</v>
      </c>
      <c r="G1028" t="b">
        <v>0</v>
      </c>
      <c r="H1028" t="s">
        <v>26</v>
      </c>
      <c r="I1028" t="s">
        <v>35</v>
      </c>
    </row>
    <row r="1029" spans="1:9" x14ac:dyDescent="0.3">
      <c r="A1029" t="str">
        <f t="shared" si="16"/>
        <v>CASE-1028</v>
      </c>
      <c r="B1029" s="1">
        <v>45804</v>
      </c>
      <c r="C1029" t="s">
        <v>10</v>
      </c>
      <c r="D1029">
        <v>4</v>
      </c>
      <c r="E1029" t="b">
        <v>1</v>
      </c>
      <c r="F1029" s="2">
        <v>5.5051373611219283</v>
      </c>
      <c r="G1029" t="b">
        <v>0</v>
      </c>
      <c r="H1029" t="s">
        <v>32</v>
      </c>
      <c r="I1029" t="s">
        <v>34</v>
      </c>
    </row>
    <row r="1030" spans="1:9" x14ac:dyDescent="0.3">
      <c r="A1030" t="str">
        <f t="shared" si="16"/>
        <v>CASE-1029</v>
      </c>
      <c r="B1030" s="1">
        <v>45742</v>
      </c>
      <c r="C1030" t="s">
        <v>9</v>
      </c>
      <c r="D1030">
        <v>3</v>
      </c>
      <c r="E1030" t="b">
        <v>1</v>
      </c>
      <c r="F1030" s="2">
        <v>30.671065574343977</v>
      </c>
      <c r="G1030" t="b">
        <v>0</v>
      </c>
      <c r="H1030" t="s">
        <v>22</v>
      </c>
      <c r="I1030" t="s">
        <v>33</v>
      </c>
    </row>
    <row r="1031" spans="1:9" x14ac:dyDescent="0.3">
      <c r="A1031" t="str">
        <f t="shared" si="16"/>
        <v>CASE-1030</v>
      </c>
      <c r="B1031" s="1">
        <v>45713</v>
      </c>
      <c r="C1031" t="s">
        <v>9</v>
      </c>
      <c r="D1031">
        <v>2</v>
      </c>
      <c r="E1031" t="b">
        <v>1</v>
      </c>
      <c r="F1031" s="2">
        <v>30.569387351321637</v>
      </c>
      <c r="G1031" t="b">
        <v>0</v>
      </c>
      <c r="H1031" t="s">
        <v>13</v>
      </c>
      <c r="I1031" t="s">
        <v>33</v>
      </c>
    </row>
    <row r="1032" spans="1:9" x14ac:dyDescent="0.3">
      <c r="A1032" t="str">
        <f t="shared" si="16"/>
        <v>CASE-1031</v>
      </c>
      <c r="B1032" s="1">
        <v>45750</v>
      </c>
      <c r="C1032" t="s">
        <v>9</v>
      </c>
      <c r="D1032">
        <v>2</v>
      </c>
      <c r="E1032" t="b">
        <v>1</v>
      </c>
      <c r="F1032" s="2">
        <v>8.758761383817264</v>
      </c>
      <c r="G1032" t="b">
        <v>0</v>
      </c>
      <c r="H1032" t="s">
        <v>16</v>
      </c>
      <c r="I1032" t="s">
        <v>34</v>
      </c>
    </row>
    <row r="1033" spans="1:9" x14ac:dyDescent="0.3">
      <c r="A1033" t="str">
        <f t="shared" si="16"/>
        <v>CASE-1032</v>
      </c>
      <c r="B1033" s="1">
        <v>45642</v>
      </c>
      <c r="C1033" t="s">
        <v>9</v>
      </c>
      <c r="D1033">
        <v>2</v>
      </c>
      <c r="E1033" t="b">
        <v>0</v>
      </c>
      <c r="F1033" s="2">
        <v>33.727080658070719</v>
      </c>
      <c r="G1033" t="b">
        <v>1</v>
      </c>
      <c r="H1033" t="s">
        <v>18</v>
      </c>
      <c r="I1033" t="s">
        <v>33</v>
      </c>
    </row>
    <row r="1034" spans="1:9" x14ac:dyDescent="0.3">
      <c r="A1034" t="str">
        <f t="shared" si="16"/>
        <v>CASE-1033</v>
      </c>
      <c r="B1034" s="1">
        <v>46009</v>
      </c>
      <c r="C1034" t="s">
        <v>12</v>
      </c>
      <c r="D1034">
        <v>2</v>
      </c>
      <c r="E1034" t="b">
        <v>1</v>
      </c>
      <c r="F1034" s="2">
        <v>16.291378582517886</v>
      </c>
      <c r="G1034" t="b">
        <v>0</v>
      </c>
      <c r="H1034" t="s">
        <v>13</v>
      </c>
      <c r="I1034" t="s">
        <v>33</v>
      </c>
    </row>
    <row r="1035" spans="1:9" x14ac:dyDescent="0.3">
      <c r="A1035" t="str">
        <f t="shared" si="16"/>
        <v>CASE-1034</v>
      </c>
      <c r="B1035" s="1">
        <v>45668</v>
      </c>
      <c r="C1035" t="s">
        <v>11</v>
      </c>
      <c r="D1035">
        <v>1</v>
      </c>
      <c r="E1035" t="b">
        <v>1</v>
      </c>
      <c r="F1035" s="2">
        <v>8.9006984553194872</v>
      </c>
      <c r="G1035" t="b">
        <v>0</v>
      </c>
      <c r="H1035" t="s">
        <v>20</v>
      </c>
      <c r="I1035" t="s">
        <v>35</v>
      </c>
    </row>
    <row r="1036" spans="1:9" x14ac:dyDescent="0.3">
      <c r="A1036" t="str">
        <f t="shared" si="16"/>
        <v>CASE-1035</v>
      </c>
      <c r="B1036" s="1">
        <v>46161</v>
      </c>
      <c r="C1036" t="s">
        <v>11</v>
      </c>
      <c r="D1036">
        <v>2</v>
      </c>
      <c r="E1036" t="b">
        <v>1</v>
      </c>
      <c r="F1036" s="2">
        <v>-0.78624322655209333</v>
      </c>
      <c r="G1036" t="b">
        <v>0</v>
      </c>
      <c r="H1036" t="s">
        <v>21</v>
      </c>
      <c r="I1036" t="s">
        <v>34</v>
      </c>
    </row>
    <row r="1037" spans="1:9" x14ac:dyDescent="0.3">
      <c r="A1037" t="str">
        <f t="shared" si="16"/>
        <v>CASE-1036</v>
      </c>
      <c r="B1037" s="1">
        <v>45793</v>
      </c>
      <c r="C1037" t="s">
        <v>9</v>
      </c>
      <c r="D1037">
        <v>1</v>
      </c>
      <c r="E1037" t="b">
        <v>1</v>
      </c>
      <c r="F1037" s="2">
        <v>6.575628181075313</v>
      </c>
      <c r="G1037" t="b">
        <v>0</v>
      </c>
      <c r="H1037" t="s">
        <v>13</v>
      </c>
      <c r="I1037" t="s">
        <v>34</v>
      </c>
    </row>
    <row r="1038" spans="1:9" x14ac:dyDescent="0.3">
      <c r="A1038" t="str">
        <f t="shared" si="16"/>
        <v>CASE-1037</v>
      </c>
      <c r="B1038" s="1">
        <v>46015</v>
      </c>
      <c r="C1038" t="s">
        <v>9</v>
      </c>
      <c r="D1038">
        <v>3</v>
      </c>
      <c r="E1038" t="b">
        <v>1</v>
      </c>
      <c r="F1038" s="2">
        <v>7.4471231300079177</v>
      </c>
      <c r="G1038" t="b">
        <v>0</v>
      </c>
      <c r="H1038" t="s">
        <v>32</v>
      </c>
      <c r="I1038" t="s">
        <v>34</v>
      </c>
    </row>
    <row r="1039" spans="1:9" x14ac:dyDescent="0.3">
      <c r="A1039" t="str">
        <f t="shared" si="16"/>
        <v>CASE-1038</v>
      </c>
      <c r="B1039" s="1">
        <v>45699</v>
      </c>
      <c r="C1039" t="s">
        <v>9</v>
      </c>
      <c r="D1039">
        <v>3</v>
      </c>
      <c r="E1039" t="b">
        <v>1</v>
      </c>
      <c r="F1039" s="2">
        <v>16.059959207750694</v>
      </c>
      <c r="G1039" t="b">
        <v>0</v>
      </c>
      <c r="H1039" t="s">
        <v>25</v>
      </c>
      <c r="I1039" t="s">
        <v>33</v>
      </c>
    </row>
    <row r="1040" spans="1:9" x14ac:dyDescent="0.3">
      <c r="A1040" t="str">
        <f t="shared" si="16"/>
        <v>CASE-1039</v>
      </c>
      <c r="B1040" s="1">
        <v>45867</v>
      </c>
      <c r="C1040" t="s">
        <v>12</v>
      </c>
      <c r="D1040">
        <v>2</v>
      </c>
      <c r="E1040" t="b">
        <v>1</v>
      </c>
      <c r="F1040" s="2">
        <v>10.013330824691984</v>
      </c>
      <c r="G1040" t="b">
        <v>0</v>
      </c>
      <c r="H1040" t="s">
        <v>17</v>
      </c>
      <c r="I1040" t="s">
        <v>34</v>
      </c>
    </row>
    <row r="1041" spans="1:9" x14ac:dyDescent="0.3">
      <c r="A1041" t="str">
        <f t="shared" si="16"/>
        <v>CASE-1040</v>
      </c>
      <c r="B1041" s="1">
        <v>45956</v>
      </c>
      <c r="C1041" t="s">
        <v>12</v>
      </c>
      <c r="D1041">
        <v>4</v>
      </c>
      <c r="E1041" t="b">
        <v>1</v>
      </c>
      <c r="F1041" s="2">
        <v>7.7685680936968495</v>
      </c>
      <c r="G1041" t="b">
        <v>0</v>
      </c>
      <c r="H1041" t="s">
        <v>24</v>
      </c>
      <c r="I1041" t="s">
        <v>34</v>
      </c>
    </row>
    <row r="1042" spans="1:9" x14ac:dyDescent="0.3">
      <c r="A1042" t="str">
        <f t="shared" si="16"/>
        <v>CASE-1041</v>
      </c>
      <c r="B1042" s="1">
        <v>45973</v>
      </c>
      <c r="C1042" t="s">
        <v>9</v>
      </c>
      <c r="D1042">
        <v>5</v>
      </c>
      <c r="E1042" t="b">
        <v>1</v>
      </c>
      <c r="F1042" s="2">
        <v>4.4992851747569294</v>
      </c>
      <c r="G1042" t="b">
        <v>0</v>
      </c>
      <c r="H1042" t="s">
        <v>16</v>
      </c>
      <c r="I1042" t="s">
        <v>34</v>
      </c>
    </row>
    <row r="1043" spans="1:9" x14ac:dyDescent="0.3">
      <c r="A1043" t="str">
        <f t="shared" si="16"/>
        <v>CASE-1042</v>
      </c>
      <c r="B1043" s="1">
        <v>45591</v>
      </c>
      <c r="C1043" t="s">
        <v>10</v>
      </c>
      <c r="D1043">
        <v>1</v>
      </c>
      <c r="E1043" t="b">
        <v>0</v>
      </c>
      <c r="F1043" s="2">
        <v>24.522289261626469</v>
      </c>
      <c r="G1043" t="b">
        <v>0</v>
      </c>
      <c r="H1043" t="s">
        <v>26</v>
      </c>
      <c r="I1043" t="s">
        <v>33</v>
      </c>
    </row>
    <row r="1044" spans="1:9" x14ac:dyDescent="0.3">
      <c r="A1044" t="str">
        <f t="shared" si="16"/>
        <v>CASE-1043</v>
      </c>
      <c r="B1044" s="1">
        <v>46105</v>
      </c>
      <c r="C1044" t="s">
        <v>12</v>
      </c>
      <c r="D1044">
        <v>5</v>
      </c>
      <c r="E1044" t="b">
        <v>1</v>
      </c>
      <c r="F1044" s="2">
        <v>8.2924883188202738</v>
      </c>
      <c r="G1044" t="b">
        <v>0</v>
      </c>
      <c r="H1044" t="s">
        <v>19</v>
      </c>
      <c r="I1044" t="s">
        <v>34</v>
      </c>
    </row>
    <row r="1045" spans="1:9" x14ac:dyDescent="0.3">
      <c r="A1045" t="str">
        <f t="shared" si="16"/>
        <v>CASE-1044</v>
      </c>
      <c r="B1045" s="1">
        <v>45608</v>
      </c>
      <c r="C1045" t="s">
        <v>10</v>
      </c>
      <c r="D1045">
        <v>1</v>
      </c>
      <c r="E1045" t="b">
        <v>0</v>
      </c>
      <c r="F1045" s="2">
        <v>13.55481421819414</v>
      </c>
      <c r="G1045" t="b">
        <v>0</v>
      </c>
      <c r="H1045" t="s">
        <v>16</v>
      </c>
      <c r="I1045" t="s">
        <v>33</v>
      </c>
    </row>
    <row r="1046" spans="1:9" x14ac:dyDescent="0.3">
      <c r="A1046" t="str">
        <f t="shared" si="16"/>
        <v>CASE-1045</v>
      </c>
      <c r="B1046" s="1">
        <v>45667</v>
      </c>
      <c r="C1046" t="s">
        <v>10</v>
      </c>
      <c r="D1046">
        <v>2</v>
      </c>
      <c r="E1046" t="b">
        <v>0</v>
      </c>
      <c r="F1046" s="2">
        <v>9.8144751709108817</v>
      </c>
      <c r="G1046" t="b">
        <v>0</v>
      </c>
      <c r="H1046" t="s">
        <v>29</v>
      </c>
      <c r="I1046" t="s">
        <v>34</v>
      </c>
    </row>
    <row r="1047" spans="1:9" x14ac:dyDescent="0.3">
      <c r="A1047" t="str">
        <f t="shared" si="16"/>
        <v>CASE-1046</v>
      </c>
      <c r="B1047" s="1">
        <v>45826</v>
      </c>
      <c r="C1047" t="s">
        <v>12</v>
      </c>
      <c r="D1047">
        <v>4</v>
      </c>
      <c r="E1047" t="b">
        <v>1</v>
      </c>
      <c r="F1047" s="2">
        <v>7.4822533264387552</v>
      </c>
      <c r="G1047" t="b">
        <v>0</v>
      </c>
      <c r="H1047" t="s">
        <v>27</v>
      </c>
      <c r="I1047" t="s">
        <v>35</v>
      </c>
    </row>
    <row r="1048" spans="1:9" x14ac:dyDescent="0.3">
      <c r="A1048" t="str">
        <f t="shared" si="16"/>
        <v>CASE-1047</v>
      </c>
      <c r="B1048" s="1">
        <v>45771</v>
      </c>
      <c r="C1048" t="s">
        <v>11</v>
      </c>
      <c r="D1048">
        <v>2</v>
      </c>
      <c r="E1048" t="b">
        <v>1</v>
      </c>
      <c r="F1048" s="2">
        <v>28.416018114285556</v>
      </c>
      <c r="G1048" t="b">
        <v>0</v>
      </c>
      <c r="H1048" t="s">
        <v>25</v>
      </c>
      <c r="I1048" t="s">
        <v>33</v>
      </c>
    </row>
    <row r="1049" spans="1:9" x14ac:dyDescent="0.3">
      <c r="A1049" t="str">
        <f t="shared" si="16"/>
        <v>CASE-1048</v>
      </c>
      <c r="B1049" s="1">
        <v>45818</v>
      </c>
      <c r="C1049" t="s">
        <v>11</v>
      </c>
      <c r="D1049">
        <v>3</v>
      </c>
      <c r="E1049" t="b">
        <v>1</v>
      </c>
      <c r="F1049" s="2">
        <v>6.0177978504986038</v>
      </c>
      <c r="G1049" t="b">
        <v>0</v>
      </c>
      <c r="H1049" t="s">
        <v>20</v>
      </c>
      <c r="I1049" t="s">
        <v>34</v>
      </c>
    </row>
    <row r="1050" spans="1:9" x14ac:dyDescent="0.3">
      <c r="A1050" t="str">
        <f t="shared" si="16"/>
        <v>CASE-1049</v>
      </c>
      <c r="B1050" s="1">
        <v>45757</v>
      </c>
      <c r="C1050" t="s">
        <v>9</v>
      </c>
      <c r="D1050">
        <v>3</v>
      </c>
      <c r="E1050" t="b">
        <v>1</v>
      </c>
      <c r="F1050" s="2">
        <v>6.9387958844532234</v>
      </c>
      <c r="G1050" t="b">
        <v>0</v>
      </c>
      <c r="H1050" t="s">
        <v>17</v>
      </c>
      <c r="I1050" t="s">
        <v>34</v>
      </c>
    </row>
    <row r="1051" spans="1:9" x14ac:dyDescent="0.3">
      <c r="A1051" t="str">
        <f t="shared" si="16"/>
        <v>CASE-1050</v>
      </c>
      <c r="B1051" s="1">
        <v>46136</v>
      </c>
      <c r="C1051" t="s">
        <v>10</v>
      </c>
      <c r="D1051">
        <v>1</v>
      </c>
      <c r="E1051" t="b">
        <v>1</v>
      </c>
      <c r="F1051" s="2">
        <v>6.1798710750283758</v>
      </c>
      <c r="G1051" t="b">
        <v>0</v>
      </c>
      <c r="H1051" t="s">
        <v>25</v>
      </c>
      <c r="I1051" t="s">
        <v>34</v>
      </c>
    </row>
    <row r="1052" spans="1:9" x14ac:dyDescent="0.3">
      <c r="A1052" t="str">
        <f t="shared" si="16"/>
        <v>CASE-1051</v>
      </c>
      <c r="B1052" s="1">
        <v>45627</v>
      </c>
      <c r="C1052" t="s">
        <v>12</v>
      </c>
      <c r="D1052">
        <v>4</v>
      </c>
      <c r="E1052" t="b">
        <v>0</v>
      </c>
      <c r="F1052" s="2">
        <v>23.765985992109957</v>
      </c>
      <c r="G1052" t="b">
        <v>0</v>
      </c>
      <c r="H1052" t="s">
        <v>18</v>
      </c>
      <c r="I1052" t="s">
        <v>33</v>
      </c>
    </row>
    <row r="1053" spans="1:9" x14ac:dyDescent="0.3">
      <c r="A1053" t="str">
        <f t="shared" si="16"/>
        <v>CASE-1052</v>
      </c>
      <c r="B1053" s="1">
        <v>45510</v>
      </c>
      <c r="C1053" t="s">
        <v>12</v>
      </c>
      <c r="D1053">
        <v>2</v>
      </c>
      <c r="E1053" t="b">
        <v>0</v>
      </c>
      <c r="F1053" s="2">
        <v>25.364291637829137</v>
      </c>
      <c r="G1053" t="b">
        <v>0</v>
      </c>
      <c r="H1053" t="s">
        <v>15</v>
      </c>
      <c r="I1053" t="s">
        <v>33</v>
      </c>
    </row>
    <row r="1054" spans="1:9" x14ac:dyDescent="0.3">
      <c r="A1054" t="str">
        <f t="shared" si="16"/>
        <v>CASE-1053</v>
      </c>
      <c r="B1054" s="1">
        <v>45992</v>
      </c>
      <c r="C1054" t="s">
        <v>10</v>
      </c>
      <c r="D1054">
        <v>5</v>
      </c>
      <c r="E1054" t="b">
        <v>1</v>
      </c>
      <c r="F1054" s="2">
        <v>7.4050862316768047</v>
      </c>
      <c r="G1054" t="b">
        <v>0</v>
      </c>
      <c r="H1054" t="s">
        <v>32</v>
      </c>
      <c r="I1054" t="s">
        <v>34</v>
      </c>
    </row>
    <row r="1055" spans="1:9" x14ac:dyDescent="0.3">
      <c r="A1055" t="str">
        <f t="shared" si="16"/>
        <v>CASE-1054</v>
      </c>
      <c r="B1055" s="1">
        <v>45914</v>
      </c>
      <c r="C1055" t="s">
        <v>9</v>
      </c>
      <c r="D1055">
        <v>1</v>
      </c>
      <c r="E1055" t="b">
        <v>1</v>
      </c>
      <c r="F1055" s="2">
        <v>10.374350444542195</v>
      </c>
      <c r="G1055" t="b">
        <v>0</v>
      </c>
      <c r="H1055" t="s">
        <v>14</v>
      </c>
      <c r="I1055" t="s">
        <v>34</v>
      </c>
    </row>
    <row r="1056" spans="1:9" x14ac:dyDescent="0.3">
      <c r="A1056" t="str">
        <f t="shared" si="16"/>
        <v>CASE-1055</v>
      </c>
      <c r="B1056" s="1">
        <v>46013</v>
      </c>
      <c r="C1056" t="s">
        <v>10</v>
      </c>
      <c r="D1056">
        <v>5</v>
      </c>
      <c r="E1056" t="b">
        <v>1</v>
      </c>
      <c r="F1056" s="2">
        <v>5.6281060518945969</v>
      </c>
      <c r="G1056" t="b">
        <v>0</v>
      </c>
      <c r="H1056" t="s">
        <v>24</v>
      </c>
      <c r="I1056" t="s">
        <v>34</v>
      </c>
    </row>
    <row r="1057" spans="1:9" x14ac:dyDescent="0.3">
      <c r="A1057" t="str">
        <f t="shared" si="16"/>
        <v>CASE-1056</v>
      </c>
      <c r="B1057" s="1">
        <v>45713</v>
      </c>
      <c r="C1057" t="s">
        <v>9</v>
      </c>
      <c r="D1057">
        <v>5</v>
      </c>
      <c r="E1057" t="b">
        <v>0</v>
      </c>
      <c r="F1057" s="2">
        <v>28.348567659736993</v>
      </c>
      <c r="G1057" t="b">
        <v>0</v>
      </c>
      <c r="H1057" t="s">
        <v>16</v>
      </c>
      <c r="I1057" t="s">
        <v>33</v>
      </c>
    </row>
    <row r="1058" spans="1:9" x14ac:dyDescent="0.3">
      <c r="A1058" t="str">
        <f t="shared" si="16"/>
        <v>CASE-1057</v>
      </c>
      <c r="B1058" s="1">
        <v>46069</v>
      </c>
      <c r="C1058" t="s">
        <v>10</v>
      </c>
      <c r="D1058">
        <v>5</v>
      </c>
      <c r="E1058" t="b">
        <v>1</v>
      </c>
      <c r="F1058" s="2">
        <v>5.6623944804180502</v>
      </c>
      <c r="G1058" t="b">
        <v>0</v>
      </c>
      <c r="H1058" t="s">
        <v>29</v>
      </c>
      <c r="I1058" t="s">
        <v>34</v>
      </c>
    </row>
    <row r="1059" spans="1:9" x14ac:dyDescent="0.3">
      <c r="A1059" t="str">
        <f t="shared" si="16"/>
        <v>CASE-1058</v>
      </c>
      <c r="B1059" s="1">
        <v>45768</v>
      </c>
      <c r="C1059" t="s">
        <v>12</v>
      </c>
      <c r="D1059">
        <v>5</v>
      </c>
      <c r="E1059" t="b">
        <v>1</v>
      </c>
      <c r="F1059" s="2">
        <v>2.0246352547414621</v>
      </c>
      <c r="G1059" t="b">
        <v>0</v>
      </c>
      <c r="H1059" t="s">
        <v>27</v>
      </c>
      <c r="I1059" t="s">
        <v>34</v>
      </c>
    </row>
    <row r="1060" spans="1:9" x14ac:dyDescent="0.3">
      <c r="A1060" t="str">
        <f t="shared" si="16"/>
        <v>CASE-1059</v>
      </c>
      <c r="B1060" s="1">
        <v>46076</v>
      </c>
      <c r="C1060" t="s">
        <v>11</v>
      </c>
      <c r="D1060">
        <v>5</v>
      </c>
      <c r="E1060" t="b">
        <v>0</v>
      </c>
      <c r="F1060" s="2">
        <v>8.7822567688435118</v>
      </c>
      <c r="G1060" t="b">
        <v>0</v>
      </c>
      <c r="H1060" t="s">
        <v>24</v>
      </c>
      <c r="I1060" t="s">
        <v>34</v>
      </c>
    </row>
    <row r="1061" spans="1:9" x14ac:dyDescent="0.3">
      <c r="A1061" t="str">
        <f t="shared" si="16"/>
        <v>CASE-1060</v>
      </c>
      <c r="B1061" s="1">
        <v>45990</v>
      </c>
      <c r="C1061" t="s">
        <v>12</v>
      </c>
      <c r="D1061">
        <v>2</v>
      </c>
      <c r="E1061" t="b">
        <v>1</v>
      </c>
      <c r="F1061" s="2">
        <v>5.2787387305208906</v>
      </c>
      <c r="G1061" t="b">
        <v>0</v>
      </c>
      <c r="H1061" t="s">
        <v>27</v>
      </c>
      <c r="I1061" t="s">
        <v>34</v>
      </c>
    </row>
    <row r="1062" spans="1:9" x14ac:dyDescent="0.3">
      <c r="A1062" t="str">
        <f t="shared" si="16"/>
        <v>CASE-1061</v>
      </c>
      <c r="B1062" s="1">
        <v>45486</v>
      </c>
      <c r="C1062" t="s">
        <v>12</v>
      </c>
      <c r="D1062">
        <v>1</v>
      </c>
      <c r="E1062" t="b">
        <v>0</v>
      </c>
      <c r="F1062" s="2">
        <v>16.965473190102195</v>
      </c>
      <c r="G1062" t="b">
        <v>0</v>
      </c>
      <c r="H1062" t="s">
        <v>28</v>
      </c>
      <c r="I1062" t="s">
        <v>33</v>
      </c>
    </row>
    <row r="1063" spans="1:9" x14ac:dyDescent="0.3">
      <c r="A1063" t="str">
        <f t="shared" si="16"/>
        <v>CASE-1062</v>
      </c>
      <c r="B1063" s="1">
        <v>46127</v>
      </c>
      <c r="C1063" t="s">
        <v>10</v>
      </c>
      <c r="D1063">
        <v>3</v>
      </c>
      <c r="E1063" t="b">
        <v>1</v>
      </c>
      <c r="F1063" s="2">
        <v>9.2895929144317666</v>
      </c>
      <c r="G1063" t="b">
        <v>0</v>
      </c>
      <c r="H1063" t="s">
        <v>15</v>
      </c>
      <c r="I1063" t="s">
        <v>34</v>
      </c>
    </row>
    <row r="1064" spans="1:9" x14ac:dyDescent="0.3">
      <c r="A1064" t="str">
        <f t="shared" si="16"/>
        <v>CASE-1063</v>
      </c>
      <c r="B1064" s="1">
        <v>45614</v>
      </c>
      <c r="C1064" t="s">
        <v>12</v>
      </c>
      <c r="D1064">
        <v>4</v>
      </c>
      <c r="E1064" t="b">
        <v>0</v>
      </c>
      <c r="F1064" s="2">
        <v>23.12587762935123</v>
      </c>
      <c r="G1064" t="b">
        <v>0</v>
      </c>
      <c r="H1064" t="s">
        <v>29</v>
      </c>
      <c r="I1064" t="s">
        <v>33</v>
      </c>
    </row>
    <row r="1065" spans="1:9" x14ac:dyDescent="0.3">
      <c r="A1065" t="str">
        <f t="shared" si="16"/>
        <v>CASE-1064</v>
      </c>
      <c r="B1065" s="1">
        <v>45813</v>
      </c>
      <c r="C1065" t="s">
        <v>10</v>
      </c>
      <c r="D1065">
        <v>5</v>
      </c>
      <c r="E1065" t="b">
        <v>1</v>
      </c>
      <c r="F1065" s="2">
        <v>6.8116852162700585</v>
      </c>
      <c r="G1065" t="b">
        <v>0</v>
      </c>
      <c r="H1065" t="s">
        <v>24</v>
      </c>
      <c r="I1065" t="s">
        <v>34</v>
      </c>
    </row>
    <row r="1066" spans="1:9" x14ac:dyDescent="0.3">
      <c r="A1066" t="str">
        <f t="shared" si="16"/>
        <v>CASE-1065</v>
      </c>
      <c r="B1066" s="1">
        <v>46015</v>
      </c>
      <c r="C1066" t="s">
        <v>11</v>
      </c>
      <c r="D1066">
        <v>2</v>
      </c>
      <c r="E1066" t="b">
        <v>0</v>
      </c>
      <c r="F1066" s="2">
        <v>3.5576532943425478</v>
      </c>
      <c r="G1066" t="b">
        <v>0</v>
      </c>
      <c r="H1066" t="s">
        <v>20</v>
      </c>
      <c r="I1066" t="s">
        <v>34</v>
      </c>
    </row>
    <row r="1067" spans="1:9" x14ac:dyDescent="0.3">
      <c r="A1067" t="str">
        <f t="shared" si="16"/>
        <v>CASE-1066</v>
      </c>
      <c r="B1067" s="1">
        <v>46053</v>
      </c>
      <c r="C1067" t="s">
        <v>10</v>
      </c>
      <c r="D1067">
        <v>4</v>
      </c>
      <c r="E1067" t="b">
        <v>1</v>
      </c>
      <c r="F1067" s="2">
        <v>38.484387840753179</v>
      </c>
      <c r="G1067" t="b">
        <v>0</v>
      </c>
      <c r="H1067" t="s">
        <v>31</v>
      </c>
      <c r="I1067" t="s">
        <v>33</v>
      </c>
    </row>
    <row r="1068" spans="1:9" x14ac:dyDescent="0.3">
      <c r="A1068" t="str">
        <f t="shared" si="16"/>
        <v>CASE-1067</v>
      </c>
      <c r="B1068" s="1">
        <v>45531</v>
      </c>
      <c r="C1068" t="s">
        <v>9</v>
      </c>
      <c r="D1068">
        <v>1</v>
      </c>
      <c r="E1068" t="b">
        <v>0</v>
      </c>
      <c r="F1068" s="2">
        <v>19.163643947142258</v>
      </c>
      <c r="G1068" t="b">
        <v>0</v>
      </c>
      <c r="H1068" t="s">
        <v>13</v>
      </c>
      <c r="I1068" t="s">
        <v>33</v>
      </c>
    </row>
    <row r="1069" spans="1:9" x14ac:dyDescent="0.3">
      <c r="A1069" t="str">
        <f t="shared" si="16"/>
        <v>CASE-1068</v>
      </c>
      <c r="B1069" s="1">
        <v>45795</v>
      </c>
      <c r="C1069" t="s">
        <v>12</v>
      </c>
      <c r="D1069">
        <v>4</v>
      </c>
      <c r="E1069" t="b">
        <v>1</v>
      </c>
      <c r="F1069" s="2">
        <v>6.3232478188003647</v>
      </c>
      <c r="G1069" t="b">
        <v>0</v>
      </c>
      <c r="H1069" t="s">
        <v>30</v>
      </c>
      <c r="I1069" t="s">
        <v>34</v>
      </c>
    </row>
    <row r="1070" spans="1:9" x14ac:dyDescent="0.3">
      <c r="A1070" t="str">
        <f t="shared" si="16"/>
        <v>CASE-1069</v>
      </c>
      <c r="B1070" s="1">
        <v>46093</v>
      </c>
      <c r="C1070" t="s">
        <v>12</v>
      </c>
      <c r="D1070">
        <v>5</v>
      </c>
      <c r="E1070" t="b">
        <v>1</v>
      </c>
      <c r="F1070" s="2">
        <v>6.7931823660622292</v>
      </c>
      <c r="G1070" t="b">
        <v>0</v>
      </c>
      <c r="H1070" t="s">
        <v>20</v>
      </c>
      <c r="I1070" t="s">
        <v>35</v>
      </c>
    </row>
    <row r="1071" spans="1:9" x14ac:dyDescent="0.3">
      <c r="A1071" t="str">
        <f t="shared" si="16"/>
        <v>CASE-1070</v>
      </c>
      <c r="B1071" s="1">
        <v>45697</v>
      </c>
      <c r="C1071" t="s">
        <v>9</v>
      </c>
      <c r="D1071">
        <v>2</v>
      </c>
      <c r="E1071" t="b">
        <v>1</v>
      </c>
      <c r="F1071" s="2">
        <v>5.3201693603484168</v>
      </c>
      <c r="G1071" t="b">
        <v>0</v>
      </c>
      <c r="H1071" t="s">
        <v>16</v>
      </c>
      <c r="I1071" t="s">
        <v>34</v>
      </c>
    </row>
    <row r="1072" spans="1:9" x14ac:dyDescent="0.3">
      <c r="A1072" t="str">
        <f t="shared" si="16"/>
        <v>CASE-1071</v>
      </c>
      <c r="B1072" s="1">
        <v>45955</v>
      </c>
      <c r="C1072" t="s">
        <v>11</v>
      </c>
      <c r="D1072">
        <v>5</v>
      </c>
      <c r="E1072" t="b">
        <v>1</v>
      </c>
      <c r="F1072" s="2">
        <v>30.85446240418295</v>
      </c>
      <c r="G1072" t="b">
        <v>0</v>
      </c>
      <c r="H1072" t="s">
        <v>30</v>
      </c>
      <c r="I1072" t="s">
        <v>33</v>
      </c>
    </row>
    <row r="1073" spans="1:9" x14ac:dyDescent="0.3">
      <c r="A1073" t="str">
        <f t="shared" si="16"/>
        <v>CASE-1072</v>
      </c>
      <c r="B1073" s="1">
        <v>45663</v>
      </c>
      <c r="C1073" t="s">
        <v>9</v>
      </c>
      <c r="D1073">
        <v>4</v>
      </c>
      <c r="E1073" t="b">
        <v>1</v>
      </c>
      <c r="F1073" s="2">
        <v>5.3197972113630509</v>
      </c>
      <c r="G1073" t="b">
        <v>0</v>
      </c>
      <c r="H1073" t="s">
        <v>21</v>
      </c>
      <c r="I1073" t="s">
        <v>34</v>
      </c>
    </row>
    <row r="1074" spans="1:9" x14ac:dyDescent="0.3">
      <c r="A1074" t="str">
        <f t="shared" si="16"/>
        <v>CASE-1073</v>
      </c>
      <c r="B1074" s="1">
        <v>45627</v>
      </c>
      <c r="C1074" t="s">
        <v>9</v>
      </c>
      <c r="D1074">
        <v>3</v>
      </c>
      <c r="E1074" t="b">
        <v>0</v>
      </c>
      <c r="F1074" s="2">
        <v>16.735158114225527</v>
      </c>
      <c r="G1074" t="b">
        <v>0</v>
      </c>
      <c r="H1074" t="s">
        <v>21</v>
      </c>
      <c r="I1074" t="s">
        <v>33</v>
      </c>
    </row>
    <row r="1075" spans="1:9" x14ac:dyDescent="0.3">
      <c r="A1075" t="str">
        <f t="shared" si="16"/>
        <v>CASE-1074</v>
      </c>
      <c r="B1075" s="1">
        <v>46143</v>
      </c>
      <c r="C1075" t="s">
        <v>12</v>
      </c>
      <c r="D1075">
        <v>5</v>
      </c>
      <c r="E1075" t="b">
        <v>1</v>
      </c>
      <c r="F1075" s="2">
        <v>5.3208867153031649</v>
      </c>
      <c r="G1075" t="b">
        <v>0</v>
      </c>
      <c r="H1075" t="s">
        <v>26</v>
      </c>
      <c r="I1075" t="s">
        <v>35</v>
      </c>
    </row>
    <row r="1076" spans="1:9" x14ac:dyDescent="0.3">
      <c r="A1076" t="str">
        <f t="shared" si="16"/>
        <v>CASE-1075</v>
      </c>
      <c r="B1076" s="1">
        <v>45939</v>
      </c>
      <c r="C1076" t="s">
        <v>11</v>
      </c>
      <c r="D1076">
        <v>1</v>
      </c>
      <c r="E1076" t="b">
        <v>1</v>
      </c>
      <c r="F1076" s="2">
        <v>4.5162119528899405</v>
      </c>
      <c r="G1076" t="b">
        <v>0</v>
      </c>
      <c r="H1076" t="s">
        <v>18</v>
      </c>
      <c r="I1076" t="s">
        <v>34</v>
      </c>
    </row>
    <row r="1077" spans="1:9" x14ac:dyDescent="0.3">
      <c r="A1077" t="str">
        <f t="shared" si="16"/>
        <v>CASE-1076</v>
      </c>
      <c r="B1077" s="1">
        <v>45889</v>
      </c>
      <c r="C1077" t="s">
        <v>12</v>
      </c>
      <c r="D1077">
        <v>1</v>
      </c>
      <c r="E1077" t="b">
        <v>1</v>
      </c>
      <c r="F1077" s="2">
        <v>8.3185510006804737</v>
      </c>
      <c r="G1077" t="b">
        <v>0</v>
      </c>
      <c r="H1077" t="s">
        <v>19</v>
      </c>
      <c r="I1077" t="s">
        <v>34</v>
      </c>
    </row>
    <row r="1078" spans="1:9" x14ac:dyDescent="0.3">
      <c r="A1078" t="str">
        <f t="shared" si="16"/>
        <v>CASE-1077</v>
      </c>
      <c r="B1078" s="1">
        <v>46116</v>
      </c>
      <c r="C1078" t="s">
        <v>10</v>
      </c>
      <c r="D1078">
        <v>2</v>
      </c>
      <c r="E1078" t="b">
        <v>1</v>
      </c>
      <c r="F1078" s="2">
        <v>20.138276115906486</v>
      </c>
      <c r="G1078" t="b">
        <v>0</v>
      </c>
      <c r="H1078" t="s">
        <v>13</v>
      </c>
      <c r="I1078" t="s">
        <v>33</v>
      </c>
    </row>
    <row r="1079" spans="1:9" x14ac:dyDescent="0.3">
      <c r="A1079" t="str">
        <f t="shared" si="16"/>
        <v>CASE-1078</v>
      </c>
      <c r="B1079" s="1">
        <v>45897</v>
      </c>
      <c r="C1079" t="s">
        <v>12</v>
      </c>
      <c r="D1079">
        <v>5</v>
      </c>
      <c r="E1079" t="b">
        <v>1</v>
      </c>
      <c r="F1079" s="2">
        <v>6.3082640086741506</v>
      </c>
      <c r="G1079" t="b">
        <v>0</v>
      </c>
      <c r="H1079" t="s">
        <v>17</v>
      </c>
      <c r="I1079" t="s">
        <v>34</v>
      </c>
    </row>
    <row r="1080" spans="1:9" x14ac:dyDescent="0.3">
      <c r="A1080" t="str">
        <f t="shared" si="16"/>
        <v>CASE-1079</v>
      </c>
      <c r="B1080" s="1">
        <v>45493</v>
      </c>
      <c r="C1080" t="s">
        <v>10</v>
      </c>
      <c r="D1080">
        <v>3</v>
      </c>
      <c r="E1080" t="b">
        <v>0</v>
      </c>
      <c r="F1080" s="2">
        <v>9.6507003954649218</v>
      </c>
      <c r="G1080" t="b">
        <v>0</v>
      </c>
      <c r="H1080" t="s">
        <v>31</v>
      </c>
      <c r="I1080" t="s">
        <v>33</v>
      </c>
    </row>
    <row r="1081" spans="1:9" x14ac:dyDescent="0.3">
      <c r="A1081" t="str">
        <f t="shared" si="16"/>
        <v>CASE-1080</v>
      </c>
      <c r="B1081" s="1">
        <v>45825</v>
      </c>
      <c r="C1081" t="s">
        <v>11</v>
      </c>
      <c r="D1081">
        <v>4</v>
      </c>
      <c r="E1081" t="b">
        <v>1</v>
      </c>
      <c r="F1081" s="2">
        <v>7.5961065882438286</v>
      </c>
      <c r="G1081" t="b">
        <v>0</v>
      </c>
      <c r="H1081" t="s">
        <v>29</v>
      </c>
      <c r="I1081" t="s">
        <v>35</v>
      </c>
    </row>
    <row r="1082" spans="1:9" x14ac:dyDescent="0.3">
      <c r="A1082" t="str">
        <f t="shared" si="16"/>
        <v>CASE-1081</v>
      </c>
      <c r="B1082" s="1">
        <v>45666</v>
      </c>
      <c r="C1082" t="s">
        <v>12</v>
      </c>
      <c r="D1082">
        <v>2</v>
      </c>
      <c r="E1082" t="b">
        <v>1</v>
      </c>
      <c r="F1082" s="2">
        <v>7.8379988936231406</v>
      </c>
      <c r="G1082" t="b">
        <v>0</v>
      </c>
      <c r="H1082" t="s">
        <v>13</v>
      </c>
      <c r="I1082" t="s">
        <v>34</v>
      </c>
    </row>
    <row r="1083" spans="1:9" x14ac:dyDescent="0.3">
      <c r="A1083" t="str">
        <f t="shared" si="16"/>
        <v>CASE-1082</v>
      </c>
      <c r="B1083" s="1">
        <v>46093</v>
      </c>
      <c r="C1083" t="s">
        <v>10</v>
      </c>
      <c r="D1083">
        <v>4</v>
      </c>
      <c r="E1083" t="b">
        <v>1</v>
      </c>
      <c r="F1083" s="2">
        <v>27.476764976618984</v>
      </c>
      <c r="G1083" t="b">
        <v>0</v>
      </c>
      <c r="H1083" t="s">
        <v>14</v>
      </c>
      <c r="I1083" t="s">
        <v>33</v>
      </c>
    </row>
    <row r="1084" spans="1:9" x14ac:dyDescent="0.3">
      <c r="A1084" t="str">
        <f t="shared" si="16"/>
        <v>CASE-1083</v>
      </c>
      <c r="B1084" s="1">
        <v>45955</v>
      </c>
      <c r="C1084" t="s">
        <v>12</v>
      </c>
      <c r="D1084">
        <v>5</v>
      </c>
      <c r="E1084" t="b">
        <v>0</v>
      </c>
      <c r="F1084" s="2">
        <v>7.8003135936720085</v>
      </c>
      <c r="G1084" t="b">
        <v>0</v>
      </c>
      <c r="H1084" t="s">
        <v>22</v>
      </c>
      <c r="I1084" t="s">
        <v>34</v>
      </c>
    </row>
    <row r="1085" spans="1:9" x14ac:dyDescent="0.3">
      <c r="A1085" t="str">
        <f t="shared" si="16"/>
        <v>CASE-1084</v>
      </c>
      <c r="B1085" s="1">
        <v>45576</v>
      </c>
      <c r="C1085" t="s">
        <v>10</v>
      </c>
      <c r="D1085">
        <v>4</v>
      </c>
      <c r="E1085" t="b">
        <v>0</v>
      </c>
      <c r="F1085" s="2">
        <v>14.771294848580022</v>
      </c>
      <c r="G1085" t="b">
        <v>0</v>
      </c>
      <c r="H1085" t="s">
        <v>32</v>
      </c>
      <c r="I1085" t="s">
        <v>33</v>
      </c>
    </row>
    <row r="1086" spans="1:9" x14ac:dyDescent="0.3">
      <c r="A1086" t="str">
        <f t="shared" si="16"/>
        <v>CASE-1085</v>
      </c>
      <c r="B1086" s="1">
        <v>46028</v>
      </c>
      <c r="C1086" t="s">
        <v>9</v>
      </c>
      <c r="D1086">
        <v>4</v>
      </c>
      <c r="E1086" t="b">
        <v>1</v>
      </c>
      <c r="F1086" s="2">
        <v>26.026466373334934</v>
      </c>
      <c r="G1086" t="b">
        <v>0</v>
      </c>
      <c r="H1086" t="s">
        <v>29</v>
      </c>
      <c r="I1086" t="s">
        <v>33</v>
      </c>
    </row>
    <row r="1087" spans="1:9" x14ac:dyDescent="0.3">
      <c r="A1087" t="str">
        <f t="shared" si="16"/>
        <v>CASE-1086</v>
      </c>
      <c r="B1087" s="1">
        <v>46129</v>
      </c>
      <c r="C1087" t="s">
        <v>9</v>
      </c>
      <c r="D1087">
        <v>5</v>
      </c>
      <c r="E1087" t="b">
        <v>1</v>
      </c>
      <c r="F1087" s="2">
        <v>8.9118346261380257</v>
      </c>
      <c r="G1087" t="b">
        <v>0</v>
      </c>
      <c r="H1087" t="s">
        <v>15</v>
      </c>
      <c r="I1087" t="s">
        <v>34</v>
      </c>
    </row>
    <row r="1088" spans="1:9" x14ac:dyDescent="0.3">
      <c r="A1088" t="str">
        <f t="shared" si="16"/>
        <v>CASE-1087</v>
      </c>
      <c r="B1088" s="1">
        <v>45762</v>
      </c>
      <c r="C1088" t="s">
        <v>11</v>
      </c>
      <c r="D1088">
        <v>3</v>
      </c>
      <c r="E1088" t="b">
        <v>1</v>
      </c>
      <c r="F1088" s="2">
        <v>10.78695537648068</v>
      </c>
      <c r="G1088" t="b">
        <v>0</v>
      </c>
      <c r="H1088" t="s">
        <v>16</v>
      </c>
      <c r="I1088" t="s">
        <v>34</v>
      </c>
    </row>
    <row r="1089" spans="1:9" x14ac:dyDescent="0.3">
      <c r="A1089" t="str">
        <f t="shared" si="16"/>
        <v>CASE-1088</v>
      </c>
      <c r="B1089" s="1">
        <v>45492</v>
      </c>
      <c r="C1089" t="s">
        <v>11</v>
      </c>
      <c r="D1089">
        <v>4</v>
      </c>
      <c r="E1089" t="b">
        <v>0</v>
      </c>
      <c r="F1089" s="2">
        <v>12.235217066290128</v>
      </c>
      <c r="G1089" t="b">
        <v>0</v>
      </c>
      <c r="H1089" t="s">
        <v>21</v>
      </c>
      <c r="I1089" t="s">
        <v>33</v>
      </c>
    </row>
    <row r="1090" spans="1:9" x14ac:dyDescent="0.3">
      <c r="A1090" t="str">
        <f t="shared" si="16"/>
        <v>CASE-1089</v>
      </c>
      <c r="B1090" s="1">
        <v>45477</v>
      </c>
      <c r="C1090" t="s">
        <v>12</v>
      </c>
      <c r="D1090">
        <v>2</v>
      </c>
      <c r="E1090" t="b">
        <v>0</v>
      </c>
      <c r="F1090" s="2">
        <v>29.875854488892585</v>
      </c>
      <c r="G1090" t="b">
        <v>0</v>
      </c>
      <c r="H1090" t="s">
        <v>29</v>
      </c>
      <c r="I1090" t="s">
        <v>33</v>
      </c>
    </row>
    <row r="1091" spans="1:9" x14ac:dyDescent="0.3">
      <c r="A1091" t="str">
        <f t="shared" ref="A1091:A1154" si="17">"CASE-"&amp;TEXT(ROW()-1,"0000")</f>
        <v>CASE-1090</v>
      </c>
      <c r="B1091" s="1">
        <v>46134</v>
      </c>
      <c r="C1091" t="s">
        <v>12</v>
      </c>
      <c r="D1091">
        <v>4</v>
      </c>
      <c r="E1091" t="b">
        <v>1</v>
      </c>
      <c r="F1091" s="2">
        <v>5.5294007908704605</v>
      </c>
      <c r="G1091" t="b">
        <v>0</v>
      </c>
      <c r="H1091" t="s">
        <v>28</v>
      </c>
      <c r="I1091" t="s">
        <v>34</v>
      </c>
    </row>
    <row r="1092" spans="1:9" x14ac:dyDescent="0.3">
      <c r="A1092" t="str">
        <f t="shared" si="17"/>
        <v>CASE-1091</v>
      </c>
      <c r="B1092" s="1">
        <v>45882</v>
      </c>
      <c r="C1092" t="s">
        <v>11</v>
      </c>
      <c r="D1092">
        <v>1</v>
      </c>
      <c r="E1092" t="b">
        <v>1</v>
      </c>
      <c r="F1092" s="2">
        <v>31.657236781750942</v>
      </c>
      <c r="G1092" t="b">
        <v>0</v>
      </c>
      <c r="H1092" t="s">
        <v>25</v>
      </c>
      <c r="I1092" t="s">
        <v>33</v>
      </c>
    </row>
    <row r="1093" spans="1:9" x14ac:dyDescent="0.3">
      <c r="A1093" t="str">
        <f t="shared" si="17"/>
        <v>CASE-1092</v>
      </c>
      <c r="B1093" s="1">
        <v>45616</v>
      </c>
      <c r="C1093" t="s">
        <v>11</v>
      </c>
      <c r="D1093">
        <v>3</v>
      </c>
      <c r="E1093" t="b">
        <v>0</v>
      </c>
      <c r="F1093" s="2">
        <v>29.618424124561855</v>
      </c>
      <c r="G1093" t="b">
        <v>0</v>
      </c>
      <c r="H1093" t="s">
        <v>16</v>
      </c>
      <c r="I1093" t="s">
        <v>33</v>
      </c>
    </row>
    <row r="1094" spans="1:9" x14ac:dyDescent="0.3">
      <c r="A1094" t="str">
        <f t="shared" si="17"/>
        <v>CASE-1093</v>
      </c>
      <c r="B1094" s="1">
        <v>46004</v>
      </c>
      <c r="C1094" t="s">
        <v>11</v>
      </c>
      <c r="D1094">
        <v>3</v>
      </c>
      <c r="E1094" t="b">
        <v>1</v>
      </c>
      <c r="F1094" s="2">
        <v>7.7135249244239628</v>
      </c>
      <c r="G1094" t="b">
        <v>0</v>
      </c>
      <c r="H1094" t="s">
        <v>13</v>
      </c>
      <c r="I1094" t="s">
        <v>34</v>
      </c>
    </row>
    <row r="1095" spans="1:9" x14ac:dyDescent="0.3">
      <c r="A1095" t="str">
        <f t="shared" si="17"/>
        <v>CASE-1094</v>
      </c>
      <c r="B1095" s="1">
        <v>46087</v>
      </c>
      <c r="C1095" t="s">
        <v>9</v>
      </c>
      <c r="D1095">
        <v>5</v>
      </c>
      <c r="E1095" t="b">
        <v>1</v>
      </c>
      <c r="F1095" s="2">
        <v>18.350992468826572</v>
      </c>
      <c r="G1095" t="b">
        <v>0</v>
      </c>
      <c r="H1095" t="s">
        <v>25</v>
      </c>
      <c r="I1095" t="s">
        <v>33</v>
      </c>
    </row>
    <row r="1096" spans="1:9" x14ac:dyDescent="0.3">
      <c r="A1096" t="str">
        <f t="shared" si="17"/>
        <v>CASE-1095</v>
      </c>
      <c r="B1096" s="1">
        <v>46188</v>
      </c>
      <c r="C1096" t="s">
        <v>12</v>
      </c>
      <c r="D1096">
        <v>2</v>
      </c>
      <c r="E1096" t="b">
        <v>1</v>
      </c>
      <c r="F1096" s="2">
        <v>7.7841058903996405</v>
      </c>
      <c r="G1096" t="b">
        <v>0</v>
      </c>
      <c r="H1096" t="s">
        <v>14</v>
      </c>
      <c r="I1096" t="s">
        <v>34</v>
      </c>
    </row>
    <row r="1097" spans="1:9" x14ac:dyDescent="0.3">
      <c r="A1097" t="str">
        <f t="shared" si="17"/>
        <v>CASE-1096</v>
      </c>
      <c r="B1097" s="1">
        <v>45514</v>
      </c>
      <c r="C1097" t="s">
        <v>11</v>
      </c>
      <c r="D1097">
        <v>4</v>
      </c>
      <c r="E1097" t="b">
        <v>0</v>
      </c>
      <c r="F1097" s="2">
        <v>27.642619557896609</v>
      </c>
      <c r="G1097" t="b">
        <v>0</v>
      </c>
      <c r="H1097" t="s">
        <v>13</v>
      </c>
      <c r="I1097" t="s">
        <v>33</v>
      </c>
    </row>
    <row r="1098" spans="1:9" x14ac:dyDescent="0.3">
      <c r="A1098" t="str">
        <f t="shared" si="17"/>
        <v>CASE-1097</v>
      </c>
      <c r="B1098" s="1">
        <v>45539</v>
      </c>
      <c r="C1098" t="s">
        <v>12</v>
      </c>
      <c r="D1098">
        <v>4</v>
      </c>
      <c r="E1098" t="b">
        <v>0</v>
      </c>
      <c r="F1098" s="2">
        <v>13.824019899791011</v>
      </c>
      <c r="G1098" t="b">
        <v>0</v>
      </c>
      <c r="H1098" t="s">
        <v>31</v>
      </c>
      <c r="I1098" t="s">
        <v>33</v>
      </c>
    </row>
    <row r="1099" spans="1:9" x14ac:dyDescent="0.3">
      <c r="A1099" t="str">
        <f t="shared" si="17"/>
        <v>CASE-1098</v>
      </c>
      <c r="B1099" s="1">
        <v>45647</v>
      </c>
      <c r="C1099" t="s">
        <v>10</v>
      </c>
      <c r="D1099">
        <v>4</v>
      </c>
      <c r="E1099" t="b">
        <v>0</v>
      </c>
      <c r="F1099" s="2">
        <v>48.566106967103806</v>
      </c>
      <c r="G1099" t="b">
        <v>0</v>
      </c>
      <c r="H1099" t="s">
        <v>25</v>
      </c>
      <c r="I1099" t="s">
        <v>33</v>
      </c>
    </row>
    <row r="1100" spans="1:9" x14ac:dyDescent="0.3">
      <c r="A1100" t="str">
        <f t="shared" si="17"/>
        <v>CASE-1099</v>
      </c>
      <c r="B1100" s="1">
        <v>45573</v>
      </c>
      <c r="C1100" t="s">
        <v>10</v>
      </c>
      <c r="D1100">
        <v>5</v>
      </c>
      <c r="E1100" t="b">
        <v>0</v>
      </c>
      <c r="F1100" s="2">
        <v>42.830370798288037</v>
      </c>
      <c r="G1100" t="b">
        <v>0</v>
      </c>
      <c r="H1100" t="s">
        <v>25</v>
      </c>
      <c r="I1100" t="s">
        <v>33</v>
      </c>
    </row>
    <row r="1101" spans="1:9" x14ac:dyDescent="0.3">
      <c r="A1101" t="str">
        <f t="shared" si="17"/>
        <v>CASE-1100</v>
      </c>
      <c r="B1101" s="1">
        <v>45831</v>
      </c>
      <c r="C1101" t="s">
        <v>11</v>
      </c>
      <c r="D1101">
        <v>5</v>
      </c>
      <c r="E1101" t="b">
        <v>1</v>
      </c>
      <c r="F1101" s="2">
        <v>4.4668790337798967</v>
      </c>
      <c r="G1101" t="b">
        <v>0</v>
      </c>
      <c r="H1101" t="s">
        <v>17</v>
      </c>
      <c r="I1101" t="s">
        <v>34</v>
      </c>
    </row>
    <row r="1102" spans="1:9" x14ac:dyDescent="0.3">
      <c r="A1102" t="str">
        <f t="shared" si="17"/>
        <v>CASE-1101</v>
      </c>
      <c r="B1102" s="1">
        <v>45807</v>
      </c>
      <c r="C1102" t="s">
        <v>10</v>
      </c>
      <c r="D1102">
        <v>2</v>
      </c>
      <c r="E1102" t="b">
        <v>0</v>
      </c>
      <c r="F1102" s="2">
        <v>7.3519000753298265</v>
      </c>
      <c r="G1102" t="b">
        <v>0</v>
      </c>
      <c r="H1102" t="s">
        <v>24</v>
      </c>
      <c r="I1102" t="s">
        <v>34</v>
      </c>
    </row>
    <row r="1103" spans="1:9" x14ac:dyDescent="0.3">
      <c r="A1103" t="str">
        <f t="shared" si="17"/>
        <v>CASE-1102</v>
      </c>
      <c r="B1103" s="1">
        <v>45767</v>
      </c>
      <c r="C1103" t="s">
        <v>9</v>
      </c>
      <c r="D1103">
        <v>4</v>
      </c>
      <c r="E1103" t="b">
        <v>0</v>
      </c>
      <c r="F1103" s="2">
        <v>8.0757890538808397</v>
      </c>
      <c r="G1103" t="b">
        <v>0</v>
      </c>
      <c r="H1103" t="s">
        <v>24</v>
      </c>
      <c r="I1103" t="s">
        <v>34</v>
      </c>
    </row>
    <row r="1104" spans="1:9" x14ac:dyDescent="0.3">
      <c r="A1104" t="str">
        <f t="shared" si="17"/>
        <v>CASE-1103</v>
      </c>
      <c r="B1104" s="1">
        <v>45780</v>
      </c>
      <c r="C1104" t="s">
        <v>9</v>
      </c>
      <c r="D1104">
        <v>4</v>
      </c>
      <c r="E1104" t="b">
        <v>1</v>
      </c>
      <c r="F1104" s="2">
        <v>6.0418776230203486</v>
      </c>
      <c r="G1104" t="b">
        <v>0</v>
      </c>
      <c r="H1104" t="s">
        <v>13</v>
      </c>
      <c r="I1104" t="s">
        <v>34</v>
      </c>
    </row>
    <row r="1105" spans="1:9" x14ac:dyDescent="0.3">
      <c r="A1105" t="str">
        <f t="shared" si="17"/>
        <v>CASE-1104</v>
      </c>
      <c r="B1105" s="1">
        <v>45536</v>
      </c>
      <c r="C1105" t="s">
        <v>12</v>
      </c>
      <c r="D1105">
        <v>1</v>
      </c>
      <c r="E1105" t="b">
        <v>0</v>
      </c>
      <c r="F1105" s="2">
        <v>21.642082339079618</v>
      </c>
      <c r="G1105" t="b">
        <v>0</v>
      </c>
      <c r="H1105" t="s">
        <v>28</v>
      </c>
      <c r="I1105" t="s">
        <v>33</v>
      </c>
    </row>
    <row r="1106" spans="1:9" x14ac:dyDescent="0.3">
      <c r="A1106" t="str">
        <f t="shared" si="17"/>
        <v>CASE-1105</v>
      </c>
      <c r="B1106" s="1">
        <v>45809</v>
      </c>
      <c r="C1106" t="s">
        <v>9</v>
      </c>
      <c r="D1106">
        <v>2</v>
      </c>
      <c r="E1106" t="b">
        <v>1</v>
      </c>
      <c r="F1106" s="2">
        <v>4.8595926165942203</v>
      </c>
      <c r="G1106" t="b">
        <v>0</v>
      </c>
      <c r="H1106" t="s">
        <v>14</v>
      </c>
      <c r="I1106" t="s">
        <v>34</v>
      </c>
    </row>
    <row r="1107" spans="1:9" x14ac:dyDescent="0.3">
      <c r="A1107" t="str">
        <f t="shared" si="17"/>
        <v>CASE-1106</v>
      </c>
      <c r="B1107" s="1">
        <v>45946</v>
      </c>
      <c r="C1107" t="s">
        <v>12</v>
      </c>
      <c r="D1107">
        <v>3</v>
      </c>
      <c r="E1107" t="b">
        <v>1</v>
      </c>
      <c r="F1107" s="2">
        <v>30.633745094867294</v>
      </c>
      <c r="G1107" t="b">
        <v>0</v>
      </c>
      <c r="H1107" t="s">
        <v>32</v>
      </c>
      <c r="I1107" t="s">
        <v>33</v>
      </c>
    </row>
    <row r="1108" spans="1:9" x14ac:dyDescent="0.3">
      <c r="A1108" t="str">
        <f t="shared" si="17"/>
        <v>CASE-1107</v>
      </c>
      <c r="B1108" s="1">
        <v>45666</v>
      </c>
      <c r="C1108" t="s">
        <v>10</v>
      </c>
      <c r="D1108">
        <v>1</v>
      </c>
      <c r="E1108" t="b">
        <v>1</v>
      </c>
      <c r="F1108" s="2">
        <v>19.278539765960915</v>
      </c>
      <c r="G1108" t="b">
        <v>0</v>
      </c>
      <c r="H1108" t="s">
        <v>32</v>
      </c>
      <c r="I1108" t="s">
        <v>33</v>
      </c>
    </row>
    <row r="1109" spans="1:9" x14ac:dyDescent="0.3">
      <c r="A1109" t="str">
        <f t="shared" si="17"/>
        <v>CASE-1108</v>
      </c>
      <c r="B1109" s="1">
        <v>45590</v>
      </c>
      <c r="C1109" t="s">
        <v>9</v>
      </c>
      <c r="D1109">
        <v>1</v>
      </c>
      <c r="E1109" t="b">
        <v>0</v>
      </c>
      <c r="F1109" s="2">
        <v>36.079094778961263</v>
      </c>
      <c r="G1109" t="b">
        <v>0</v>
      </c>
      <c r="H1109" t="s">
        <v>21</v>
      </c>
      <c r="I1109" t="s">
        <v>33</v>
      </c>
    </row>
    <row r="1110" spans="1:9" x14ac:dyDescent="0.3">
      <c r="A1110" t="str">
        <f t="shared" si="17"/>
        <v>CASE-1109</v>
      </c>
      <c r="B1110" s="1">
        <v>45519</v>
      </c>
      <c r="C1110" t="s">
        <v>9</v>
      </c>
      <c r="D1110">
        <v>5</v>
      </c>
      <c r="E1110" t="b">
        <v>0</v>
      </c>
      <c r="F1110" s="2">
        <v>33.585948845543783</v>
      </c>
      <c r="G1110" t="b">
        <v>0</v>
      </c>
      <c r="H1110" t="s">
        <v>23</v>
      </c>
      <c r="I1110" t="s">
        <v>33</v>
      </c>
    </row>
    <row r="1111" spans="1:9" x14ac:dyDescent="0.3">
      <c r="A1111" t="str">
        <f t="shared" si="17"/>
        <v>CASE-1110</v>
      </c>
      <c r="B1111" s="1">
        <v>46086</v>
      </c>
      <c r="C1111" t="s">
        <v>11</v>
      </c>
      <c r="D1111">
        <v>4</v>
      </c>
      <c r="E1111" t="b">
        <v>1</v>
      </c>
      <c r="F1111" s="2">
        <v>8.6351250878545009</v>
      </c>
      <c r="G1111" t="b">
        <v>0</v>
      </c>
      <c r="H1111" t="s">
        <v>17</v>
      </c>
      <c r="I1111" t="s">
        <v>34</v>
      </c>
    </row>
    <row r="1112" spans="1:9" x14ac:dyDescent="0.3">
      <c r="A1112" t="str">
        <f t="shared" si="17"/>
        <v>CASE-1111</v>
      </c>
      <c r="B1112" s="1">
        <v>45797</v>
      </c>
      <c r="C1112" t="s">
        <v>9</v>
      </c>
      <c r="D1112">
        <v>2</v>
      </c>
      <c r="E1112" t="b">
        <v>0</v>
      </c>
      <c r="F1112" s="2">
        <v>5.7967621090789168</v>
      </c>
      <c r="G1112" t="b">
        <v>0</v>
      </c>
      <c r="H1112" t="s">
        <v>19</v>
      </c>
      <c r="I1112" t="s">
        <v>34</v>
      </c>
    </row>
    <row r="1113" spans="1:9" x14ac:dyDescent="0.3">
      <c r="A1113" t="str">
        <f t="shared" si="17"/>
        <v>CASE-1112</v>
      </c>
      <c r="B1113" s="1">
        <v>45646</v>
      </c>
      <c r="C1113" t="s">
        <v>10</v>
      </c>
      <c r="D1113">
        <v>2</v>
      </c>
      <c r="E1113" t="b">
        <v>0</v>
      </c>
      <c r="F1113" s="2">
        <v>20.729455193280327</v>
      </c>
      <c r="G1113" t="b">
        <v>0</v>
      </c>
      <c r="H1113" t="s">
        <v>13</v>
      </c>
      <c r="I1113" t="s">
        <v>33</v>
      </c>
    </row>
    <row r="1114" spans="1:9" x14ac:dyDescent="0.3">
      <c r="A1114" t="str">
        <f t="shared" si="17"/>
        <v>CASE-1113</v>
      </c>
      <c r="B1114" s="1">
        <v>45979</v>
      </c>
      <c r="C1114" t="s">
        <v>12</v>
      </c>
      <c r="D1114">
        <v>4</v>
      </c>
      <c r="E1114" t="b">
        <v>1</v>
      </c>
      <c r="F1114" s="2">
        <v>9.4172993241225473</v>
      </c>
      <c r="G1114" t="b">
        <v>0</v>
      </c>
      <c r="H1114" t="s">
        <v>22</v>
      </c>
      <c r="I1114" t="s">
        <v>34</v>
      </c>
    </row>
    <row r="1115" spans="1:9" x14ac:dyDescent="0.3">
      <c r="A1115" t="str">
        <f t="shared" si="17"/>
        <v>CASE-1114</v>
      </c>
      <c r="B1115" s="1">
        <v>45739</v>
      </c>
      <c r="C1115" t="s">
        <v>9</v>
      </c>
      <c r="D1115">
        <v>4</v>
      </c>
      <c r="E1115" t="b">
        <v>1</v>
      </c>
      <c r="F1115" s="2">
        <v>3.548227144893116</v>
      </c>
      <c r="G1115" t="b">
        <v>0</v>
      </c>
      <c r="H1115" t="s">
        <v>25</v>
      </c>
      <c r="I1115" t="s">
        <v>34</v>
      </c>
    </row>
    <row r="1116" spans="1:9" x14ac:dyDescent="0.3">
      <c r="A1116" t="str">
        <f t="shared" si="17"/>
        <v>CASE-1115</v>
      </c>
      <c r="B1116" s="1">
        <v>46050</v>
      </c>
      <c r="C1116" t="s">
        <v>11</v>
      </c>
      <c r="D1116">
        <v>4</v>
      </c>
      <c r="E1116" t="b">
        <v>1</v>
      </c>
      <c r="F1116" s="2">
        <v>5.1155481940131464</v>
      </c>
      <c r="G1116" t="b">
        <v>0</v>
      </c>
      <c r="H1116" t="s">
        <v>31</v>
      </c>
      <c r="I1116" t="s">
        <v>34</v>
      </c>
    </row>
    <row r="1117" spans="1:9" x14ac:dyDescent="0.3">
      <c r="A1117" t="str">
        <f t="shared" si="17"/>
        <v>CASE-1116</v>
      </c>
      <c r="B1117" s="1">
        <v>45607</v>
      </c>
      <c r="C1117" t="s">
        <v>9</v>
      </c>
      <c r="D1117">
        <v>3</v>
      </c>
      <c r="E1117" t="b">
        <v>0</v>
      </c>
      <c r="F1117" s="2">
        <v>19.626585415011846</v>
      </c>
      <c r="G1117" t="b">
        <v>0</v>
      </c>
      <c r="H1117" t="s">
        <v>18</v>
      </c>
      <c r="I1117" t="s">
        <v>33</v>
      </c>
    </row>
    <row r="1118" spans="1:9" x14ac:dyDescent="0.3">
      <c r="A1118" t="str">
        <f t="shared" si="17"/>
        <v>CASE-1117</v>
      </c>
      <c r="B1118" s="1">
        <v>45756</v>
      </c>
      <c r="C1118" t="s">
        <v>11</v>
      </c>
      <c r="D1118">
        <v>2</v>
      </c>
      <c r="E1118" t="b">
        <v>0</v>
      </c>
      <c r="F1118" s="2">
        <v>10.426990592880781</v>
      </c>
      <c r="G1118" t="b">
        <v>0</v>
      </c>
      <c r="H1118" t="s">
        <v>29</v>
      </c>
      <c r="I1118" t="s">
        <v>34</v>
      </c>
    </row>
    <row r="1119" spans="1:9" x14ac:dyDescent="0.3">
      <c r="A1119" t="str">
        <f t="shared" si="17"/>
        <v>CASE-1118</v>
      </c>
      <c r="B1119" s="1">
        <v>45995</v>
      </c>
      <c r="C1119" t="s">
        <v>10</v>
      </c>
      <c r="D1119">
        <v>1</v>
      </c>
      <c r="E1119" t="b">
        <v>1</v>
      </c>
      <c r="F1119" s="2">
        <v>8.0980611735779249</v>
      </c>
      <c r="G1119" t="b">
        <v>0</v>
      </c>
      <c r="H1119" t="s">
        <v>25</v>
      </c>
      <c r="I1119" t="s">
        <v>34</v>
      </c>
    </row>
    <row r="1120" spans="1:9" x14ac:dyDescent="0.3">
      <c r="A1120" t="str">
        <f t="shared" si="17"/>
        <v>CASE-1119</v>
      </c>
      <c r="B1120" s="1">
        <v>45726</v>
      </c>
      <c r="C1120" t="s">
        <v>11</v>
      </c>
      <c r="D1120">
        <v>2</v>
      </c>
      <c r="E1120" t="b">
        <v>1</v>
      </c>
      <c r="F1120" s="2">
        <v>7.2127365425858176</v>
      </c>
      <c r="G1120" t="b">
        <v>0</v>
      </c>
      <c r="H1120" t="s">
        <v>32</v>
      </c>
      <c r="I1120" t="s">
        <v>35</v>
      </c>
    </row>
    <row r="1121" spans="1:9" x14ac:dyDescent="0.3">
      <c r="A1121" t="str">
        <f t="shared" si="17"/>
        <v>CASE-1120</v>
      </c>
      <c r="B1121" s="1">
        <v>45921</v>
      </c>
      <c r="C1121" t="s">
        <v>12</v>
      </c>
      <c r="D1121">
        <v>1</v>
      </c>
      <c r="E1121" t="b">
        <v>0</v>
      </c>
      <c r="F1121" s="2">
        <v>10.702753572962218</v>
      </c>
      <c r="G1121" t="b">
        <v>0</v>
      </c>
      <c r="H1121" t="s">
        <v>25</v>
      </c>
      <c r="I1121" t="s">
        <v>34</v>
      </c>
    </row>
    <row r="1122" spans="1:9" x14ac:dyDescent="0.3">
      <c r="A1122" t="str">
        <f t="shared" si="17"/>
        <v>CASE-1121</v>
      </c>
      <c r="B1122" s="1">
        <v>45866</v>
      </c>
      <c r="C1122" t="s">
        <v>9</v>
      </c>
      <c r="D1122">
        <v>1</v>
      </c>
      <c r="E1122" t="b">
        <v>1</v>
      </c>
      <c r="F1122" s="2">
        <v>9.572678098624003</v>
      </c>
      <c r="G1122" t="b">
        <v>0</v>
      </c>
      <c r="H1122" t="s">
        <v>23</v>
      </c>
      <c r="I1122" t="s">
        <v>34</v>
      </c>
    </row>
    <row r="1123" spans="1:9" x14ac:dyDescent="0.3">
      <c r="A1123" t="str">
        <f t="shared" si="17"/>
        <v>CASE-1122</v>
      </c>
      <c r="B1123" s="1">
        <v>45889</v>
      </c>
      <c r="C1123" t="s">
        <v>12</v>
      </c>
      <c r="D1123">
        <v>3</v>
      </c>
      <c r="E1123" t="b">
        <v>1</v>
      </c>
      <c r="F1123" s="2">
        <v>5.8500423778306629</v>
      </c>
      <c r="G1123" t="b">
        <v>0</v>
      </c>
      <c r="H1123" t="s">
        <v>14</v>
      </c>
      <c r="I1123" t="s">
        <v>35</v>
      </c>
    </row>
    <row r="1124" spans="1:9" x14ac:dyDescent="0.3">
      <c r="A1124" t="str">
        <f t="shared" si="17"/>
        <v>CASE-1123</v>
      </c>
      <c r="B1124" s="1">
        <v>45884</v>
      </c>
      <c r="C1124" t="s">
        <v>10</v>
      </c>
      <c r="D1124">
        <v>3</v>
      </c>
      <c r="E1124" t="b">
        <v>1</v>
      </c>
      <c r="F1124" s="2">
        <v>4.3372338349659483</v>
      </c>
      <c r="G1124" t="b">
        <v>0</v>
      </c>
      <c r="H1124" t="s">
        <v>22</v>
      </c>
      <c r="I1124" t="s">
        <v>34</v>
      </c>
    </row>
    <row r="1125" spans="1:9" x14ac:dyDescent="0.3">
      <c r="A1125" t="str">
        <f t="shared" si="17"/>
        <v>CASE-1124</v>
      </c>
      <c r="B1125" s="1">
        <v>45899</v>
      </c>
      <c r="C1125" t="s">
        <v>11</v>
      </c>
      <c r="D1125">
        <v>1</v>
      </c>
      <c r="E1125" t="b">
        <v>1</v>
      </c>
      <c r="F1125" s="2">
        <v>9.601948256658174</v>
      </c>
      <c r="G1125" t="b">
        <v>0</v>
      </c>
      <c r="H1125" t="s">
        <v>21</v>
      </c>
      <c r="I1125" t="s">
        <v>34</v>
      </c>
    </row>
    <row r="1126" spans="1:9" x14ac:dyDescent="0.3">
      <c r="A1126" t="str">
        <f t="shared" si="17"/>
        <v>CASE-1125</v>
      </c>
      <c r="B1126" s="1">
        <v>45486</v>
      </c>
      <c r="C1126" t="s">
        <v>9</v>
      </c>
      <c r="D1126">
        <v>1</v>
      </c>
      <c r="E1126" t="b">
        <v>0</v>
      </c>
      <c r="F1126" s="2">
        <v>16.168826404928929</v>
      </c>
      <c r="G1126" t="b">
        <v>0</v>
      </c>
      <c r="H1126" t="s">
        <v>24</v>
      </c>
      <c r="I1126" t="s">
        <v>33</v>
      </c>
    </row>
    <row r="1127" spans="1:9" x14ac:dyDescent="0.3">
      <c r="A1127" t="str">
        <f t="shared" si="17"/>
        <v>CASE-1126</v>
      </c>
      <c r="B1127" s="1">
        <v>45891</v>
      </c>
      <c r="C1127" t="s">
        <v>11</v>
      </c>
      <c r="D1127">
        <v>5</v>
      </c>
      <c r="E1127" t="b">
        <v>1</v>
      </c>
      <c r="F1127" s="2">
        <v>4.1307430760059649</v>
      </c>
      <c r="G1127" t="b">
        <v>0</v>
      </c>
      <c r="H1127" t="s">
        <v>21</v>
      </c>
      <c r="I1127" t="s">
        <v>34</v>
      </c>
    </row>
    <row r="1128" spans="1:9" x14ac:dyDescent="0.3">
      <c r="A1128" t="str">
        <f t="shared" si="17"/>
        <v>CASE-1127</v>
      </c>
      <c r="B1128" s="1">
        <v>45479</v>
      </c>
      <c r="C1128" t="s">
        <v>11</v>
      </c>
      <c r="D1128">
        <v>3</v>
      </c>
      <c r="E1128" t="b">
        <v>0</v>
      </c>
      <c r="F1128" s="2">
        <v>18.207416358010192</v>
      </c>
      <c r="G1128" t="b">
        <v>0</v>
      </c>
      <c r="H1128" t="s">
        <v>15</v>
      </c>
      <c r="I1128" t="s">
        <v>33</v>
      </c>
    </row>
    <row r="1129" spans="1:9" x14ac:dyDescent="0.3">
      <c r="A1129" t="str">
        <f t="shared" si="17"/>
        <v>CASE-1128</v>
      </c>
      <c r="B1129" s="1">
        <v>46024</v>
      </c>
      <c r="C1129" t="s">
        <v>10</v>
      </c>
      <c r="D1129">
        <v>1</v>
      </c>
      <c r="E1129" t="b">
        <v>1</v>
      </c>
      <c r="F1129" s="2">
        <v>2.6038992380901629</v>
      </c>
      <c r="G1129" t="b">
        <v>0</v>
      </c>
      <c r="H1129" t="s">
        <v>29</v>
      </c>
      <c r="I1129" t="s">
        <v>35</v>
      </c>
    </row>
    <row r="1130" spans="1:9" x14ac:dyDescent="0.3">
      <c r="A1130" t="str">
        <f t="shared" si="17"/>
        <v>CASE-1129</v>
      </c>
      <c r="B1130" s="1">
        <v>46137</v>
      </c>
      <c r="C1130" t="s">
        <v>10</v>
      </c>
      <c r="D1130">
        <v>2</v>
      </c>
      <c r="E1130" t="b">
        <v>1</v>
      </c>
      <c r="F1130" s="2">
        <v>4.8275101347203169</v>
      </c>
      <c r="G1130" t="b">
        <v>0</v>
      </c>
      <c r="H1130" t="s">
        <v>30</v>
      </c>
      <c r="I1130" t="s">
        <v>35</v>
      </c>
    </row>
    <row r="1131" spans="1:9" x14ac:dyDescent="0.3">
      <c r="A1131" t="str">
        <f t="shared" si="17"/>
        <v>CASE-1130</v>
      </c>
      <c r="B1131" s="1">
        <v>46020</v>
      </c>
      <c r="C1131" t="s">
        <v>12</v>
      </c>
      <c r="D1131">
        <v>4</v>
      </c>
      <c r="E1131" t="b">
        <v>1</v>
      </c>
      <c r="F1131" s="2">
        <v>10.269007631891514</v>
      </c>
      <c r="G1131" t="b">
        <v>0</v>
      </c>
      <c r="H1131" t="s">
        <v>19</v>
      </c>
      <c r="I1131" t="s">
        <v>34</v>
      </c>
    </row>
    <row r="1132" spans="1:9" x14ac:dyDescent="0.3">
      <c r="A1132" t="str">
        <f t="shared" si="17"/>
        <v>CASE-1131</v>
      </c>
      <c r="B1132" s="1">
        <v>45843</v>
      </c>
      <c r="C1132" t="s">
        <v>11</v>
      </c>
      <c r="D1132">
        <v>1</v>
      </c>
      <c r="E1132" t="b">
        <v>1</v>
      </c>
      <c r="F1132" s="2">
        <v>3.383830417163519</v>
      </c>
      <c r="G1132" t="b">
        <v>0</v>
      </c>
      <c r="H1132" t="s">
        <v>19</v>
      </c>
      <c r="I1132" t="s">
        <v>34</v>
      </c>
    </row>
    <row r="1133" spans="1:9" x14ac:dyDescent="0.3">
      <c r="A1133" t="str">
        <f t="shared" si="17"/>
        <v>CASE-1132</v>
      </c>
      <c r="B1133" s="1">
        <v>45910</v>
      </c>
      <c r="C1133" t="s">
        <v>11</v>
      </c>
      <c r="D1133">
        <v>5</v>
      </c>
      <c r="E1133" t="b">
        <v>1</v>
      </c>
      <c r="F1133" s="2">
        <v>25.611947764244217</v>
      </c>
      <c r="G1133" t="b">
        <v>0</v>
      </c>
      <c r="H1133" t="s">
        <v>14</v>
      </c>
      <c r="I1133" t="s">
        <v>33</v>
      </c>
    </row>
    <row r="1134" spans="1:9" x14ac:dyDescent="0.3">
      <c r="A1134" t="str">
        <f t="shared" si="17"/>
        <v>CASE-1133</v>
      </c>
      <c r="B1134" s="1">
        <v>46081</v>
      </c>
      <c r="C1134" t="s">
        <v>12</v>
      </c>
      <c r="D1134">
        <v>1</v>
      </c>
      <c r="E1134" t="b">
        <v>1</v>
      </c>
      <c r="F1134" s="2">
        <v>5.5850919960249037</v>
      </c>
      <c r="G1134" t="b">
        <v>0</v>
      </c>
      <c r="H1134" t="s">
        <v>22</v>
      </c>
      <c r="I1134" t="s">
        <v>34</v>
      </c>
    </row>
    <row r="1135" spans="1:9" x14ac:dyDescent="0.3">
      <c r="A1135" t="str">
        <f t="shared" si="17"/>
        <v>CASE-1134</v>
      </c>
      <c r="B1135" s="1">
        <v>45887</v>
      </c>
      <c r="C1135" t="s">
        <v>11</v>
      </c>
      <c r="D1135">
        <v>2</v>
      </c>
      <c r="E1135" t="b">
        <v>1</v>
      </c>
      <c r="F1135" s="2">
        <v>5.388118416508652</v>
      </c>
      <c r="G1135" t="b">
        <v>0</v>
      </c>
      <c r="H1135" t="s">
        <v>29</v>
      </c>
      <c r="I1135" t="s">
        <v>34</v>
      </c>
    </row>
    <row r="1136" spans="1:9" x14ac:dyDescent="0.3">
      <c r="A1136" t="str">
        <f t="shared" si="17"/>
        <v>CASE-1135</v>
      </c>
      <c r="B1136" s="1">
        <v>45592</v>
      </c>
      <c r="C1136" t="s">
        <v>10</v>
      </c>
      <c r="D1136">
        <v>2</v>
      </c>
      <c r="E1136" t="b">
        <v>0</v>
      </c>
      <c r="F1136" s="2">
        <v>18.431907854404116</v>
      </c>
      <c r="G1136" t="b">
        <v>0</v>
      </c>
      <c r="H1136" t="s">
        <v>23</v>
      </c>
      <c r="I1136" t="s">
        <v>33</v>
      </c>
    </row>
    <row r="1137" spans="1:9" x14ac:dyDescent="0.3">
      <c r="A1137" t="str">
        <f t="shared" si="17"/>
        <v>CASE-1136</v>
      </c>
      <c r="B1137" s="1">
        <v>45631</v>
      </c>
      <c r="C1137" t="s">
        <v>10</v>
      </c>
      <c r="D1137">
        <v>3</v>
      </c>
      <c r="E1137" t="b">
        <v>0</v>
      </c>
      <c r="F1137" s="2">
        <v>19.294807827978282</v>
      </c>
      <c r="G1137" t="b">
        <v>0</v>
      </c>
      <c r="H1137" t="s">
        <v>32</v>
      </c>
      <c r="I1137" t="s">
        <v>33</v>
      </c>
    </row>
    <row r="1138" spans="1:9" x14ac:dyDescent="0.3">
      <c r="A1138" t="str">
        <f t="shared" si="17"/>
        <v>CASE-1137</v>
      </c>
      <c r="B1138" s="1">
        <v>45613</v>
      </c>
      <c r="C1138" t="s">
        <v>9</v>
      </c>
      <c r="D1138">
        <v>5</v>
      </c>
      <c r="E1138" t="b">
        <v>0</v>
      </c>
      <c r="F1138" s="2">
        <v>9.4727782837356411</v>
      </c>
      <c r="G1138" t="b">
        <v>0</v>
      </c>
      <c r="H1138" t="s">
        <v>18</v>
      </c>
      <c r="I1138" t="s">
        <v>33</v>
      </c>
    </row>
    <row r="1139" spans="1:9" x14ac:dyDescent="0.3">
      <c r="A1139" t="str">
        <f t="shared" si="17"/>
        <v>CASE-1138</v>
      </c>
      <c r="B1139" s="1">
        <v>45895</v>
      </c>
      <c r="C1139" t="s">
        <v>10</v>
      </c>
      <c r="D1139">
        <v>1</v>
      </c>
      <c r="E1139" t="b">
        <v>1</v>
      </c>
      <c r="F1139" s="2">
        <v>8.2111916303300543</v>
      </c>
      <c r="G1139" t="b">
        <v>0</v>
      </c>
      <c r="H1139" t="s">
        <v>32</v>
      </c>
      <c r="I1139" t="s">
        <v>34</v>
      </c>
    </row>
    <row r="1140" spans="1:9" x14ac:dyDescent="0.3">
      <c r="A1140" t="str">
        <f t="shared" si="17"/>
        <v>CASE-1139</v>
      </c>
      <c r="B1140" s="1">
        <v>46042</v>
      </c>
      <c r="C1140" t="s">
        <v>9</v>
      </c>
      <c r="D1140">
        <v>2</v>
      </c>
      <c r="E1140" t="b">
        <v>1</v>
      </c>
      <c r="F1140" s="2">
        <v>7.8420165749836812</v>
      </c>
      <c r="G1140" t="b">
        <v>0</v>
      </c>
      <c r="H1140" t="s">
        <v>27</v>
      </c>
      <c r="I1140" t="s">
        <v>34</v>
      </c>
    </row>
    <row r="1141" spans="1:9" x14ac:dyDescent="0.3">
      <c r="A1141" t="str">
        <f t="shared" si="17"/>
        <v>CASE-1140</v>
      </c>
      <c r="B1141" s="1">
        <v>45986</v>
      </c>
      <c r="C1141" t="s">
        <v>11</v>
      </c>
      <c r="D1141">
        <v>1</v>
      </c>
      <c r="E1141" t="b">
        <v>1</v>
      </c>
      <c r="F1141" s="2">
        <v>8.606396074354695</v>
      </c>
      <c r="G1141" t="b">
        <v>0</v>
      </c>
      <c r="H1141" t="s">
        <v>22</v>
      </c>
      <c r="I1141" t="s">
        <v>34</v>
      </c>
    </row>
    <row r="1142" spans="1:9" x14ac:dyDescent="0.3">
      <c r="A1142" t="str">
        <f t="shared" si="17"/>
        <v>CASE-1141</v>
      </c>
      <c r="B1142" s="1">
        <v>45686</v>
      </c>
      <c r="C1142" t="s">
        <v>10</v>
      </c>
      <c r="D1142">
        <v>4</v>
      </c>
      <c r="E1142" t="b">
        <v>1</v>
      </c>
      <c r="F1142" s="2">
        <v>5.2211400896029296</v>
      </c>
      <c r="G1142" t="b">
        <v>0</v>
      </c>
      <c r="H1142" t="s">
        <v>29</v>
      </c>
      <c r="I1142" t="s">
        <v>34</v>
      </c>
    </row>
    <row r="1143" spans="1:9" x14ac:dyDescent="0.3">
      <c r="A1143" t="str">
        <f t="shared" si="17"/>
        <v>CASE-1142</v>
      </c>
      <c r="B1143" s="1">
        <v>45474</v>
      </c>
      <c r="C1143" t="s">
        <v>10</v>
      </c>
      <c r="D1143">
        <v>5</v>
      </c>
      <c r="E1143" t="b">
        <v>0</v>
      </c>
      <c r="F1143" s="2">
        <v>30.601679068863415</v>
      </c>
      <c r="G1143" t="b">
        <v>0</v>
      </c>
      <c r="H1143" t="s">
        <v>15</v>
      </c>
      <c r="I1143" t="s">
        <v>33</v>
      </c>
    </row>
    <row r="1144" spans="1:9" x14ac:dyDescent="0.3">
      <c r="A1144" t="str">
        <f t="shared" si="17"/>
        <v>CASE-1143</v>
      </c>
      <c r="B1144" s="1">
        <v>46150</v>
      </c>
      <c r="C1144" t="s">
        <v>10</v>
      </c>
      <c r="D1144">
        <v>3</v>
      </c>
      <c r="E1144" t="b">
        <v>1</v>
      </c>
      <c r="F1144" s="2">
        <v>2.5445327085584069</v>
      </c>
      <c r="G1144" t="b">
        <v>0</v>
      </c>
      <c r="H1144" t="s">
        <v>18</v>
      </c>
      <c r="I1144" t="s">
        <v>34</v>
      </c>
    </row>
    <row r="1145" spans="1:9" x14ac:dyDescent="0.3">
      <c r="A1145" t="str">
        <f t="shared" si="17"/>
        <v>CASE-1144</v>
      </c>
      <c r="B1145" s="1">
        <v>46131</v>
      </c>
      <c r="C1145" t="s">
        <v>11</v>
      </c>
      <c r="D1145">
        <v>2</v>
      </c>
      <c r="E1145" t="b">
        <v>1</v>
      </c>
      <c r="F1145" s="2">
        <v>7.0097884246838689</v>
      </c>
      <c r="G1145" t="b">
        <v>0</v>
      </c>
      <c r="H1145" t="s">
        <v>17</v>
      </c>
      <c r="I1145" t="s">
        <v>34</v>
      </c>
    </row>
    <row r="1146" spans="1:9" x14ac:dyDescent="0.3">
      <c r="A1146" t="str">
        <f t="shared" si="17"/>
        <v>CASE-1145</v>
      </c>
      <c r="B1146" s="1">
        <v>45678</v>
      </c>
      <c r="C1146" t="s">
        <v>12</v>
      </c>
      <c r="D1146">
        <v>2</v>
      </c>
      <c r="E1146" t="b">
        <v>1</v>
      </c>
      <c r="F1146" s="2">
        <v>4.6864579165552334</v>
      </c>
      <c r="G1146" t="b">
        <v>0</v>
      </c>
      <c r="H1146" t="s">
        <v>29</v>
      </c>
      <c r="I1146" t="s">
        <v>34</v>
      </c>
    </row>
    <row r="1147" spans="1:9" x14ac:dyDescent="0.3">
      <c r="A1147" t="str">
        <f t="shared" si="17"/>
        <v>CASE-1146</v>
      </c>
      <c r="B1147" s="1">
        <v>45904</v>
      </c>
      <c r="C1147" t="s">
        <v>12</v>
      </c>
      <c r="D1147">
        <v>5</v>
      </c>
      <c r="E1147" t="b">
        <v>0</v>
      </c>
      <c r="F1147" s="2">
        <v>7.1561986298706248</v>
      </c>
      <c r="G1147" t="b">
        <v>0</v>
      </c>
      <c r="H1147" t="s">
        <v>19</v>
      </c>
      <c r="I1147" t="s">
        <v>35</v>
      </c>
    </row>
    <row r="1148" spans="1:9" x14ac:dyDescent="0.3">
      <c r="A1148" t="str">
        <f t="shared" si="17"/>
        <v>CASE-1147</v>
      </c>
      <c r="B1148" s="1">
        <v>45805</v>
      </c>
      <c r="C1148" t="s">
        <v>10</v>
      </c>
      <c r="D1148">
        <v>5</v>
      </c>
      <c r="E1148" t="b">
        <v>1</v>
      </c>
      <c r="F1148" s="2">
        <v>5.4445153068821712</v>
      </c>
      <c r="G1148" t="b">
        <v>0</v>
      </c>
      <c r="H1148" t="s">
        <v>24</v>
      </c>
      <c r="I1148" t="s">
        <v>34</v>
      </c>
    </row>
    <row r="1149" spans="1:9" x14ac:dyDescent="0.3">
      <c r="A1149" t="str">
        <f t="shared" si="17"/>
        <v>CASE-1148</v>
      </c>
      <c r="B1149" s="1">
        <v>46130</v>
      </c>
      <c r="C1149" t="s">
        <v>12</v>
      </c>
      <c r="D1149">
        <v>5</v>
      </c>
      <c r="E1149" t="b">
        <v>1</v>
      </c>
      <c r="F1149" s="2">
        <v>7.6876072003246989</v>
      </c>
      <c r="G1149" t="b">
        <v>0</v>
      </c>
      <c r="H1149" t="s">
        <v>18</v>
      </c>
      <c r="I1149" t="s">
        <v>34</v>
      </c>
    </row>
    <row r="1150" spans="1:9" x14ac:dyDescent="0.3">
      <c r="A1150" t="str">
        <f t="shared" si="17"/>
        <v>CASE-1149</v>
      </c>
      <c r="B1150" s="1">
        <v>46160</v>
      </c>
      <c r="C1150" t="s">
        <v>11</v>
      </c>
      <c r="D1150">
        <v>1</v>
      </c>
      <c r="E1150" t="b">
        <v>1</v>
      </c>
      <c r="F1150" s="2">
        <v>17.698010812640337</v>
      </c>
      <c r="G1150" t="b">
        <v>0</v>
      </c>
      <c r="H1150" t="s">
        <v>23</v>
      </c>
      <c r="I1150" t="s">
        <v>33</v>
      </c>
    </row>
    <row r="1151" spans="1:9" x14ac:dyDescent="0.3">
      <c r="A1151" t="str">
        <f t="shared" si="17"/>
        <v>CASE-1150</v>
      </c>
      <c r="B1151" s="1">
        <v>45689</v>
      </c>
      <c r="C1151" t="s">
        <v>12</v>
      </c>
      <c r="D1151">
        <v>5</v>
      </c>
      <c r="E1151" t="b">
        <v>0</v>
      </c>
      <c r="F1151" s="2">
        <v>5.687240252019242</v>
      </c>
      <c r="G1151" t="b">
        <v>0</v>
      </c>
      <c r="H1151" t="s">
        <v>14</v>
      </c>
      <c r="I1151" t="s">
        <v>34</v>
      </c>
    </row>
    <row r="1152" spans="1:9" x14ac:dyDescent="0.3">
      <c r="A1152" t="str">
        <f t="shared" si="17"/>
        <v>CASE-1151</v>
      </c>
      <c r="B1152" s="1">
        <v>45870</v>
      </c>
      <c r="C1152" t="s">
        <v>9</v>
      </c>
      <c r="D1152">
        <v>3</v>
      </c>
      <c r="E1152" t="b">
        <v>1</v>
      </c>
      <c r="F1152" s="2">
        <v>7.8931459080318636</v>
      </c>
      <c r="G1152" t="b">
        <v>0</v>
      </c>
      <c r="H1152" t="s">
        <v>30</v>
      </c>
      <c r="I1152" t="s">
        <v>34</v>
      </c>
    </row>
    <row r="1153" spans="1:9" x14ac:dyDescent="0.3">
      <c r="A1153" t="str">
        <f t="shared" si="17"/>
        <v>CASE-1152</v>
      </c>
      <c r="B1153" s="1">
        <v>45703</v>
      </c>
      <c r="C1153" t="s">
        <v>10</v>
      </c>
      <c r="D1153">
        <v>4</v>
      </c>
      <c r="E1153" t="b">
        <v>0</v>
      </c>
      <c r="F1153" s="2">
        <v>7.4088784239017142</v>
      </c>
      <c r="G1153" t="b">
        <v>0</v>
      </c>
      <c r="H1153" t="s">
        <v>21</v>
      </c>
      <c r="I1153" t="s">
        <v>34</v>
      </c>
    </row>
    <row r="1154" spans="1:9" x14ac:dyDescent="0.3">
      <c r="A1154" t="str">
        <f t="shared" si="17"/>
        <v>CASE-1153</v>
      </c>
      <c r="B1154" s="1">
        <v>45748</v>
      </c>
      <c r="C1154" t="s">
        <v>12</v>
      </c>
      <c r="D1154">
        <v>1</v>
      </c>
      <c r="E1154" t="b">
        <v>1</v>
      </c>
      <c r="F1154" s="2">
        <v>5.2281038034243288</v>
      </c>
      <c r="G1154" t="b">
        <v>0</v>
      </c>
      <c r="H1154" t="s">
        <v>31</v>
      </c>
      <c r="I1154" t="s">
        <v>34</v>
      </c>
    </row>
    <row r="1155" spans="1:9" x14ac:dyDescent="0.3">
      <c r="A1155" t="str">
        <f t="shared" ref="A1155:A1218" si="18">"CASE-"&amp;TEXT(ROW()-1,"0000")</f>
        <v>CASE-1154</v>
      </c>
      <c r="B1155" s="1">
        <v>46117</v>
      </c>
      <c r="C1155" t="s">
        <v>9</v>
      </c>
      <c r="D1155">
        <v>4</v>
      </c>
      <c r="E1155" t="b">
        <v>1</v>
      </c>
      <c r="F1155" s="2">
        <v>44.275204949917594</v>
      </c>
      <c r="G1155" t="b">
        <v>0</v>
      </c>
      <c r="H1155" t="s">
        <v>24</v>
      </c>
      <c r="I1155" t="s">
        <v>33</v>
      </c>
    </row>
    <row r="1156" spans="1:9" x14ac:dyDescent="0.3">
      <c r="A1156" t="str">
        <f t="shared" si="18"/>
        <v>CASE-1155</v>
      </c>
      <c r="B1156" s="1">
        <v>45894</v>
      </c>
      <c r="C1156" t="s">
        <v>9</v>
      </c>
      <c r="D1156">
        <v>1</v>
      </c>
      <c r="E1156" t="b">
        <v>1</v>
      </c>
      <c r="F1156" s="2">
        <v>6.9751863671740928</v>
      </c>
      <c r="G1156" t="b">
        <v>0</v>
      </c>
      <c r="H1156" t="s">
        <v>28</v>
      </c>
      <c r="I1156" t="s">
        <v>34</v>
      </c>
    </row>
    <row r="1157" spans="1:9" x14ac:dyDescent="0.3">
      <c r="A1157" t="str">
        <f t="shared" si="18"/>
        <v>CASE-1156</v>
      </c>
      <c r="B1157" s="1">
        <v>45538</v>
      </c>
      <c r="C1157" t="s">
        <v>12</v>
      </c>
      <c r="D1157">
        <v>4</v>
      </c>
      <c r="E1157" t="b">
        <v>0</v>
      </c>
      <c r="F1157" s="2">
        <v>26.190862303920209</v>
      </c>
      <c r="G1157" t="b">
        <v>0</v>
      </c>
      <c r="H1157" t="s">
        <v>15</v>
      </c>
      <c r="I1157" t="s">
        <v>33</v>
      </c>
    </row>
    <row r="1158" spans="1:9" x14ac:dyDescent="0.3">
      <c r="A1158" t="str">
        <f t="shared" si="18"/>
        <v>CASE-1157</v>
      </c>
      <c r="B1158" s="1">
        <v>45707</v>
      </c>
      <c r="C1158" t="s">
        <v>10</v>
      </c>
      <c r="D1158">
        <v>1</v>
      </c>
      <c r="E1158" t="b">
        <v>0</v>
      </c>
      <c r="F1158" s="2">
        <v>23.784985122486354</v>
      </c>
      <c r="G1158" t="b">
        <v>0</v>
      </c>
      <c r="H1158" t="s">
        <v>24</v>
      </c>
      <c r="I1158" t="s">
        <v>33</v>
      </c>
    </row>
    <row r="1159" spans="1:9" x14ac:dyDescent="0.3">
      <c r="A1159" t="str">
        <f t="shared" si="18"/>
        <v>CASE-1158</v>
      </c>
      <c r="B1159" s="1">
        <v>46149</v>
      </c>
      <c r="C1159" t="s">
        <v>10</v>
      </c>
      <c r="D1159">
        <v>4</v>
      </c>
      <c r="E1159" t="b">
        <v>1</v>
      </c>
      <c r="F1159" s="2">
        <v>10.637806493745037</v>
      </c>
      <c r="G1159" t="b">
        <v>0</v>
      </c>
      <c r="H1159" t="s">
        <v>24</v>
      </c>
      <c r="I1159" t="s">
        <v>34</v>
      </c>
    </row>
    <row r="1160" spans="1:9" x14ac:dyDescent="0.3">
      <c r="A1160" t="str">
        <f t="shared" si="18"/>
        <v>CASE-1159</v>
      </c>
      <c r="B1160" s="1">
        <v>45571</v>
      </c>
      <c r="C1160" t="s">
        <v>12</v>
      </c>
      <c r="D1160">
        <v>5</v>
      </c>
      <c r="E1160" t="b">
        <v>0</v>
      </c>
      <c r="F1160" s="2">
        <v>32.031052640370447</v>
      </c>
      <c r="G1160" t="b">
        <v>0</v>
      </c>
      <c r="H1160" t="s">
        <v>20</v>
      </c>
      <c r="I1160" t="s">
        <v>33</v>
      </c>
    </row>
    <row r="1161" spans="1:9" x14ac:dyDescent="0.3">
      <c r="A1161" t="str">
        <f t="shared" si="18"/>
        <v>CASE-1160</v>
      </c>
      <c r="B1161" s="1">
        <v>45963</v>
      </c>
      <c r="C1161" t="s">
        <v>11</v>
      </c>
      <c r="D1161">
        <v>4</v>
      </c>
      <c r="E1161" t="b">
        <v>1</v>
      </c>
      <c r="F1161" s="2">
        <v>6.0777823362798724</v>
      </c>
      <c r="G1161" t="b">
        <v>0</v>
      </c>
      <c r="H1161" t="s">
        <v>30</v>
      </c>
      <c r="I1161" t="s">
        <v>35</v>
      </c>
    </row>
    <row r="1162" spans="1:9" x14ac:dyDescent="0.3">
      <c r="A1162" t="str">
        <f t="shared" si="18"/>
        <v>CASE-1161</v>
      </c>
      <c r="B1162" s="1">
        <v>46171</v>
      </c>
      <c r="C1162" t="s">
        <v>11</v>
      </c>
      <c r="D1162">
        <v>4</v>
      </c>
      <c r="E1162" t="b">
        <v>1</v>
      </c>
      <c r="F1162" s="2">
        <v>30.711662278396808</v>
      </c>
      <c r="G1162" t="b">
        <v>0</v>
      </c>
      <c r="H1162" t="s">
        <v>20</v>
      </c>
      <c r="I1162" t="s">
        <v>33</v>
      </c>
    </row>
    <row r="1163" spans="1:9" x14ac:dyDescent="0.3">
      <c r="A1163" t="str">
        <f t="shared" si="18"/>
        <v>CASE-1162</v>
      </c>
      <c r="B1163" s="1">
        <v>45728</v>
      </c>
      <c r="C1163" t="s">
        <v>11</v>
      </c>
      <c r="D1163">
        <v>5</v>
      </c>
      <c r="E1163" t="b">
        <v>1</v>
      </c>
      <c r="F1163" s="2">
        <v>5.7049050722902592</v>
      </c>
      <c r="G1163" t="b">
        <v>0</v>
      </c>
      <c r="H1163" t="s">
        <v>30</v>
      </c>
      <c r="I1163" t="s">
        <v>34</v>
      </c>
    </row>
    <row r="1164" spans="1:9" x14ac:dyDescent="0.3">
      <c r="A1164" t="str">
        <f t="shared" si="18"/>
        <v>CASE-1163</v>
      </c>
      <c r="B1164" s="1">
        <v>45845</v>
      </c>
      <c r="C1164" t="s">
        <v>9</v>
      </c>
      <c r="D1164">
        <v>2</v>
      </c>
      <c r="E1164" t="b">
        <v>0</v>
      </c>
      <c r="F1164" s="2">
        <v>24.140144802735836</v>
      </c>
      <c r="G1164" t="b">
        <v>0</v>
      </c>
      <c r="H1164" t="s">
        <v>24</v>
      </c>
      <c r="I1164" t="s">
        <v>33</v>
      </c>
    </row>
    <row r="1165" spans="1:9" x14ac:dyDescent="0.3">
      <c r="A1165" t="str">
        <f t="shared" si="18"/>
        <v>CASE-1164</v>
      </c>
      <c r="B1165" s="1">
        <v>45566</v>
      </c>
      <c r="C1165" t="s">
        <v>9</v>
      </c>
      <c r="D1165">
        <v>4</v>
      </c>
      <c r="E1165" t="b">
        <v>0</v>
      </c>
      <c r="F1165" s="2">
        <v>30.56159072964169</v>
      </c>
      <c r="G1165" t="b">
        <v>0</v>
      </c>
      <c r="H1165" t="s">
        <v>21</v>
      </c>
      <c r="I1165" t="s">
        <v>33</v>
      </c>
    </row>
    <row r="1166" spans="1:9" x14ac:dyDescent="0.3">
      <c r="A1166" t="str">
        <f t="shared" si="18"/>
        <v>CASE-1165</v>
      </c>
      <c r="B1166" s="1">
        <v>46129</v>
      </c>
      <c r="C1166" t="s">
        <v>9</v>
      </c>
      <c r="D1166">
        <v>2</v>
      </c>
      <c r="E1166" t="b">
        <v>1</v>
      </c>
      <c r="F1166" s="2">
        <v>9.4540400498399144</v>
      </c>
      <c r="G1166" t="b">
        <v>0</v>
      </c>
      <c r="H1166" t="s">
        <v>23</v>
      </c>
      <c r="I1166" t="s">
        <v>35</v>
      </c>
    </row>
    <row r="1167" spans="1:9" x14ac:dyDescent="0.3">
      <c r="A1167" t="str">
        <f t="shared" si="18"/>
        <v>CASE-1166</v>
      </c>
      <c r="B1167" s="1">
        <v>45577</v>
      </c>
      <c r="C1167" t="s">
        <v>10</v>
      </c>
      <c r="D1167">
        <v>4</v>
      </c>
      <c r="E1167" t="b">
        <v>0</v>
      </c>
      <c r="F1167" s="2">
        <v>17.089615199290211</v>
      </c>
      <c r="G1167" t="b">
        <v>0</v>
      </c>
      <c r="H1167" t="s">
        <v>32</v>
      </c>
      <c r="I1167" t="s">
        <v>33</v>
      </c>
    </row>
    <row r="1168" spans="1:9" x14ac:dyDescent="0.3">
      <c r="A1168" t="str">
        <f t="shared" si="18"/>
        <v>CASE-1167</v>
      </c>
      <c r="B1168" s="1">
        <v>46167</v>
      </c>
      <c r="C1168" t="s">
        <v>12</v>
      </c>
      <c r="D1168">
        <v>5</v>
      </c>
      <c r="E1168" t="b">
        <v>1</v>
      </c>
      <c r="F1168" s="2">
        <v>25.874038983459602</v>
      </c>
      <c r="G1168" t="b">
        <v>0</v>
      </c>
      <c r="H1168" t="s">
        <v>15</v>
      </c>
      <c r="I1168" t="s">
        <v>33</v>
      </c>
    </row>
    <row r="1169" spans="1:9" x14ac:dyDescent="0.3">
      <c r="A1169" t="str">
        <f t="shared" si="18"/>
        <v>CASE-1168</v>
      </c>
      <c r="B1169" s="1">
        <v>45759</v>
      </c>
      <c r="C1169" t="s">
        <v>11</v>
      </c>
      <c r="D1169">
        <v>2</v>
      </c>
      <c r="E1169" t="b">
        <v>1</v>
      </c>
      <c r="F1169" s="2">
        <v>6.5997016685062322</v>
      </c>
      <c r="G1169" t="b">
        <v>0</v>
      </c>
      <c r="H1169" t="s">
        <v>22</v>
      </c>
      <c r="I1169" t="s">
        <v>34</v>
      </c>
    </row>
    <row r="1170" spans="1:9" x14ac:dyDescent="0.3">
      <c r="A1170" t="str">
        <f t="shared" si="18"/>
        <v>CASE-1169</v>
      </c>
      <c r="B1170" s="1">
        <v>45671</v>
      </c>
      <c r="C1170" t="s">
        <v>10</v>
      </c>
      <c r="D1170">
        <v>2</v>
      </c>
      <c r="E1170" t="b">
        <v>0</v>
      </c>
      <c r="F1170" s="2">
        <v>6.1582966818681708</v>
      </c>
      <c r="G1170" t="b">
        <v>0</v>
      </c>
      <c r="H1170" t="s">
        <v>22</v>
      </c>
      <c r="I1170" t="s">
        <v>34</v>
      </c>
    </row>
    <row r="1171" spans="1:9" x14ac:dyDescent="0.3">
      <c r="A1171" t="str">
        <f t="shared" si="18"/>
        <v>CASE-1170</v>
      </c>
      <c r="B1171" s="1">
        <v>46179</v>
      </c>
      <c r="C1171" t="s">
        <v>12</v>
      </c>
      <c r="D1171">
        <v>4</v>
      </c>
      <c r="E1171" t="b">
        <v>0</v>
      </c>
      <c r="F1171" s="2">
        <v>10.907475117013657</v>
      </c>
      <c r="G1171" t="b">
        <v>0</v>
      </c>
      <c r="H1171" t="s">
        <v>25</v>
      </c>
      <c r="I1171" t="s">
        <v>34</v>
      </c>
    </row>
    <row r="1172" spans="1:9" x14ac:dyDescent="0.3">
      <c r="A1172" t="str">
        <f t="shared" si="18"/>
        <v>CASE-1171</v>
      </c>
      <c r="B1172" s="1">
        <v>45758</v>
      </c>
      <c r="C1172" t="s">
        <v>11</v>
      </c>
      <c r="D1172">
        <v>1</v>
      </c>
      <c r="E1172" t="b">
        <v>1</v>
      </c>
      <c r="F1172" s="2">
        <v>9.9369516438889001</v>
      </c>
      <c r="G1172" t="b">
        <v>0</v>
      </c>
      <c r="H1172" t="s">
        <v>31</v>
      </c>
      <c r="I1172" t="s">
        <v>34</v>
      </c>
    </row>
    <row r="1173" spans="1:9" x14ac:dyDescent="0.3">
      <c r="A1173" t="str">
        <f t="shared" si="18"/>
        <v>CASE-1172</v>
      </c>
      <c r="B1173" s="1">
        <v>45802</v>
      </c>
      <c r="C1173" t="s">
        <v>12</v>
      </c>
      <c r="D1173">
        <v>3</v>
      </c>
      <c r="E1173" t="b">
        <v>0</v>
      </c>
      <c r="F1173" s="2">
        <v>8.2899222530767744</v>
      </c>
      <c r="G1173" t="b">
        <v>0</v>
      </c>
      <c r="H1173" t="s">
        <v>13</v>
      </c>
      <c r="I1173" t="s">
        <v>34</v>
      </c>
    </row>
    <row r="1174" spans="1:9" x14ac:dyDescent="0.3">
      <c r="A1174" t="str">
        <f t="shared" si="18"/>
        <v>CASE-1173</v>
      </c>
      <c r="B1174" s="1">
        <v>45727</v>
      </c>
      <c r="C1174" t="s">
        <v>12</v>
      </c>
      <c r="D1174">
        <v>2</v>
      </c>
      <c r="E1174" t="b">
        <v>1</v>
      </c>
      <c r="F1174" s="2">
        <v>6.1725183773997561</v>
      </c>
      <c r="G1174" t="b">
        <v>0</v>
      </c>
      <c r="H1174" t="s">
        <v>22</v>
      </c>
      <c r="I1174" t="s">
        <v>34</v>
      </c>
    </row>
    <row r="1175" spans="1:9" x14ac:dyDescent="0.3">
      <c r="A1175" t="str">
        <f t="shared" si="18"/>
        <v>CASE-1174</v>
      </c>
      <c r="B1175" s="1">
        <v>45727</v>
      </c>
      <c r="C1175" t="s">
        <v>10</v>
      </c>
      <c r="D1175">
        <v>2</v>
      </c>
      <c r="E1175" t="b">
        <v>1</v>
      </c>
      <c r="F1175" s="2">
        <v>30.642065887539797</v>
      </c>
      <c r="G1175" t="b">
        <v>0</v>
      </c>
      <c r="H1175" t="s">
        <v>20</v>
      </c>
      <c r="I1175" t="s">
        <v>33</v>
      </c>
    </row>
    <row r="1176" spans="1:9" x14ac:dyDescent="0.3">
      <c r="A1176" t="str">
        <f t="shared" si="18"/>
        <v>CASE-1175</v>
      </c>
      <c r="B1176" s="1">
        <v>45610</v>
      </c>
      <c r="C1176" t="s">
        <v>9</v>
      </c>
      <c r="D1176">
        <v>5</v>
      </c>
      <c r="E1176" t="b">
        <v>0</v>
      </c>
      <c r="F1176" s="2">
        <v>19.07550068323188</v>
      </c>
      <c r="G1176" t="b">
        <v>0</v>
      </c>
      <c r="H1176" t="s">
        <v>26</v>
      </c>
      <c r="I1176" t="s">
        <v>33</v>
      </c>
    </row>
    <row r="1177" spans="1:9" x14ac:dyDescent="0.3">
      <c r="A1177" t="str">
        <f t="shared" si="18"/>
        <v>CASE-1176</v>
      </c>
      <c r="B1177" s="1">
        <v>45566</v>
      </c>
      <c r="C1177" t="s">
        <v>9</v>
      </c>
      <c r="D1177">
        <v>5</v>
      </c>
      <c r="E1177" t="b">
        <v>0</v>
      </c>
      <c r="F1177" s="2">
        <v>25.846811934516676</v>
      </c>
      <c r="G1177" t="b">
        <v>0</v>
      </c>
      <c r="H1177" t="s">
        <v>25</v>
      </c>
      <c r="I1177" t="s">
        <v>33</v>
      </c>
    </row>
    <row r="1178" spans="1:9" x14ac:dyDescent="0.3">
      <c r="A1178" t="str">
        <f t="shared" si="18"/>
        <v>CASE-1177</v>
      </c>
      <c r="B1178" s="1">
        <v>46131</v>
      </c>
      <c r="C1178" t="s">
        <v>9</v>
      </c>
      <c r="D1178">
        <v>4</v>
      </c>
      <c r="E1178" t="b">
        <v>1</v>
      </c>
      <c r="F1178" s="2">
        <v>9.3236187566251285</v>
      </c>
      <c r="G1178" t="b">
        <v>0</v>
      </c>
      <c r="H1178" t="s">
        <v>29</v>
      </c>
      <c r="I1178" t="s">
        <v>34</v>
      </c>
    </row>
    <row r="1179" spans="1:9" x14ac:dyDescent="0.3">
      <c r="A1179" t="str">
        <f t="shared" si="18"/>
        <v>CASE-1178</v>
      </c>
      <c r="B1179" s="1">
        <v>45940</v>
      </c>
      <c r="C1179" t="s">
        <v>11</v>
      </c>
      <c r="D1179">
        <v>3</v>
      </c>
      <c r="E1179" t="b">
        <v>1</v>
      </c>
      <c r="F1179" s="2">
        <v>6.291579170427072</v>
      </c>
      <c r="G1179" t="b">
        <v>0</v>
      </c>
      <c r="H1179" t="s">
        <v>30</v>
      </c>
      <c r="I1179" t="s">
        <v>34</v>
      </c>
    </row>
    <row r="1180" spans="1:9" x14ac:dyDescent="0.3">
      <c r="A1180" t="str">
        <f t="shared" si="18"/>
        <v>CASE-1179</v>
      </c>
      <c r="B1180" s="1">
        <v>45954</v>
      </c>
      <c r="C1180" t="s">
        <v>11</v>
      </c>
      <c r="D1180">
        <v>4</v>
      </c>
      <c r="E1180" t="b">
        <v>1</v>
      </c>
      <c r="F1180" s="2">
        <v>7.3008259477677191</v>
      </c>
      <c r="G1180" t="b">
        <v>0</v>
      </c>
      <c r="H1180" t="s">
        <v>27</v>
      </c>
      <c r="I1180" t="s">
        <v>34</v>
      </c>
    </row>
    <row r="1181" spans="1:9" x14ac:dyDescent="0.3">
      <c r="A1181" t="str">
        <f t="shared" si="18"/>
        <v>CASE-1180</v>
      </c>
      <c r="B1181" s="1">
        <v>45982</v>
      </c>
      <c r="C1181" t="s">
        <v>11</v>
      </c>
      <c r="D1181">
        <v>4</v>
      </c>
      <c r="E1181" t="b">
        <v>0</v>
      </c>
      <c r="F1181" s="2">
        <v>5.7051824256069201</v>
      </c>
      <c r="G1181" t="b">
        <v>0</v>
      </c>
      <c r="H1181" t="s">
        <v>23</v>
      </c>
      <c r="I1181" t="s">
        <v>34</v>
      </c>
    </row>
    <row r="1182" spans="1:9" x14ac:dyDescent="0.3">
      <c r="A1182" t="str">
        <f t="shared" si="18"/>
        <v>CASE-1181</v>
      </c>
      <c r="B1182" s="1">
        <v>45815</v>
      </c>
      <c r="C1182" t="s">
        <v>12</v>
      </c>
      <c r="D1182">
        <v>3</v>
      </c>
      <c r="E1182" t="b">
        <v>1</v>
      </c>
      <c r="F1182" s="2">
        <v>7.4890369568366975</v>
      </c>
      <c r="G1182" t="b">
        <v>0</v>
      </c>
      <c r="H1182" t="s">
        <v>13</v>
      </c>
      <c r="I1182" t="s">
        <v>34</v>
      </c>
    </row>
    <row r="1183" spans="1:9" x14ac:dyDescent="0.3">
      <c r="A1183" t="str">
        <f t="shared" si="18"/>
        <v>CASE-1182</v>
      </c>
      <c r="B1183" s="1">
        <v>46053</v>
      </c>
      <c r="C1183" t="s">
        <v>12</v>
      </c>
      <c r="D1183">
        <v>4</v>
      </c>
      <c r="E1183" t="b">
        <v>1</v>
      </c>
      <c r="F1183" s="2">
        <v>5.6822215041100508</v>
      </c>
      <c r="G1183" t="b">
        <v>0</v>
      </c>
      <c r="H1183" t="s">
        <v>30</v>
      </c>
      <c r="I1183" t="s">
        <v>34</v>
      </c>
    </row>
    <row r="1184" spans="1:9" x14ac:dyDescent="0.3">
      <c r="A1184" t="str">
        <f t="shared" si="18"/>
        <v>CASE-1183</v>
      </c>
      <c r="B1184" s="1">
        <v>45975</v>
      </c>
      <c r="C1184" t="s">
        <v>9</v>
      </c>
      <c r="D1184">
        <v>1</v>
      </c>
      <c r="E1184" t="b">
        <v>0</v>
      </c>
      <c r="F1184" s="2">
        <v>7.3618378353486627</v>
      </c>
      <c r="G1184" t="b">
        <v>0</v>
      </c>
      <c r="H1184" t="s">
        <v>22</v>
      </c>
      <c r="I1184" t="s">
        <v>34</v>
      </c>
    </row>
    <row r="1185" spans="1:9" x14ac:dyDescent="0.3">
      <c r="A1185" t="str">
        <f t="shared" si="18"/>
        <v>CASE-1184</v>
      </c>
      <c r="B1185" s="1">
        <v>45889</v>
      </c>
      <c r="C1185" t="s">
        <v>10</v>
      </c>
      <c r="D1185">
        <v>2</v>
      </c>
      <c r="E1185" t="b">
        <v>1</v>
      </c>
      <c r="F1185" s="2">
        <v>7.5259784878278122</v>
      </c>
      <c r="G1185" t="b">
        <v>0</v>
      </c>
      <c r="H1185" t="s">
        <v>15</v>
      </c>
      <c r="I1185" t="s">
        <v>34</v>
      </c>
    </row>
    <row r="1186" spans="1:9" x14ac:dyDescent="0.3">
      <c r="A1186" t="str">
        <f t="shared" si="18"/>
        <v>CASE-1185</v>
      </c>
      <c r="B1186" s="1">
        <v>46101</v>
      </c>
      <c r="C1186" t="s">
        <v>10</v>
      </c>
      <c r="D1186">
        <v>5</v>
      </c>
      <c r="E1186" t="b">
        <v>1</v>
      </c>
      <c r="F1186" s="2">
        <v>5.6302946335134152</v>
      </c>
      <c r="G1186" t="b">
        <v>0</v>
      </c>
      <c r="H1186" t="s">
        <v>29</v>
      </c>
      <c r="I1186" t="s">
        <v>34</v>
      </c>
    </row>
    <row r="1187" spans="1:9" x14ac:dyDescent="0.3">
      <c r="A1187" t="str">
        <f t="shared" si="18"/>
        <v>CASE-1186</v>
      </c>
      <c r="B1187" s="1">
        <v>46048</v>
      </c>
      <c r="C1187" t="s">
        <v>11</v>
      </c>
      <c r="D1187">
        <v>3</v>
      </c>
      <c r="E1187" t="b">
        <v>1</v>
      </c>
      <c r="F1187" s="2">
        <v>4.3882344054761804</v>
      </c>
      <c r="G1187" t="b">
        <v>0</v>
      </c>
      <c r="H1187" t="s">
        <v>28</v>
      </c>
      <c r="I1187" t="s">
        <v>34</v>
      </c>
    </row>
    <row r="1188" spans="1:9" x14ac:dyDescent="0.3">
      <c r="A1188" t="str">
        <f t="shared" si="18"/>
        <v>CASE-1187</v>
      </c>
      <c r="B1188" s="1">
        <v>45515</v>
      </c>
      <c r="C1188" t="s">
        <v>10</v>
      </c>
      <c r="D1188">
        <v>1</v>
      </c>
      <c r="E1188" t="b">
        <v>0</v>
      </c>
      <c r="F1188" s="2">
        <v>29.698966072309133</v>
      </c>
      <c r="G1188" t="b">
        <v>0</v>
      </c>
      <c r="H1188" t="s">
        <v>21</v>
      </c>
      <c r="I1188" t="s">
        <v>33</v>
      </c>
    </row>
    <row r="1189" spans="1:9" x14ac:dyDescent="0.3">
      <c r="A1189" t="str">
        <f t="shared" si="18"/>
        <v>CASE-1188</v>
      </c>
      <c r="B1189" s="1">
        <v>45705</v>
      </c>
      <c r="C1189" t="s">
        <v>12</v>
      </c>
      <c r="D1189">
        <v>2</v>
      </c>
      <c r="E1189" t="b">
        <v>1</v>
      </c>
      <c r="F1189" s="2">
        <v>10.035742362096626</v>
      </c>
      <c r="G1189" t="b">
        <v>0</v>
      </c>
      <c r="H1189" t="s">
        <v>21</v>
      </c>
      <c r="I1189" t="s">
        <v>34</v>
      </c>
    </row>
    <row r="1190" spans="1:9" x14ac:dyDescent="0.3">
      <c r="A1190" t="str">
        <f t="shared" si="18"/>
        <v>CASE-1189</v>
      </c>
      <c r="B1190" s="1">
        <v>45823</v>
      </c>
      <c r="C1190" t="s">
        <v>11</v>
      </c>
      <c r="D1190">
        <v>1</v>
      </c>
      <c r="E1190" t="b">
        <v>0</v>
      </c>
      <c r="F1190" s="2">
        <v>9.032374581898182</v>
      </c>
      <c r="G1190" t="b">
        <v>0</v>
      </c>
      <c r="H1190" t="s">
        <v>30</v>
      </c>
      <c r="I1190" t="s">
        <v>34</v>
      </c>
    </row>
    <row r="1191" spans="1:9" x14ac:dyDescent="0.3">
      <c r="A1191" t="str">
        <f t="shared" si="18"/>
        <v>CASE-1190</v>
      </c>
      <c r="B1191" s="1">
        <v>45772</v>
      </c>
      <c r="C1191" t="s">
        <v>11</v>
      </c>
      <c r="D1191">
        <v>4</v>
      </c>
      <c r="E1191" t="b">
        <v>0</v>
      </c>
      <c r="F1191" s="2">
        <v>5.3940892266364475</v>
      </c>
      <c r="G1191" t="b">
        <v>0</v>
      </c>
      <c r="H1191" t="s">
        <v>28</v>
      </c>
      <c r="I1191" t="s">
        <v>34</v>
      </c>
    </row>
    <row r="1192" spans="1:9" x14ac:dyDescent="0.3">
      <c r="A1192" t="str">
        <f t="shared" si="18"/>
        <v>CASE-1191</v>
      </c>
      <c r="B1192" s="1">
        <v>45995</v>
      </c>
      <c r="C1192" t="s">
        <v>12</v>
      </c>
      <c r="D1192">
        <v>5</v>
      </c>
      <c r="E1192" t="b">
        <v>0</v>
      </c>
      <c r="F1192" s="2">
        <v>7.3978732047779552</v>
      </c>
      <c r="G1192" t="b">
        <v>0</v>
      </c>
      <c r="H1192" t="s">
        <v>22</v>
      </c>
      <c r="I1192" t="s">
        <v>34</v>
      </c>
    </row>
    <row r="1193" spans="1:9" x14ac:dyDescent="0.3">
      <c r="A1193" t="str">
        <f t="shared" si="18"/>
        <v>CASE-1192</v>
      </c>
      <c r="B1193" s="1">
        <v>45617</v>
      </c>
      <c r="C1193" t="s">
        <v>11</v>
      </c>
      <c r="D1193">
        <v>2</v>
      </c>
      <c r="E1193" t="b">
        <v>0</v>
      </c>
      <c r="F1193" s="2">
        <v>40.188638269476193</v>
      </c>
      <c r="G1193" t="b">
        <v>0</v>
      </c>
      <c r="H1193" t="s">
        <v>28</v>
      </c>
      <c r="I1193" t="s">
        <v>33</v>
      </c>
    </row>
    <row r="1194" spans="1:9" x14ac:dyDescent="0.3">
      <c r="A1194" t="str">
        <f t="shared" si="18"/>
        <v>CASE-1193</v>
      </c>
      <c r="B1194" s="1">
        <v>45828</v>
      </c>
      <c r="C1194" t="s">
        <v>10</v>
      </c>
      <c r="D1194">
        <v>5</v>
      </c>
      <c r="E1194" t="b">
        <v>1</v>
      </c>
      <c r="F1194" s="2">
        <v>7.732841287182735</v>
      </c>
      <c r="G1194" t="b">
        <v>0</v>
      </c>
      <c r="H1194" t="s">
        <v>18</v>
      </c>
      <c r="I1194" t="s">
        <v>34</v>
      </c>
    </row>
    <row r="1195" spans="1:9" x14ac:dyDescent="0.3">
      <c r="A1195" t="str">
        <f t="shared" si="18"/>
        <v>CASE-1194</v>
      </c>
      <c r="B1195" s="1">
        <v>45699</v>
      </c>
      <c r="C1195" t="s">
        <v>11</v>
      </c>
      <c r="D1195">
        <v>2</v>
      </c>
      <c r="E1195" t="b">
        <v>1</v>
      </c>
      <c r="F1195" s="2">
        <v>8.6312595131349994</v>
      </c>
      <c r="G1195" t="b">
        <v>0</v>
      </c>
      <c r="H1195" t="s">
        <v>15</v>
      </c>
      <c r="I1195" t="s">
        <v>34</v>
      </c>
    </row>
    <row r="1196" spans="1:9" x14ac:dyDescent="0.3">
      <c r="A1196" t="str">
        <f t="shared" si="18"/>
        <v>CASE-1195</v>
      </c>
      <c r="B1196" s="1">
        <v>45600</v>
      </c>
      <c r="C1196" t="s">
        <v>12</v>
      </c>
      <c r="D1196">
        <v>5</v>
      </c>
      <c r="E1196" t="b">
        <v>0</v>
      </c>
      <c r="F1196" s="2">
        <v>23.597919972523176</v>
      </c>
      <c r="G1196" t="b">
        <v>0</v>
      </c>
      <c r="H1196" t="s">
        <v>23</v>
      </c>
      <c r="I1196" t="s">
        <v>33</v>
      </c>
    </row>
    <row r="1197" spans="1:9" x14ac:dyDescent="0.3">
      <c r="A1197" t="str">
        <f t="shared" si="18"/>
        <v>CASE-1196</v>
      </c>
      <c r="B1197" s="1">
        <v>45616</v>
      </c>
      <c r="C1197" t="s">
        <v>11</v>
      </c>
      <c r="D1197">
        <v>1</v>
      </c>
      <c r="E1197" t="b">
        <v>0</v>
      </c>
      <c r="F1197" s="2">
        <v>26.271678454144144</v>
      </c>
      <c r="G1197" t="b">
        <v>0</v>
      </c>
      <c r="H1197" t="s">
        <v>20</v>
      </c>
      <c r="I1197" t="s">
        <v>33</v>
      </c>
    </row>
    <row r="1198" spans="1:9" x14ac:dyDescent="0.3">
      <c r="A1198" t="str">
        <f t="shared" si="18"/>
        <v>CASE-1197</v>
      </c>
      <c r="B1198" s="1">
        <v>45937</v>
      </c>
      <c r="C1198" t="s">
        <v>12</v>
      </c>
      <c r="D1198">
        <v>5</v>
      </c>
      <c r="E1198" t="b">
        <v>1</v>
      </c>
      <c r="F1198" s="2">
        <v>21.792160696922313</v>
      </c>
      <c r="G1198" t="b">
        <v>0</v>
      </c>
      <c r="H1198" t="s">
        <v>18</v>
      </c>
      <c r="I1198" t="s">
        <v>33</v>
      </c>
    </row>
    <row r="1199" spans="1:9" x14ac:dyDescent="0.3">
      <c r="A1199" t="str">
        <f t="shared" si="18"/>
        <v>CASE-1198</v>
      </c>
      <c r="B1199" s="1">
        <v>46194</v>
      </c>
      <c r="C1199" t="s">
        <v>9</v>
      </c>
      <c r="D1199">
        <v>1</v>
      </c>
      <c r="E1199" t="b">
        <v>1</v>
      </c>
      <c r="F1199" s="2">
        <v>5.6678944570517285</v>
      </c>
      <c r="G1199" t="b">
        <v>0</v>
      </c>
      <c r="H1199" t="s">
        <v>17</v>
      </c>
      <c r="I1199" t="s">
        <v>34</v>
      </c>
    </row>
    <row r="1200" spans="1:9" x14ac:dyDescent="0.3">
      <c r="A1200" t="str">
        <f t="shared" si="18"/>
        <v>CASE-1199</v>
      </c>
      <c r="B1200" s="1">
        <v>45800</v>
      </c>
      <c r="C1200" t="s">
        <v>9</v>
      </c>
      <c r="D1200">
        <v>4</v>
      </c>
      <c r="E1200" t="b">
        <v>0</v>
      </c>
      <c r="F1200" s="2">
        <v>4.7212732971023978</v>
      </c>
      <c r="G1200" t="b">
        <v>0</v>
      </c>
      <c r="H1200" t="s">
        <v>32</v>
      </c>
      <c r="I1200" t="s">
        <v>34</v>
      </c>
    </row>
    <row r="1201" spans="1:9" x14ac:dyDescent="0.3">
      <c r="A1201" t="str">
        <f t="shared" si="18"/>
        <v>CASE-1200</v>
      </c>
      <c r="B1201" s="1">
        <v>46055</v>
      </c>
      <c r="C1201" t="s">
        <v>9</v>
      </c>
      <c r="D1201">
        <v>2</v>
      </c>
      <c r="E1201" t="b">
        <v>1</v>
      </c>
      <c r="F1201" s="2">
        <v>10.694638716877767</v>
      </c>
      <c r="G1201" t="b">
        <v>0</v>
      </c>
      <c r="H1201" t="s">
        <v>17</v>
      </c>
      <c r="I1201" t="s">
        <v>34</v>
      </c>
    </row>
    <row r="1202" spans="1:9" x14ac:dyDescent="0.3">
      <c r="A1202" t="str">
        <f t="shared" si="18"/>
        <v>CASE-1201</v>
      </c>
      <c r="B1202" s="1">
        <v>45986</v>
      </c>
      <c r="C1202" t="s">
        <v>11</v>
      </c>
      <c r="D1202">
        <v>1</v>
      </c>
      <c r="E1202" t="b">
        <v>1</v>
      </c>
      <c r="F1202" s="2">
        <v>23.474072664780852</v>
      </c>
      <c r="G1202" t="b">
        <v>0</v>
      </c>
      <c r="H1202" t="s">
        <v>30</v>
      </c>
      <c r="I1202" t="s">
        <v>33</v>
      </c>
    </row>
    <row r="1203" spans="1:9" x14ac:dyDescent="0.3">
      <c r="A1203" t="str">
        <f t="shared" si="18"/>
        <v>CASE-1202</v>
      </c>
      <c r="B1203" s="1">
        <v>45572</v>
      </c>
      <c r="C1203" t="s">
        <v>12</v>
      </c>
      <c r="D1203">
        <v>2</v>
      </c>
      <c r="E1203" t="b">
        <v>0</v>
      </c>
      <c r="F1203" s="2">
        <v>22.496005872864465</v>
      </c>
      <c r="G1203" t="b">
        <v>0</v>
      </c>
      <c r="H1203" t="s">
        <v>18</v>
      </c>
      <c r="I1203" t="s">
        <v>33</v>
      </c>
    </row>
    <row r="1204" spans="1:9" x14ac:dyDescent="0.3">
      <c r="A1204" t="str">
        <f t="shared" si="18"/>
        <v>CASE-1203</v>
      </c>
      <c r="B1204" s="1">
        <v>45950</v>
      </c>
      <c r="C1204" t="s">
        <v>12</v>
      </c>
      <c r="D1204">
        <v>2</v>
      </c>
      <c r="E1204" t="b">
        <v>1</v>
      </c>
      <c r="F1204" s="2">
        <v>6.5206172407002212</v>
      </c>
      <c r="G1204" t="b">
        <v>0</v>
      </c>
      <c r="H1204" t="s">
        <v>22</v>
      </c>
      <c r="I1204" t="s">
        <v>34</v>
      </c>
    </row>
    <row r="1205" spans="1:9" x14ac:dyDescent="0.3">
      <c r="A1205" t="str">
        <f t="shared" si="18"/>
        <v>CASE-1204</v>
      </c>
      <c r="B1205" s="1">
        <v>45855</v>
      </c>
      <c r="C1205" t="s">
        <v>10</v>
      </c>
      <c r="D1205">
        <v>1</v>
      </c>
      <c r="E1205" t="b">
        <v>1</v>
      </c>
      <c r="F1205" s="2">
        <v>4.90703266505004</v>
      </c>
      <c r="G1205" t="b">
        <v>0</v>
      </c>
      <c r="H1205" t="s">
        <v>25</v>
      </c>
      <c r="I1205" t="s">
        <v>34</v>
      </c>
    </row>
    <row r="1206" spans="1:9" x14ac:dyDescent="0.3">
      <c r="A1206" t="str">
        <f t="shared" si="18"/>
        <v>CASE-1205</v>
      </c>
      <c r="B1206" s="1">
        <v>46029</v>
      </c>
      <c r="C1206" t="s">
        <v>9</v>
      </c>
      <c r="D1206">
        <v>2</v>
      </c>
      <c r="E1206" t="b">
        <v>1</v>
      </c>
      <c r="F1206" s="2">
        <v>6.5744523941786106</v>
      </c>
      <c r="G1206" t="b">
        <v>0</v>
      </c>
      <c r="H1206" t="s">
        <v>21</v>
      </c>
      <c r="I1206" t="s">
        <v>34</v>
      </c>
    </row>
    <row r="1207" spans="1:9" x14ac:dyDescent="0.3">
      <c r="A1207" t="str">
        <f t="shared" si="18"/>
        <v>CASE-1206</v>
      </c>
      <c r="B1207" s="1">
        <v>45994</v>
      </c>
      <c r="C1207" t="s">
        <v>11</v>
      </c>
      <c r="D1207">
        <v>1</v>
      </c>
      <c r="E1207" t="b">
        <v>1</v>
      </c>
      <c r="F1207" s="2">
        <v>6.4940722767004662</v>
      </c>
      <c r="G1207" t="b">
        <v>0</v>
      </c>
      <c r="H1207" t="s">
        <v>29</v>
      </c>
      <c r="I1207" t="s">
        <v>35</v>
      </c>
    </row>
    <row r="1208" spans="1:9" x14ac:dyDescent="0.3">
      <c r="A1208" t="str">
        <f t="shared" si="18"/>
        <v>CASE-1207</v>
      </c>
      <c r="B1208" s="1">
        <v>45862</v>
      </c>
      <c r="C1208" t="s">
        <v>9</v>
      </c>
      <c r="D1208">
        <v>1</v>
      </c>
      <c r="E1208" t="b">
        <v>1</v>
      </c>
      <c r="F1208" s="2">
        <v>2.9594725933194956</v>
      </c>
      <c r="G1208" t="b">
        <v>0</v>
      </c>
      <c r="H1208" t="s">
        <v>30</v>
      </c>
      <c r="I1208" t="s">
        <v>34</v>
      </c>
    </row>
    <row r="1209" spans="1:9" x14ac:dyDescent="0.3">
      <c r="A1209" t="str">
        <f t="shared" si="18"/>
        <v>CASE-1208</v>
      </c>
      <c r="B1209" s="1">
        <v>45743</v>
      </c>
      <c r="C1209" t="s">
        <v>11</v>
      </c>
      <c r="D1209">
        <v>4</v>
      </c>
      <c r="E1209" t="b">
        <v>1</v>
      </c>
      <c r="F1209" s="2">
        <v>2.1297401689994224</v>
      </c>
      <c r="G1209" t="b">
        <v>0</v>
      </c>
      <c r="H1209" t="s">
        <v>26</v>
      </c>
      <c r="I1209" t="s">
        <v>34</v>
      </c>
    </row>
    <row r="1210" spans="1:9" x14ac:dyDescent="0.3">
      <c r="A1210" t="str">
        <f t="shared" si="18"/>
        <v>CASE-1209</v>
      </c>
      <c r="B1210" s="1">
        <v>45880</v>
      </c>
      <c r="C1210" t="s">
        <v>10</v>
      </c>
      <c r="D1210">
        <v>2</v>
      </c>
      <c r="E1210" t="b">
        <v>1</v>
      </c>
      <c r="F1210" s="2">
        <v>4.7283568540119703</v>
      </c>
      <c r="G1210" t="b">
        <v>0</v>
      </c>
      <c r="H1210" t="s">
        <v>19</v>
      </c>
      <c r="I1210" t="s">
        <v>34</v>
      </c>
    </row>
    <row r="1211" spans="1:9" x14ac:dyDescent="0.3">
      <c r="A1211" t="str">
        <f t="shared" si="18"/>
        <v>CASE-1210</v>
      </c>
      <c r="B1211" s="1">
        <v>45604</v>
      </c>
      <c r="C1211" t="s">
        <v>9</v>
      </c>
      <c r="D1211">
        <v>5</v>
      </c>
      <c r="E1211" t="b">
        <v>0</v>
      </c>
      <c r="F1211" s="2">
        <v>42.365622950114201</v>
      </c>
      <c r="G1211" t="b">
        <v>0</v>
      </c>
      <c r="H1211" t="s">
        <v>21</v>
      </c>
      <c r="I1211" t="s">
        <v>33</v>
      </c>
    </row>
    <row r="1212" spans="1:9" x14ac:dyDescent="0.3">
      <c r="A1212" t="str">
        <f t="shared" si="18"/>
        <v>CASE-1211</v>
      </c>
      <c r="B1212" s="1">
        <v>45503</v>
      </c>
      <c r="C1212" t="s">
        <v>12</v>
      </c>
      <c r="D1212">
        <v>4</v>
      </c>
      <c r="E1212" t="b">
        <v>0</v>
      </c>
      <c r="F1212" s="2">
        <v>25.399961176874776</v>
      </c>
      <c r="G1212" t="b">
        <v>0</v>
      </c>
      <c r="H1212" t="s">
        <v>21</v>
      </c>
      <c r="I1212" t="s">
        <v>33</v>
      </c>
    </row>
    <row r="1213" spans="1:9" x14ac:dyDescent="0.3">
      <c r="A1213" t="str">
        <f t="shared" si="18"/>
        <v>CASE-1212</v>
      </c>
      <c r="B1213" s="1">
        <v>46113</v>
      </c>
      <c r="C1213" t="s">
        <v>12</v>
      </c>
      <c r="D1213">
        <v>1</v>
      </c>
      <c r="E1213" t="b">
        <v>1</v>
      </c>
      <c r="F1213" s="2">
        <v>4.0921934160930187</v>
      </c>
      <c r="G1213" t="b">
        <v>0</v>
      </c>
      <c r="H1213" t="s">
        <v>14</v>
      </c>
      <c r="I1213" t="s">
        <v>34</v>
      </c>
    </row>
    <row r="1214" spans="1:9" x14ac:dyDescent="0.3">
      <c r="A1214" t="str">
        <f t="shared" si="18"/>
        <v>CASE-1213</v>
      </c>
      <c r="B1214" s="1">
        <v>45608</v>
      </c>
      <c r="C1214" t="s">
        <v>9</v>
      </c>
      <c r="D1214">
        <v>4</v>
      </c>
      <c r="E1214" t="b">
        <v>0</v>
      </c>
      <c r="F1214" s="2">
        <v>21.112430424636727</v>
      </c>
      <c r="G1214" t="b">
        <v>0</v>
      </c>
      <c r="H1214" t="s">
        <v>20</v>
      </c>
      <c r="I1214" t="s">
        <v>33</v>
      </c>
    </row>
    <row r="1215" spans="1:9" x14ac:dyDescent="0.3">
      <c r="A1215" t="str">
        <f t="shared" si="18"/>
        <v>CASE-1214</v>
      </c>
      <c r="B1215" s="1">
        <v>45687</v>
      </c>
      <c r="C1215" t="s">
        <v>10</v>
      </c>
      <c r="D1215">
        <v>5</v>
      </c>
      <c r="E1215" t="b">
        <v>0</v>
      </c>
      <c r="F1215" s="2">
        <v>1.7222713413598241</v>
      </c>
      <c r="G1215" t="b">
        <v>0</v>
      </c>
      <c r="H1215" t="s">
        <v>19</v>
      </c>
      <c r="I1215" t="s">
        <v>34</v>
      </c>
    </row>
    <row r="1216" spans="1:9" x14ac:dyDescent="0.3">
      <c r="A1216" t="str">
        <f t="shared" si="18"/>
        <v>CASE-1215</v>
      </c>
      <c r="B1216" s="1">
        <v>45645</v>
      </c>
      <c r="C1216" t="s">
        <v>9</v>
      </c>
      <c r="D1216">
        <v>4</v>
      </c>
      <c r="E1216" t="b">
        <v>0</v>
      </c>
      <c r="F1216" s="2">
        <v>31.378300804317028</v>
      </c>
      <c r="G1216" t="b">
        <v>0</v>
      </c>
      <c r="H1216" t="s">
        <v>32</v>
      </c>
      <c r="I1216" t="s">
        <v>33</v>
      </c>
    </row>
    <row r="1217" spans="1:9" x14ac:dyDescent="0.3">
      <c r="A1217" t="str">
        <f t="shared" si="18"/>
        <v>CASE-1216</v>
      </c>
      <c r="B1217" s="1">
        <v>45477</v>
      </c>
      <c r="C1217" t="s">
        <v>11</v>
      </c>
      <c r="D1217">
        <v>3</v>
      </c>
      <c r="E1217" t="b">
        <v>0</v>
      </c>
      <c r="F1217" s="2">
        <v>37.787696865075816</v>
      </c>
      <c r="G1217" t="b">
        <v>0</v>
      </c>
      <c r="H1217" t="s">
        <v>14</v>
      </c>
      <c r="I1217" t="s">
        <v>33</v>
      </c>
    </row>
    <row r="1218" spans="1:9" x14ac:dyDescent="0.3">
      <c r="A1218" t="str">
        <f t="shared" si="18"/>
        <v>CASE-1217</v>
      </c>
      <c r="B1218" s="1">
        <v>45761</v>
      </c>
      <c r="C1218" t="s">
        <v>10</v>
      </c>
      <c r="D1218">
        <v>2</v>
      </c>
      <c r="E1218" t="b">
        <v>1</v>
      </c>
      <c r="F1218" s="2">
        <v>22.503009658686619</v>
      </c>
      <c r="G1218" t="b">
        <v>0</v>
      </c>
      <c r="H1218" t="s">
        <v>16</v>
      </c>
      <c r="I1218" t="s">
        <v>33</v>
      </c>
    </row>
    <row r="1219" spans="1:9" x14ac:dyDescent="0.3">
      <c r="A1219" t="str">
        <f t="shared" ref="A1219:A1282" si="19">"CASE-"&amp;TEXT(ROW()-1,"0000")</f>
        <v>CASE-1218</v>
      </c>
      <c r="B1219" s="1">
        <v>46015</v>
      </c>
      <c r="C1219" t="s">
        <v>12</v>
      </c>
      <c r="D1219">
        <v>1</v>
      </c>
      <c r="E1219" t="b">
        <v>1</v>
      </c>
      <c r="F1219" s="2">
        <v>6.6503664092436781</v>
      </c>
      <c r="G1219" t="b">
        <v>0</v>
      </c>
      <c r="H1219" t="s">
        <v>17</v>
      </c>
      <c r="I1219" t="s">
        <v>34</v>
      </c>
    </row>
    <row r="1220" spans="1:9" x14ac:dyDescent="0.3">
      <c r="A1220" t="str">
        <f t="shared" si="19"/>
        <v>CASE-1219</v>
      </c>
      <c r="B1220" s="1">
        <v>45734</v>
      </c>
      <c r="C1220" t="s">
        <v>11</v>
      </c>
      <c r="D1220">
        <v>2</v>
      </c>
      <c r="E1220" t="b">
        <v>1</v>
      </c>
      <c r="F1220" s="2">
        <v>5.3879850745001479</v>
      </c>
      <c r="G1220" t="b">
        <v>0</v>
      </c>
      <c r="H1220" t="s">
        <v>21</v>
      </c>
      <c r="I1220" t="s">
        <v>35</v>
      </c>
    </row>
    <row r="1221" spans="1:9" x14ac:dyDescent="0.3">
      <c r="A1221" t="str">
        <f t="shared" si="19"/>
        <v>CASE-1220</v>
      </c>
      <c r="B1221" s="1">
        <v>45533</v>
      </c>
      <c r="C1221" t="s">
        <v>9</v>
      </c>
      <c r="D1221">
        <v>4</v>
      </c>
      <c r="E1221" t="b">
        <v>0</v>
      </c>
      <c r="F1221" s="2">
        <v>22.113752276784169</v>
      </c>
      <c r="G1221" t="b">
        <v>0</v>
      </c>
      <c r="H1221" t="s">
        <v>26</v>
      </c>
      <c r="I1221" t="s">
        <v>33</v>
      </c>
    </row>
    <row r="1222" spans="1:9" x14ac:dyDescent="0.3">
      <c r="A1222" t="str">
        <f t="shared" si="19"/>
        <v>CASE-1221</v>
      </c>
      <c r="B1222" s="1">
        <v>46142</v>
      </c>
      <c r="C1222" t="s">
        <v>10</v>
      </c>
      <c r="D1222">
        <v>3</v>
      </c>
      <c r="E1222" t="b">
        <v>1</v>
      </c>
      <c r="F1222" s="2">
        <v>3.3703744706326928</v>
      </c>
      <c r="G1222" t="b">
        <v>0</v>
      </c>
      <c r="H1222" t="s">
        <v>32</v>
      </c>
      <c r="I1222" t="s">
        <v>35</v>
      </c>
    </row>
    <row r="1223" spans="1:9" x14ac:dyDescent="0.3">
      <c r="A1223" t="str">
        <f t="shared" si="19"/>
        <v>CASE-1222</v>
      </c>
      <c r="B1223" s="1">
        <v>45551</v>
      </c>
      <c r="C1223" t="s">
        <v>12</v>
      </c>
      <c r="D1223">
        <v>5</v>
      </c>
      <c r="E1223" t="b">
        <v>0</v>
      </c>
      <c r="F1223" s="2">
        <v>23.119998772229366</v>
      </c>
      <c r="G1223" t="b">
        <v>0</v>
      </c>
      <c r="H1223" t="s">
        <v>14</v>
      </c>
      <c r="I1223" t="s">
        <v>33</v>
      </c>
    </row>
    <row r="1224" spans="1:9" x14ac:dyDescent="0.3">
      <c r="A1224" t="str">
        <f t="shared" si="19"/>
        <v>CASE-1223</v>
      </c>
      <c r="B1224" s="1">
        <v>46134</v>
      </c>
      <c r="C1224" t="s">
        <v>9</v>
      </c>
      <c r="D1224">
        <v>5</v>
      </c>
      <c r="E1224" t="b">
        <v>1</v>
      </c>
      <c r="F1224" s="2">
        <v>4.8031475543004731</v>
      </c>
      <c r="G1224" t="b">
        <v>0</v>
      </c>
      <c r="H1224" t="s">
        <v>21</v>
      </c>
      <c r="I1224" t="s">
        <v>34</v>
      </c>
    </row>
    <row r="1225" spans="1:9" x14ac:dyDescent="0.3">
      <c r="A1225" t="str">
        <f t="shared" si="19"/>
        <v>CASE-1224</v>
      </c>
      <c r="B1225" s="1">
        <v>46075</v>
      </c>
      <c r="C1225" t="s">
        <v>10</v>
      </c>
      <c r="D1225">
        <v>5</v>
      </c>
      <c r="E1225" t="b">
        <v>1</v>
      </c>
      <c r="F1225" s="2">
        <v>26.524203346245329</v>
      </c>
      <c r="G1225" t="b">
        <v>0</v>
      </c>
      <c r="H1225" t="s">
        <v>18</v>
      </c>
      <c r="I1225" t="s">
        <v>33</v>
      </c>
    </row>
    <row r="1226" spans="1:9" x14ac:dyDescent="0.3">
      <c r="A1226" t="str">
        <f t="shared" si="19"/>
        <v>CASE-1225</v>
      </c>
      <c r="B1226" s="1">
        <v>45855</v>
      </c>
      <c r="C1226" t="s">
        <v>10</v>
      </c>
      <c r="D1226">
        <v>5</v>
      </c>
      <c r="E1226" t="b">
        <v>0</v>
      </c>
      <c r="F1226" s="2">
        <v>4.5367775388202647</v>
      </c>
      <c r="G1226" t="b">
        <v>0</v>
      </c>
      <c r="H1226" t="s">
        <v>16</v>
      </c>
      <c r="I1226" t="s">
        <v>34</v>
      </c>
    </row>
    <row r="1227" spans="1:9" x14ac:dyDescent="0.3">
      <c r="A1227" t="str">
        <f t="shared" si="19"/>
        <v>CASE-1226</v>
      </c>
      <c r="B1227" s="1">
        <v>45519</v>
      </c>
      <c r="C1227" t="s">
        <v>9</v>
      </c>
      <c r="D1227">
        <v>3</v>
      </c>
      <c r="E1227" t="b">
        <v>0</v>
      </c>
      <c r="F1227" s="2">
        <v>23.271755042036464</v>
      </c>
      <c r="G1227" t="b">
        <v>0</v>
      </c>
      <c r="H1227" t="s">
        <v>25</v>
      </c>
      <c r="I1227" t="s">
        <v>33</v>
      </c>
    </row>
    <row r="1228" spans="1:9" x14ac:dyDescent="0.3">
      <c r="A1228" t="str">
        <f t="shared" si="19"/>
        <v>CASE-1227</v>
      </c>
      <c r="B1228" s="1">
        <v>45523</v>
      </c>
      <c r="C1228" t="s">
        <v>9</v>
      </c>
      <c r="D1228">
        <v>3</v>
      </c>
      <c r="E1228" t="b">
        <v>0</v>
      </c>
      <c r="F1228" s="2">
        <v>39.197016938947563</v>
      </c>
      <c r="G1228" t="b">
        <v>0</v>
      </c>
      <c r="H1228" t="s">
        <v>28</v>
      </c>
      <c r="I1228" t="s">
        <v>33</v>
      </c>
    </row>
    <row r="1229" spans="1:9" x14ac:dyDescent="0.3">
      <c r="A1229" t="str">
        <f t="shared" si="19"/>
        <v>CASE-1228</v>
      </c>
      <c r="B1229" s="1">
        <v>45480</v>
      </c>
      <c r="C1229" t="s">
        <v>12</v>
      </c>
      <c r="D1229">
        <v>3</v>
      </c>
      <c r="E1229" t="b">
        <v>0</v>
      </c>
      <c r="F1229" s="2">
        <v>8.8235131776294971</v>
      </c>
      <c r="G1229" t="b">
        <v>1</v>
      </c>
      <c r="H1229" t="s">
        <v>27</v>
      </c>
      <c r="I1229" t="s">
        <v>33</v>
      </c>
    </row>
    <row r="1230" spans="1:9" x14ac:dyDescent="0.3">
      <c r="A1230" t="str">
        <f t="shared" si="19"/>
        <v>CASE-1229</v>
      </c>
      <c r="B1230" s="1">
        <v>45855</v>
      </c>
      <c r="C1230" t="s">
        <v>12</v>
      </c>
      <c r="D1230">
        <v>1</v>
      </c>
      <c r="E1230" t="b">
        <v>0</v>
      </c>
      <c r="F1230" s="2">
        <v>6.8386884163510402</v>
      </c>
      <c r="G1230" t="b">
        <v>0</v>
      </c>
      <c r="H1230" t="s">
        <v>24</v>
      </c>
      <c r="I1230" t="s">
        <v>33</v>
      </c>
    </row>
    <row r="1231" spans="1:9" x14ac:dyDescent="0.3">
      <c r="A1231" t="str">
        <f t="shared" si="19"/>
        <v>CASE-1230</v>
      </c>
      <c r="B1231" s="1">
        <v>45970</v>
      </c>
      <c r="C1231" t="s">
        <v>11</v>
      </c>
      <c r="D1231">
        <v>4</v>
      </c>
      <c r="E1231" t="b">
        <v>0</v>
      </c>
      <c r="F1231" s="2">
        <v>11.638012952368557</v>
      </c>
      <c r="G1231" t="b">
        <v>0</v>
      </c>
      <c r="H1231" t="s">
        <v>31</v>
      </c>
      <c r="I1231" t="s">
        <v>33</v>
      </c>
    </row>
    <row r="1232" spans="1:9" x14ac:dyDescent="0.3">
      <c r="A1232" t="str">
        <f t="shared" si="19"/>
        <v>CASE-1231</v>
      </c>
      <c r="B1232" s="1">
        <v>45909</v>
      </c>
      <c r="C1232" t="s">
        <v>10</v>
      </c>
      <c r="D1232">
        <v>4</v>
      </c>
      <c r="E1232" t="b">
        <v>1</v>
      </c>
      <c r="F1232" s="2">
        <v>6.5012882209317446</v>
      </c>
      <c r="G1232" t="b">
        <v>0</v>
      </c>
      <c r="H1232" t="s">
        <v>20</v>
      </c>
      <c r="I1232" t="s">
        <v>34</v>
      </c>
    </row>
    <row r="1233" spans="1:9" x14ac:dyDescent="0.3">
      <c r="A1233" t="str">
        <f t="shared" si="19"/>
        <v>CASE-1232</v>
      </c>
      <c r="B1233" s="1">
        <v>45612</v>
      </c>
      <c r="C1233" t="s">
        <v>11</v>
      </c>
      <c r="D1233">
        <v>4</v>
      </c>
      <c r="E1233" t="b">
        <v>0</v>
      </c>
      <c r="F1233" s="2">
        <v>19.86131800354201</v>
      </c>
      <c r="G1233" t="b">
        <v>0</v>
      </c>
      <c r="H1233" t="s">
        <v>15</v>
      </c>
      <c r="I1233" t="s">
        <v>33</v>
      </c>
    </row>
    <row r="1234" spans="1:9" x14ac:dyDescent="0.3">
      <c r="A1234" t="str">
        <f t="shared" si="19"/>
        <v>CASE-1233</v>
      </c>
      <c r="B1234" s="1">
        <v>45696</v>
      </c>
      <c r="C1234" t="s">
        <v>11</v>
      </c>
      <c r="D1234">
        <v>2</v>
      </c>
      <c r="E1234" t="b">
        <v>1</v>
      </c>
      <c r="F1234" s="2">
        <v>6.0984029057751243</v>
      </c>
      <c r="G1234" t="b">
        <v>0</v>
      </c>
      <c r="H1234" t="s">
        <v>13</v>
      </c>
      <c r="I1234" t="s">
        <v>34</v>
      </c>
    </row>
    <row r="1235" spans="1:9" x14ac:dyDescent="0.3">
      <c r="A1235" t="str">
        <f t="shared" si="19"/>
        <v>CASE-1234</v>
      </c>
      <c r="B1235" s="1">
        <v>46116</v>
      </c>
      <c r="C1235" t="s">
        <v>9</v>
      </c>
      <c r="D1235">
        <v>2</v>
      </c>
      <c r="E1235" t="b">
        <v>1</v>
      </c>
      <c r="F1235" s="2">
        <v>9.5485272981521856</v>
      </c>
      <c r="G1235" t="b">
        <v>0</v>
      </c>
      <c r="H1235" t="s">
        <v>32</v>
      </c>
      <c r="I1235" t="s">
        <v>34</v>
      </c>
    </row>
    <row r="1236" spans="1:9" x14ac:dyDescent="0.3">
      <c r="A1236" t="str">
        <f t="shared" si="19"/>
        <v>CASE-1235</v>
      </c>
      <c r="B1236" s="1">
        <v>46031</v>
      </c>
      <c r="C1236" t="s">
        <v>10</v>
      </c>
      <c r="D1236">
        <v>2</v>
      </c>
      <c r="E1236" t="b">
        <v>1</v>
      </c>
      <c r="F1236" s="2">
        <v>8.7433213610920149</v>
      </c>
      <c r="G1236" t="b">
        <v>0</v>
      </c>
      <c r="H1236" t="s">
        <v>16</v>
      </c>
      <c r="I1236" t="s">
        <v>34</v>
      </c>
    </row>
    <row r="1237" spans="1:9" x14ac:dyDescent="0.3">
      <c r="A1237" t="str">
        <f t="shared" si="19"/>
        <v>CASE-1236</v>
      </c>
      <c r="B1237" s="1">
        <v>46009</v>
      </c>
      <c r="C1237" t="s">
        <v>10</v>
      </c>
      <c r="D1237">
        <v>4</v>
      </c>
      <c r="E1237" t="b">
        <v>1</v>
      </c>
      <c r="F1237" s="2">
        <v>5.5586483682555485</v>
      </c>
      <c r="G1237" t="b">
        <v>0</v>
      </c>
      <c r="H1237" t="s">
        <v>24</v>
      </c>
      <c r="I1237" t="s">
        <v>34</v>
      </c>
    </row>
    <row r="1238" spans="1:9" x14ac:dyDescent="0.3">
      <c r="A1238" t="str">
        <f t="shared" si="19"/>
        <v>CASE-1237</v>
      </c>
      <c r="B1238" s="1">
        <v>45572</v>
      </c>
      <c r="C1238" t="s">
        <v>12</v>
      </c>
      <c r="D1238">
        <v>4</v>
      </c>
      <c r="E1238" t="b">
        <v>0</v>
      </c>
      <c r="F1238" s="2">
        <v>26.511605236259019</v>
      </c>
      <c r="G1238" t="b">
        <v>0</v>
      </c>
      <c r="H1238" t="s">
        <v>22</v>
      </c>
      <c r="I1238" t="s">
        <v>33</v>
      </c>
    </row>
    <row r="1239" spans="1:9" x14ac:dyDescent="0.3">
      <c r="A1239" t="str">
        <f t="shared" si="19"/>
        <v>CASE-1238</v>
      </c>
      <c r="B1239" s="1">
        <v>46129</v>
      </c>
      <c r="C1239" t="s">
        <v>9</v>
      </c>
      <c r="D1239">
        <v>1</v>
      </c>
      <c r="E1239" t="b">
        <v>1</v>
      </c>
      <c r="F1239" s="2">
        <v>6.3291855361531333</v>
      </c>
      <c r="G1239" t="b">
        <v>0</v>
      </c>
      <c r="H1239" t="s">
        <v>32</v>
      </c>
      <c r="I1239" t="s">
        <v>34</v>
      </c>
    </row>
    <row r="1240" spans="1:9" x14ac:dyDescent="0.3">
      <c r="A1240" t="str">
        <f t="shared" si="19"/>
        <v>CASE-1239</v>
      </c>
      <c r="B1240" s="1">
        <v>45964</v>
      </c>
      <c r="C1240" t="s">
        <v>12</v>
      </c>
      <c r="D1240">
        <v>3</v>
      </c>
      <c r="E1240" t="b">
        <v>1</v>
      </c>
      <c r="F1240" s="2">
        <v>5.583287204652895</v>
      </c>
      <c r="G1240" t="b">
        <v>1</v>
      </c>
      <c r="H1240" t="s">
        <v>21</v>
      </c>
      <c r="I1240" t="s">
        <v>34</v>
      </c>
    </row>
    <row r="1241" spans="1:9" x14ac:dyDescent="0.3">
      <c r="A1241" t="str">
        <f t="shared" si="19"/>
        <v>CASE-1240</v>
      </c>
      <c r="B1241" s="1">
        <v>45524</v>
      </c>
      <c r="C1241" t="s">
        <v>10</v>
      </c>
      <c r="D1241">
        <v>5</v>
      </c>
      <c r="E1241" t="b">
        <v>0</v>
      </c>
      <c r="F1241" s="2">
        <v>17.36493378311479</v>
      </c>
      <c r="G1241" t="b">
        <v>0</v>
      </c>
      <c r="H1241" t="s">
        <v>15</v>
      </c>
      <c r="I1241" t="s">
        <v>33</v>
      </c>
    </row>
    <row r="1242" spans="1:9" x14ac:dyDescent="0.3">
      <c r="A1242" t="str">
        <f t="shared" si="19"/>
        <v>CASE-1241</v>
      </c>
      <c r="B1242" s="1">
        <v>45572</v>
      </c>
      <c r="C1242" t="s">
        <v>9</v>
      </c>
      <c r="D1242">
        <v>1</v>
      </c>
      <c r="E1242" t="b">
        <v>0</v>
      </c>
      <c r="F1242" s="2">
        <v>28.749972564745537</v>
      </c>
      <c r="G1242" t="b">
        <v>0</v>
      </c>
      <c r="H1242" t="s">
        <v>25</v>
      </c>
      <c r="I1242" t="s">
        <v>33</v>
      </c>
    </row>
    <row r="1243" spans="1:9" x14ac:dyDescent="0.3">
      <c r="A1243" t="str">
        <f t="shared" si="19"/>
        <v>CASE-1242</v>
      </c>
      <c r="B1243" s="1">
        <v>46085</v>
      </c>
      <c r="C1243" t="s">
        <v>9</v>
      </c>
      <c r="D1243">
        <v>2</v>
      </c>
      <c r="E1243" t="b">
        <v>1</v>
      </c>
      <c r="F1243" s="2">
        <v>27.00324120825778</v>
      </c>
      <c r="G1243" t="b">
        <v>0</v>
      </c>
      <c r="H1243" t="s">
        <v>14</v>
      </c>
      <c r="I1243" t="s">
        <v>33</v>
      </c>
    </row>
    <row r="1244" spans="1:9" x14ac:dyDescent="0.3">
      <c r="A1244" t="str">
        <f t="shared" si="19"/>
        <v>CASE-1243</v>
      </c>
      <c r="B1244" s="1">
        <v>45968</v>
      </c>
      <c r="C1244" t="s">
        <v>12</v>
      </c>
      <c r="D1244">
        <v>5</v>
      </c>
      <c r="E1244" t="b">
        <v>1</v>
      </c>
      <c r="F1244" s="2">
        <v>21.092266724591489</v>
      </c>
      <c r="G1244" t="b">
        <v>0</v>
      </c>
      <c r="H1244" t="s">
        <v>23</v>
      </c>
      <c r="I1244" t="s">
        <v>33</v>
      </c>
    </row>
    <row r="1245" spans="1:9" x14ac:dyDescent="0.3">
      <c r="A1245" t="str">
        <f t="shared" si="19"/>
        <v>CASE-1244</v>
      </c>
      <c r="B1245" s="1">
        <v>45856</v>
      </c>
      <c r="C1245" t="s">
        <v>11</v>
      </c>
      <c r="D1245">
        <v>5</v>
      </c>
      <c r="E1245" t="b">
        <v>1</v>
      </c>
      <c r="F1245" s="2">
        <v>3.9293325365690297</v>
      </c>
      <c r="G1245" t="b">
        <v>0</v>
      </c>
      <c r="H1245" t="s">
        <v>13</v>
      </c>
      <c r="I1245" t="s">
        <v>34</v>
      </c>
    </row>
    <row r="1246" spans="1:9" x14ac:dyDescent="0.3">
      <c r="A1246" t="str">
        <f t="shared" si="19"/>
        <v>CASE-1245</v>
      </c>
      <c r="B1246" s="1">
        <v>45946</v>
      </c>
      <c r="C1246" t="s">
        <v>11</v>
      </c>
      <c r="D1246">
        <v>1</v>
      </c>
      <c r="E1246" t="b">
        <v>1</v>
      </c>
      <c r="F1246" s="2">
        <v>4.2726538486084635</v>
      </c>
      <c r="G1246" t="b">
        <v>0</v>
      </c>
      <c r="H1246" t="s">
        <v>21</v>
      </c>
      <c r="I1246" t="s">
        <v>34</v>
      </c>
    </row>
    <row r="1247" spans="1:9" x14ac:dyDescent="0.3">
      <c r="A1247" t="str">
        <f t="shared" si="19"/>
        <v>CASE-1246</v>
      </c>
      <c r="B1247" s="1">
        <v>46105</v>
      </c>
      <c r="C1247" t="s">
        <v>10</v>
      </c>
      <c r="D1247">
        <v>3</v>
      </c>
      <c r="E1247" t="b">
        <v>1</v>
      </c>
      <c r="F1247" s="2">
        <v>5.4670118756218855</v>
      </c>
      <c r="G1247" t="b">
        <v>0</v>
      </c>
      <c r="H1247" t="s">
        <v>22</v>
      </c>
      <c r="I1247" t="s">
        <v>34</v>
      </c>
    </row>
    <row r="1248" spans="1:9" x14ac:dyDescent="0.3">
      <c r="A1248" t="str">
        <f t="shared" si="19"/>
        <v>CASE-1247</v>
      </c>
      <c r="B1248" s="1">
        <v>45841</v>
      </c>
      <c r="C1248" t="s">
        <v>10</v>
      </c>
      <c r="D1248">
        <v>1</v>
      </c>
      <c r="E1248" t="b">
        <v>1</v>
      </c>
      <c r="F1248" s="2">
        <v>29.941951268579004</v>
      </c>
      <c r="G1248" t="b">
        <v>0</v>
      </c>
      <c r="H1248" t="s">
        <v>23</v>
      </c>
      <c r="I1248" t="s">
        <v>33</v>
      </c>
    </row>
    <row r="1249" spans="1:9" x14ac:dyDescent="0.3">
      <c r="A1249" t="str">
        <f t="shared" si="19"/>
        <v>CASE-1248</v>
      </c>
      <c r="B1249" s="1">
        <v>45995</v>
      </c>
      <c r="C1249" t="s">
        <v>12</v>
      </c>
      <c r="D1249">
        <v>5</v>
      </c>
      <c r="E1249" t="b">
        <v>1</v>
      </c>
      <c r="F1249" s="2">
        <v>4.075901919487805</v>
      </c>
      <c r="G1249" t="b">
        <v>0</v>
      </c>
      <c r="H1249" t="s">
        <v>27</v>
      </c>
      <c r="I1249" t="s">
        <v>34</v>
      </c>
    </row>
    <row r="1250" spans="1:9" x14ac:dyDescent="0.3">
      <c r="A1250" t="str">
        <f t="shared" si="19"/>
        <v>CASE-1249</v>
      </c>
      <c r="B1250" s="1">
        <v>46064</v>
      </c>
      <c r="C1250" t="s">
        <v>9</v>
      </c>
      <c r="D1250">
        <v>4</v>
      </c>
      <c r="E1250" t="b">
        <v>1</v>
      </c>
      <c r="F1250" s="2">
        <v>7.206571301717954</v>
      </c>
      <c r="G1250" t="b">
        <v>0</v>
      </c>
      <c r="H1250" t="s">
        <v>30</v>
      </c>
      <c r="I1250" t="s">
        <v>35</v>
      </c>
    </row>
    <row r="1251" spans="1:9" x14ac:dyDescent="0.3">
      <c r="A1251" t="str">
        <f t="shared" si="19"/>
        <v>CASE-1250</v>
      </c>
      <c r="B1251" s="1">
        <v>45486</v>
      </c>
      <c r="C1251" t="s">
        <v>9</v>
      </c>
      <c r="D1251">
        <v>5</v>
      </c>
      <c r="E1251" t="b">
        <v>0</v>
      </c>
      <c r="F1251" s="2">
        <v>11.105557302238234</v>
      </c>
      <c r="G1251" t="b">
        <v>0</v>
      </c>
      <c r="H1251" t="s">
        <v>31</v>
      </c>
      <c r="I1251" t="s">
        <v>33</v>
      </c>
    </row>
    <row r="1252" spans="1:9" x14ac:dyDescent="0.3">
      <c r="A1252" t="str">
        <f t="shared" si="19"/>
        <v>CASE-1251</v>
      </c>
      <c r="B1252" s="1">
        <v>46194</v>
      </c>
      <c r="C1252" t="s">
        <v>11</v>
      </c>
      <c r="D1252">
        <v>2</v>
      </c>
      <c r="E1252" t="b">
        <v>1</v>
      </c>
      <c r="F1252" s="2">
        <v>4.7505871206111996</v>
      </c>
      <c r="G1252" t="b">
        <v>0</v>
      </c>
      <c r="H1252" t="s">
        <v>17</v>
      </c>
      <c r="I1252" t="s">
        <v>35</v>
      </c>
    </row>
    <row r="1253" spans="1:9" x14ac:dyDescent="0.3">
      <c r="A1253" t="str">
        <f t="shared" si="19"/>
        <v>CASE-1252</v>
      </c>
      <c r="B1253" s="1">
        <v>46050</v>
      </c>
      <c r="C1253" t="s">
        <v>12</v>
      </c>
      <c r="D1253">
        <v>3</v>
      </c>
      <c r="E1253" t="b">
        <v>1</v>
      </c>
      <c r="F1253" s="2">
        <v>8.8037373582248541</v>
      </c>
      <c r="G1253" t="b">
        <v>0</v>
      </c>
      <c r="H1253" t="s">
        <v>25</v>
      </c>
      <c r="I1253" t="s">
        <v>34</v>
      </c>
    </row>
    <row r="1254" spans="1:9" x14ac:dyDescent="0.3">
      <c r="A1254" t="str">
        <f t="shared" si="19"/>
        <v>CASE-1253</v>
      </c>
      <c r="B1254" s="1">
        <v>46020</v>
      </c>
      <c r="C1254" t="s">
        <v>11</v>
      </c>
      <c r="D1254">
        <v>1</v>
      </c>
      <c r="E1254" t="b">
        <v>1</v>
      </c>
      <c r="F1254" s="2">
        <v>6.0359234031737747</v>
      </c>
      <c r="G1254" t="b">
        <v>0</v>
      </c>
      <c r="H1254" t="s">
        <v>28</v>
      </c>
      <c r="I1254" t="s">
        <v>35</v>
      </c>
    </row>
    <row r="1255" spans="1:9" x14ac:dyDescent="0.3">
      <c r="A1255" t="str">
        <f t="shared" si="19"/>
        <v>CASE-1254</v>
      </c>
      <c r="B1255" s="1">
        <v>45626</v>
      </c>
      <c r="C1255" t="s">
        <v>11</v>
      </c>
      <c r="D1255">
        <v>2</v>
      </c>
      <c r="E1255" t="b">
        <v>0</v>
      </c>
      <c r="F1255" s="2">
        <v>32.702748366455396</v>
      </c>
      <c r="G1255" t="b">
        <v>0</v>
      </c>
      <c r="H1255" t="s">
        <v>31</v>
      </c>
      <c r="I1255" t="s">
        <v>33</v>
      </c>
    </row>
    <row r="1256" spans="1:9" x14ac:dyDescent="0.3">
      <c r="A1256" t="str">
        <f t="shared" si="19"/>
        <v>CASE-1255</v>
      </c>
      <c r="B1256" s="1">
        <v>45920</v>
      </c>
      <c r="C1256" t="s">
        <v>9</v>
      </c>
      <c r="D1256">
        <v>5</v>
      </c>
      <c r="E1256" t="b">
        <v>1</v>
      </c>
      <c r="F1256" s="2">
        <v>4.7403290915573528</v>
      </c>
      <c r="G1256" t="b">
        <v>0</v>
      </c>
      <c r="H1256" t="s">
        <v>14</v>
      </c>
      <c r="I1256" t="s">
        <v>34</v>
      </c>
    </row>
    <row r="1257" spans="1:9" x14ac:dyDescent="0.3">
      <c r="A1257" t="str">
        <f t="shared" si="19"/>
        <v>CASE-1256</v>
      </c>
      <c r="B1257" s="1">
        <v>45624</v>
      </c>
      <c r="C1257" t="s">
        <v>10</v>
      </c>
      <c r="D1257">
        <v>2</v>
      </c>
      <c r="E1257" t="b">
        <v>0</v>
      </c>
      <c r="F1257" s="2">
        <v>31.435155030094634</v>
      </c>
      <c r="G1257" t="b">
        <v>0</v>
      </c>
      <c r="H1257" t="s">
        <v>23</v>
      </c>
      <c r="I1257" t="s">
        <v>33</v>
      </c>
    </row>
    <row r="1258" spans="1:9" x14ac:dyDescent="0.3">
      <c r="A1258" t="str">
        <f t="shared" si="19"/>
        <v>CASE-1257</v>
      </c>
      <c r="B1258" s="1">
        <v>45560</v>
      </c>
      <c r="C1258" t="s">
        <v>9</v>
      </c>
      <c r="D1258">
        <v>2</v>
      </c>
      <c r="E1258" t="b">
        <v>0</v>
      </c>
      <c r="F1258" s="2">
        <v>33.508483336126389</v>
      </c>
      <c r="G1258" t="b">
        <v>0</v>
      </c>
      <c r="H1258" t="s">
        <v>31</v>
      </c>
      <c r="I1258" t="s">
        <v>33</v>
      </c>
    </row>
    <row r="1259" spans="1:9" x14ac:dyDescent="0.3">
      <c r="A1259" t="str">
        <f t="shared" si="19"/>
        <v>CASE-1258</v>
      </c>
      <c r="B1259" s="1">
        <v>45592</v>
      </c>
      <c r="C1259" t="s">
        <v>11</v>
      </c>
      <c r="D1259">
        <v>3</v>
      </c>
      <c r="E1259" t="b">
        <v>0</v>
      </c>
      <c r="F1259" s="2">
        <v>10.173955182389134</v>
      </c>
      <c r="G1259" t="b">
        <v>0</v>
      </c>
      <c r="H1259" t="s">
        <v>26</v>
      </c>
      <c r="I1259" t="s">
        <v>33</v>
      </c>
    </row>
    <row r="1260" spans="1:9" x14ac:dyDescent="0.3">
      <c r="A1260" t="str">
        <f t="shared" si="19"/>
        <v>CASE-1259</v>
      </c>
      <c r="B1260" s="1">
        <v>45799</v>
      </c>
      <c r="C1260" t="s">
        <v>9</v>
      </c>
      <c r="D1260">
        <v>4</v>
      </c>
      <c r="E1260" t="b">
        <v>0</v>
      </c>
      <c r="F1260" s="2">
        <v>15.928193212742654</v>
      </c>
      <c r="G1260" t="b">
        <v>0</v>
      </c>
      <c r="H1260" t="s">
        <v>31</v>
      </c>
      <c r="I1260" t="s">
        <v>33</v>
      </c>
    </row>
    <row r="1261" spans="1:9" x14ac:dyDescent="0.3">
      <c r="A1261" t="str">
        <f t="shared" si="19"/>
        <v>CASE-1260</v>
      </c>
      <c r="B1261" s="1">
        <v>45597</v>
      </c>
      <c r="C1261" t="s">
        <v>9</v>
      </c>
      <c r="D1261">
        <v>5</v>
      </c>
      <c r="E1261" t="b">
        <v>0</v>
      </c>
      <c r="F1261" s="2">
        <v>29.679704496174654</v>
      </c>
      <c r="G1261" t="b">
        <v>0</v>
      </c>
      <c r="H1261" t="s">
        <v>23</v>
      </c>
      <c r="I1261" t="s">
        <v>33</v>
      </c>
    </row>
    <row r="1262" spans="1:9" x14ac:dyDescent="0.3">
      <c r="A1262" t="str">
        <f t="shared" si="19"/>
        <v>CASE-1261</v>
      </c>
      <c r="B1262" s="1">
        <v>45936</v>
      </c>
      <c r="C1262" t="s">
        <v>9</v>
      </c>
      <c r="D1262">
        <v>5</v>
      </c>
      <c r="E1262" t="b">
        <v>0</v>
      </c>
      <c r="F1262" s="2">
        <v>4.9722414947435354</v>
      </c>
      <c r="G1262" t="b">
        <v>0</v>
      </c>
      <c r="H1262" t="s">
        <v>27</v>
      </c>
      <c r="I1262" t="s">
        <v>34</v>
      </c>
    </row>
    <row r="1263" spans="1:9" x14ac:dyDescent="0.3">
      <c r="A1263" t="str">
        <f t="shared" si="19"/>
        <v>CASE-1262</v>
      </c>
      <c r="B1263" s="1">
        <v>45568</v>
      </c>
      <c r="C1263" t="s">
        <v>11</v>
      </c>
      <c r="D1263">
        <v>3</v>
      </c>
      <c r="E1263" t="b">
        <v>0</v>
      </c>
      <c r="F1263" s="2">
        <v>17.271820128685317</v>
      </c>
      <c r="G1263" t="b">
        <v>0</v>
      </c>
      <c r="H1263" t="s">
        <v>14</v>
      </c>
      <c r="I1263" t="s">
        <v>33</v>
      </c>
    </row>
    <row r="1264" spans="1:9" x14ac:dyDescent="0.3">
      <c r="A1264" t="str">
        <f t="shared" si="19"/>
        <v>CASE-1263</v>
      </c>
      <c r="B1264" s="1">
        <v>45521</v>
      </c>
      <c r="C1264" t="s">
        <v>9</v>
      </c>
      <c r="D1264">
        <v>4</v>
      </c>
      <c r="E1264" t="b">
        <v>0</v>
      </c>
      <c r="F1264" s="2">
        <v>9.0941671192615932</v>
      </c>
      <c r="G1264" t="b">
        <v>0</v>
      </c>
      <c r="H1264" t="s">
        <v>20</v>
      </c>
      <c r="I1264" t="s">
        <v>33</v>
      </c>
    </row>
    <row r="1265" spans="1:9" x14ac:dyDescent="0.3">
      <c r="A1265" t="str">
        <f t="shared" si="19"/>
        <v>CASE-1264</v>
      </c>
      <c r="B1265" s="1">
        <v>45681</v>
      </c>
      <c r="C1265" t="s">
        <v>9</v>
      </c>
      <c r="D1265">
        <v>4</v>
      </c>
      <c r="E1265" t="b">
        <v>1</v>
      </c>
      <c r="F1265" s="2">
        <v>3.4127968282339314</v>
      </c>
      <c r="G1265" t="b">
        <v>0</v>
      </c>
      <c r="H1265" t="s">
        <v>14</v>
      </c>
      <c r="I1265" t="s">
        <v>34</v>
      </c>
    </row>
    <row r="1266" spans="1:9" x14ac:dyDescent="0.3">
      <c r="A1266" t="str">
        <f t="shared" si="19"/>
        <v>CASE-1265</v>
      </c>
      <c r="B1266" s="1">
        <v>45562</v>
      </c>
      <c r="C1266" t="s">
        <v>11</v>
      </c>
      <c r="D1266">
        <v>4</v>
      </c>
      <c r="E1266" t="b">
        <v>0</v>
      </c>
      <c r="F1266" s="2">
        <v>24.121998983850208</v>
      </c>
      <c r="G1266" t="b">
        <v>1</v>
      </c>
      <c r="H1266" t="s">
        <v>24</v>
      </c>
      <c r="I1266" t="s">
        <v>33</v>
      </c>
    </row>
    <row r="1267" spans="1:9" x14ac:dyDescent="0.3">
      <c r="A1267" t="str">
        <f t="shared" si="19"/>
        <v>CASE-1266</v>
      </c>
      <c r="B1267" s="1">
        <v>45994</v>
      </c>
      <c r="C1267" t="s">
        <v>12</v>
      </c>
      <c r="D1267">
        <v>3</v>
      </c>
      <c r="E1267" t="b">
        <v>1</v>
      </c>
      <c r="F1267" s="2">
        <v>6.1103287217636639</v>
      </c>
      <c r="G1267" t="b">
        <v>0</v>
      </c>
      <c r="H1267" t="s">
        <v>17</v>
      </c>
      <c r="I1267" t="s">
        <v>34</v>
      </c>
    </row>
    <row r="1268" spans="1:9" x14ac:dyDescent="0.3">
      <c r="A1268" t="str">
        <f t="shared" si="19"/>
        <v>CASE-1267</v>
      </c>
      <c r="B1268" s="1">
        <v>45522</v>
      </c>
      <c r="C1268" t="s">
        <v>12</v>
      </c>
      <c r="D1268">
        <v>2</v>
      </c>
      <c r="E1268" t="b">
        <v>0</v>
      </c>
      <c r="F1268" s="2">
        <v>30.627164775222585</v>
      </c>
      <c r="G1268" t="b">
        <v>0</v>
      </c>
      <c r="H1268" t="s">
        <v>21</v>
      </c>
      <c r="I1268" t="s">
        <v>33</v>
      </c>
    </row>
    <row r="1269" spans="1:9" x14ac:dyDescent="0.3">
      <c r="A1269" t="str">
        <f t="shared" si="19"/>
        <v>CASE-1268</v>
      </c>
      <c r="B1269" s="1">
        <v>45700</v>
      </c>
      <c r="C1269" t="s">
        <v>9</v>
      </c>
      <c r="D1269">
        <v>3</v>
      </c>
      <c r="E1269" t="b">
        <v>0</v>
      </c>
      <c r="F1269" s="2">
        <v>6.8002665594090193</v>
      </c>
      <c r="G1269" t="b">
        <v>0</v>
      </c>
      <c r="H1269" t="s">
        <v>15</v>
      </c>
      <c r="I1269" t="s">
        <v>34</v>
      </c>
    </row>
    <row r="1270" spans="1:9" x14ac:dyDescent="0.3">
      <c r="A1270" t="str">
        <f t="shared" si="19"/>
        <v>CASE-1269</v>
      </c>
      <c r="B1270" s="1">
        <v>45873</v>
      </c>
      <c r="C1270" t="s">
        <v>12</v>
      </c>
      <c r="D1270">
        <v>5</v>
      </c>
      <c r="E1270" t="b">
        <v>0</v>
      </c>
      <c r="F1270" s="2">
        <v>7.4109826180985792</v>
      </c>
      <c r="G1270" t="b">
        <v>0</v>
      </c>
      <c r="H1270" t="s">
        <v>25</v>
      </c>
      <c r="I1270" t="s">
        <v>34</v>
      </c>
    </row>
    <row r="1271" spans="1:9" x14ac:dyDescent="0.3">
      <c r="A1271" t="str">
        <f t="shared" si="19"/>
        <v>CASE-1270</v>
      </c>
      <c r="B1271" s="1">
        <v>45847</v>
      </c>
      <c r="C1271" t="s">
        <v>12</v>
      </c>
      <c r="D1271">
        <v>1</v>
      </c>
      <c r="E1271" t="b">
        <v>1</v>
      </c>
      <c r="F1271" s="2">
        <v>6.6449961943940696</v>
      </c>
      <c r="G1271" t="b">
        <v>0</v>
      </c>
      <c r="H1271" t="s">
        <v>26</v>
      </c>
      <c r="I1271" t="s">
        <v>34</v>
      </c>
    </row>
    <row r="1272" spans="1:9" x14ac:dyDescent="0.3">
      <c r="A1272" t="str">
        <f t="shared" si="19"/>
        <v>CASE-1271</v>
      </c>
      <c r="B1272" s="1">
        <v>45808</v>
      </c>
      <c r="C1272" t="s">
        <v>10</v>
      </c>
      <c r="D1272">
        <v>1</v>
      </c>
      <c r="E1272" t="b">
        <v>1</v>
      </c>
      <c r="F1272" s="2">
        <v>7.406481678470497</v>
      </c>
      <c r="G1272" t="b">
        <v>0</v>
      </c>
      <c r="H1272" t="s">
        <v>18</v>
      </c>
      <c r="I1272" t="s">
        <v>34</v>
      </c>
    </row>
    <row r="1273" spans="1:9" x14ac:dyDescent="0.3">
      <c r="A1273" t="str">
        <f t="shared" si="19"/>
        <v>CASE-1272</v>
      </c>
      <c r="B1273" s="1">
        <v>45572</v>
      </c>
      <c r="C1273" t="s">
        <v>9</v>
      </c>
      <c r="D1273">
        <v>2</v>
      </c>
      <c r="E1273" t="b">
        <v>0</v>
      </c>
      <c r="F1273" s="2">
        <v>30.797106775821064</v>
      </c>
      <c r="G1273" t="b">
        <v>0</v>
      </c>
      <c r="H1273" t="s">
        <v>26</v>
      </c>
      <c r="I1273" t="s">
        <v>33</v>
      </c>
    </row>
    <row r="1274" spans="1:9" x14ac:dyDescent="0.3">
      <c r="A1274" t="str">
        <f t="shared" si="19"/>
        <v>CASE-1273</v>
      </c>
      <c r="B1274" s="1">
        <v>46021</v>
      </c>
      <c r="C1274" t="s">
        <v>9</v>
      </c>
      <c r="D1274">
        <v>3</v>
      </c>
      <c r="E1274" t="b">
        <v>1</v>
      </c>
      <c r="F1274" s="2">
        <v>7.0651876703230005</v>
      </c>
      <c r="G1274" t="b">
        <v>0</v>
      </c>
      <c r="H1274" t="s">
        <v>24</v>
      </c>
      <c r="I1274" t="s">
        <v>34</v>
      </c>
    </row>
    <row r="1275" spans="1:9" x14ac:dyDescent="0.3">
      <c r="A1275" t="str">
        <f t="shared" si="19"/>
        <v>CASE-1274</v>
      </c>
      <c r="B1275" s="1">
        <v>45647</v>
      </c>
      <c r="C1275" t="s">
        <v>10</v>
      </c>
      <c r="D1275">
        <v>3</v>
      </c>
      <c r="E1275" t="b">
        <v>0</v>
      </c>
      <c r="F1275" s="2">
        <v>23.366987925934431</v>
      </c>
      <c r="G1275" t="b">
        <v>0</v>
      </c>
      <c r="H1275" t="s">
        <v>25</v>
      </c>
      <c r="I1275" t="s">
        <v>33</v>
      </c>
    </row>
    <row r="1276" spans="1:9" x14ac:dyDescent="0.3">
      <c r="A1276" t="str">
        <f t="shared" si="19"/>
        <v>CASE-1275</v>
      </c>
      <c r="B1276" s="1">
        <v>45907</v>
      </c>
      <c r="C1276" t="s">
        <v>11</v>
      </c>
      <c r="D1276">
        <v>1</v>
      </c>
      <c r="E1276" t="b">
        <v>1</v>
      </c>
      <c r="F1276" s="2">
        <v>18.400409417589685</v>
      </c>
      <c r="G1276" t="b">
        <v>0</v>
      </c>
      <c r="H1276" t="s">
        <v>15</v>
      </c>
      <c r="I1276" t="s">
        <v>33</v>
      </c>
    </row>
    <row r="1277" spans="1:9" x14ac:dyDescent="0.3">
      <c r="A1277" t="str">
        <f t="shared" si="19"/>
        <v>CASE-1276</v>
      </c>
      <c r="B1277" s="1">
        <v>46007</v>
      </c>
      <c r="C1277" t="s">
        <v>9</v>
      </c>
      <c r="D1277">
        <v>2</v>
      </c>
      <c r="E1277" t="b">
        <v>1</v>
      </c>
      <c r="F1277" s="2">
        <v>8.7983980021635801</v>
      </c>
      <c r="G1277" t="b">
        <v>0</v>
      </c>
      <c r="H1277" t="s">
        <v>29</v>
      </c>
      <c r="I1277" t="s">
        <v>34</v>
      </c>
    </row>
    <row r="1278" spans="1:9" x14ac:dyDescent="0.3">
      <c r="A1278" t="str">
        <f t="shared" si="19"/>
        <v>CASE-1277</v>
      </c>
      <c r="B1278" s="1">
        <v>45936</v>
      </c>
      <c r="C1278" t="s">
        <v>10</v>
      </c>
      <c r="D1278">
        <v>4</v>
      </c>
      <c r="E1278" t="b">
        <v>1</v>
      </c>
      <c r="F1278" s="2">
        <v>8.8949556070760423</v>
      </c>
      <c r="G1278" t="b">
        <v>0</v>
      </c>
      <c r="H1278" t="s">
        <v>16</v>
      </c>
      <c r="I1278" t="s">
        <v>34</v>
      </c>
    </row>
    <row r="1279" spans="1:9" x14ac:dyDescent="0.3">
      <c r="A1279" t="str">
        <f t="shared" si="19"/>
        <v>CASE-1278</v>
      </c>
      <c r="B1279" s="1">
        <v>45866</v>
      </c>
      <c r="C1279" t="s">
        <v>9</v>
      </c>
      <c r="D1279">
        <v>1</v>
      </c>
      <c r="E1279" t="b">
        <v>1</v>
      </c>
      <c r="F1279" s="2">
        <v>16.945037650705448</v>
      </c>
      <c r="G1279" t="b">
        <v>0</v>
      </c>
      <c r="H1279" t="s">
        <v>21</v>
      </c>
      <c r="I1279" t="s">
        <v>33</v>
      </c>
    </row>
    <row r="1280" spans="1:9" x14ac:dyDescent="0.3">
      <c r="A1280" t="str">
        <f t="shared" si="19"/>
        <v>CASE-1279</v>
      </c>
      <c r="B1280" s="1">
        <v>45475</v>
      </c>
      <c r="C1280" t="s">
        <v>9</v>
      </c>
      <c r="D1280">
        <v>2</v>
      </c>
      <c r="E1280" t="b">
        <v>0</v>
      </c>
      <c r="F1280" s="2">
        <v>35.266726157528382</v>
      </c>
      <c r="G1280" t="b">
        <v>0</v>
      </c>
      <c r="H1280" t="s">
        <v>17</v>
      </c>
      <c r="I1280" t="s">
        <v>33</v>
      </c>
    </row>
    <row r="1281" spans="1:9" x14ac:dyDescent="0.3">
      <c r="A1281" t="str">
        <f t="shared" si="19"/>
        <v>CASE-1280</v>
      </c>
      <c r="B1281" s="1">
        <v>45810</v>
      </c>
      <c r="C1281" t="s">
        <v>12</v>
      </c>
      <c r="D1281">
        <v>1</v>
      </c>
      <c r="E1281" t="b">
        <v>0</v>
      </c>
      <c r="F1281" s="2">
        <v>3.1708886539962164</v>
      </c>
      <c r="G1281" t="b">
        <v>0</v>
      </c>
      <c r="H1281" t="s">
        <v>29</v>
      </c>
      <c r="I1281" t="s">
        <v>34</v>
      </c>
    </row>
    <row r="1282" spans="1:9" x14ac:dyDescent="0.3">
      <c r="A1282" t="str">
        <f t="shared" si="19"/>
        <v>CASE-1281</v>
      </c>
      <c r="B1282" s="1">
        <v>45873</v>
      </c>
      <c r="C1282" t="s">
        <v>11</v>
      </c>
      <c r="D1282">
        <v>4</v>
      </c>
      <c r="E1282" t="b">
        <v>1</v>
      </c>
      <c r="F1282" s="2">
        <v>7.8574641155763443</v>
      </c>
      <c r="G1282" t="b">
        <v>0</v>
      </c>
      <c r="H1282" t="s">
        <v>28</v>
      </c>
      <c r="I1282" t="s">
        <v>34</v>
      </c>
    </row>
    <row r="1283" spans="1:9" x14ac:dyDescent="0.3">
      <c r="A1283" t="str">
        <f t="shared" ref="A1283:A1346" si="20">"CASE-"&amp;TEXT(ROW()-1,"0000")</f>
        <v>CASE-1282</v>
      </c>
      <c r="B1283" s="1">
        <v>45781</v>
      </c>
      <c r="C1283" t="s">
        <v>9</v>
      </c>
      <c r="D1283">
        <v>1</v>
      </c>
      <c r="E1283" t="b">
        <v>1</v>
      </c>
      <c r="F1283" s="2">
        <v>6.35587012149833</v>
      </c>
      <c r="G1283" t="b">
        <v>0</v>
      </c>
      <c r="H1283" t="s">
        <v>28</v>
      </c>
      <c r="I1283" t="s">
        <v>34</v>
      </c>
    </row>
    <row r="1284" spans="1:9" x14ac:dyDescent="0.3">
      <c r="A1284" t="str">
        <f t="shared" si="20"/>
        <v>CASE-1283</v>
      </c>
      <c r="B1284" s="1">
        <v>45607</v>
      </c>
      <c r="C1284" t="s">
        <v>11</v>
      </c>
      <c r="D1284">
        <v>2</v>
      </c>
      <c r="E1284" t="b">
        <v>0</v>
      </c>
      <c r="F1284" s="2">
        <v>30.990551176336197</v>
      </c>
      <c r="G1284" t="b">
        <v>0</v>
      </c>
      <c r="H1284" t="s">
        <v>15</v>
      </c>
      <c r="I1284" t="s">
        <v>33</v>
      </c>
    </row>
    <row r="1285" spans="1:9" x14ac:dyDescent="0.3">
      <c r="A1285" t="str">
        <f t="shared" si="20"/>
        <v>CASE-1284</v>
      </c>
      <c r="B1285" s="1">
        <v>45485</v>
      </c>
      <c r="C1285" t="s">
        <v>11</v>
      </c>
      <c r="D1285">
        <v>4</v>
      </c>
      <c r="E1285" t="b">
        <v>0</v>
      </c>
      <c r="F1285" s="2">
        <v>35.378654023452725</v>
      </c>
      <c r="G1285" t="b">
        <v>0</v>
      </c>
      <c r="H1285" t="s">
        <v>22</v>
      </c>
      <c r="I1285" t="s">
        <v>33</v>
      </c>
    </row>
    <row r="1286" spans="1:9" x14ac:dyDescent="0.3">
      <c r="A1286" t="str">
        <f t="shared" si="20"/>
        <v>CASE-1285</v>
      </c>
      <c r="B1286" s="1">
        <v>45783</v>
      </c>
      <c r="C1286" t="s">
        <v>11</v>
      </c>
      <c r="D1286">
        <v>2</v>
      </c>
      <c r="E1286" t="b">
        <v>1</v>
      </c>
      <c r="F1286" s="2">
        <v>34.860778127379128</v>
      </c>
      <c r="G1286" t="b">
        <v>0</v>
      </c>
      <c r="H1286" t="s">
        <v>31</v>
      </c>
      <c r="I1286" t="s">
        <v>33</v>
      </c>
    </row>
    <row r="1287" spans="1:9" x14ac:dyDescent="0.3">
      <c r="A1287" t="str">
        <f t="shared" si="20"/>
        <v>CASE-1286</v>
      </c>
      <c r="B1287" s="1">
        <v>45822</v>
      </c>
      <c r="C1287" t="s">
        <v>9</v>
      </c>
      <c r="D1287">
        <v>1</v>
      </c>
      <c r="E1287" t="b">
        <v>1</v>
      </c>
      <c r="F1287" s="2">
        <v>9.8550165658992341</v>
      </c>
      <c r="G1287" t="b">
        <v>0</v>
      </c>
      <c r="H1287" t="s">
        <v>16</v>
      </c>
      <c r="I1287" t="s">
        <v>34</v>
      </c>
    </row>
    <row r="1288" spans="1:9" x14ac:dyDescent="0.3">
      <c r="A1288" t="str">
        <f t="shared" si="20"/>
        <v>CASE-1287</v>
      </c>
      <c r="B1288" s="1">
        <v>45631</v>
      </c>
      <c r="C1288" t="s">
        <v>12</v>
      </c>
      <c r="D1288">
        <v>5</v>
      </c>
      <c r="E1288" t="b">
        <v>0</v>
      </c>
      <c r="F1288" s="2">
        <v>29.219000090594292</v>
      </c>
      <c r="G1288" t="b">
        <v>0</v>
      </c>
      <c r="H1288" t="s">
        <v>30</v>
      </c>
      <c r="I1288" t="s">
        <v>33</v>
      </c>
    </row>
    <row r="1289" spans="1:9" x14ac:dyDescent="0.3">
      <c r="A1289" t="str">
        <f t="shared" si="20"/>
        <v>CASE-1288</v>
      </c>
      <c r="B1289" s="1">
        <v>45488</v>
      </c>
      <c r="C1289" t="s">
        <v>9</v>
      </c>
      <c r="D1289">
        <v>3</v>
      </c>
      <c r="E1289" t="b">
        <v>0</v>
      </c>
      <c r="F1289" s="2">
        <v>18.260939128523169</v>
      </c>
      <c r="G1289" t="b">
        <v>1</v>
      </c>
      <c r="H1289" t="s">
        <v>31</v>
      </c>
      <c r="I1289" t="s">
        <v>33</v>
      </c>
    </row>
    <row r="1290" spans="1:9" x14ac:dyDescent="0.3">
      <c r="A1290" t="str">
        <f t="shared" si="20"/>
        <v>CASE-1289</v>
      </c>
      <c r="B1290" s="1">
        <v>46007</v>
      </c>
      <c r="C1290" t="s">
        <v>12</v>
      </c>
      <c r="D1290">
        <v>3</v>
      </c>
      <c r="E1290" t="b">
        <v>1</v>
      </c>
      <c r="F1290" s="2">
        <v>6.6833780427897214</v>
      </c>
      <c r="G1290" t="b">
        <v>0</v>
      </c>
      <c r="H1290" t="s">
        <v>31</v>
      </c>
      <c r="I1290" t="s">
        <v>35</v>
      </c>
    </row>
    <row r="1291" spans="1:9" x14ac:dyDescent="0.3">
      <c r="A1291" t="str">
        <f t="shared" si="20"/>
        <v>CASE-1290</v>
      </c>
      <c r="B1291" s="1">
        <v>46160</v>
      </c>
      <c r="C1291" t="s">
        <v>12</v>
      </c>
      <c r="D1291">
        <v>1</v>
      </c>
      <c r="E1291" t="b">
        <v>0</v>
      </c>
      <c r="F1291" s="2">
        <v>4.847610515428932</v>
      </c>
      <c r="G1291" t="b">
        <v>0</v>
      </c>
      <c r="H1291" t="s">
        <v>29</v>
      </c>
      <c r="I1291" t="s">
        <v>34</v>
      </c>
    </row>
    <row r="1292" spans="1:9" x14ac:dyDescent="0.3">
      <c r="A1292" t="str">
        <f t="shared" si="20"/>
        <v>CASE-1291</v>
      </c>
      <c r="B1292" s="1">
        <v>45945</v>
      </c>
      <c r="C1292" t="s">
        <v>9</v>
      </c>
      <c r="D1292">
        <v>1</v>
      </c>
      <c r="E1292" t="b">
        <v>1</v>
      </c>
      <c r="F1292" s="2">
        <v>6.7970201602962561</v>
      </c>
      <c r="G1292" t="b">
        <v>0</v>
      </c>
      <c r="H1292" t="s">
        <v>15</v>
      </c>
      <c r="I1292" t="s">
        <v>34</v>
      </c>
    </row>
    <row r="1293" spans="1:9" x14ac:dyDescent="0.3">
      <c r="A1293" t="str">
        <f t="shared" si="20"/>
        <v>CASE-1292</v>
      </c>
      <c r="B1293" s="1">
        <v>45977</v>
      </c>
      <c r="C1293" t="s">
        <v>12</v>
      </c>
      <c r="D1293">
        <v>3</v>
      </c>
      <c r="E1293" t="b">
        <v>1</v>
      </c>
      <c r="F1293" s="2">
        <v>9.6350963739230515</v>
      </c>
      <c r="G1293" t="b">
        <v>0</v>
      </c>
      <c r="H1293" t="s">
        <v>26</v>
      </c>
      <c r="I1293" t="s">
        <v>34</v>
      </c>
    </row>
    <row r="1294" spans="1:9" x14ac:dyDescent="0.3">
      <c r="A1294" t="str">
        <f t="shared" si="20"/>
        <v>CASE-1293</v>
      </c>
      <c r="B1294" s="1">
        <v>46122</v>
      </c>
      <c r="C1294" t="s">
        <v>12</v>
      </c>
      <c r="D1294">
        <v>5</v>
      </c>
      <c r="E1294" t="b">
        <v>1</v>
      </c>
      <c r="F1294" s="2">
        <v>6.5655307855847065</v>
      </c>
      <c r="G1294" t="b">
        <v>0</v>
      </c>
      <c r="H1294" t="s">
        <v>17</v>
      </c>
      <c r="I1294" t="s">
        <v>34</v>
      </c>
    </row>
    <row r="1295" spans="1:9" x14ac:dyDescent="0.3">
      <c r="A1295" t="str">
        <f t="shared" si="20"/>
        <v>CASE-1294</v>
      </c>
      <c r="B1295" s="1">
        <v>45692</v>
      </c>
      <c r="C1295" t="s">
        <v>9</v>
      </c>
      <c r="D1295">
        <v>3</v>
      </c>
      <c r="E1295" t="b">
        <v>1</v>
      </c>
      <c r="F1295" s="2">
        <v>7.3021498359045065</v>
      </c>
      <c r="G1295" t="b">
        <v>0</v>
      </c>
      <c r="H1295" t="s">
        <v>28</v>
      </c>
      <c r="I1295" t="s">
        <v>35</v>
      </c>
    </row>
    <row r="1296" spans="1:9" x14ac:dyDescent="0.3">
      <c r="A1296" t="str">
        <f t="shared" si="20"/>
        <v>CASE-1295</v>
      </c>
      <c r="B1296" s="1">
        <v>45858</v>
      </c>
      <c r="C1296" t="s">
        <v>10</v>
      </c>
      <c r="D1296">
        <v>5</v>
      </c>
      <c r="E1296" t="b">
        <v>1</v>
      </c>
      <c r="F1296" s="2">
        <v>4.8081144843760892</v>
      </c>
      <c r="G1296" t="b">
        <v>0</v>
      </c>
      <c r="H1296" t="s">
        <v>13</v>
      </c>
      <c r="I1296" t="s">
        <v>34</v>
      </c>
    </row>
    <row r="1297" spans="1:9" x14ac:dyDescent="0.3">
      <c r="A1297" t="str">
        <f t="shared" si="20"/>
        <v>CASE-1296</v>
      </c>
      <c r="B1297" s="1">
        <v>45573</v>
      </c>
      <c r="C1297" t="s">
        <v>11</v>
      </c>
      <c r="D1297">
        <v>3</v>
      </c>
      <c r="E1297" t="b">
        <v>0</v>
      </c>
      <c r="F1297" s="2">
        <v>22.183558279359971</v>
      </c>
      <c r="G1297" t="b">
        <v>0</v>
      </c>
      <c r="H1297" t="s">
        <v>13</v>
      </c>
      <c r="I1297" t="s">
        <v>33</v>
      </c>
    </row>
    <row r="1298" spans="1:9" x14ac:dyDescent="0.3">
      <c r="A1298" t="str">
        <f t="shared" si="20"/>
        <v>CASE-1297</v>
      </c>
      <c r="B1298" s="1">
        <v>45705</v>
      </c>
      <c r="C1298" t="s">
        <v>12</v>
      </c>
      <c r="D1298">
        <v>1</v>
      </c>
      <c r="E1298" t="b">
        <v>1</v>
      </c>
      <c r="F1298" s="2">
        <v>20.177073913763277</v>
      </c>
      <c r="G1298" t="b">
        <v>0</v>
      </c>
      <c r="H1298" t="s">
        <v>23</v>
      </c>
      <c r="I1298" t="s">
        <v>33</v>
      </c>
    </row>
    <row r="1299" spans="1:9" x14ac:dyDescent="0.3">
      <c r="A1299" t="str">
        <f t="shared" si="20"/>
        <v>CASE-1298</v>
      </c>
      <c r="B1299" s="1">
        <v>45555</v>
      </c>
      <c r="C1299" t="s">
        <v>12</v>
      </c>
      <c r="D1299">
        <v>1</v>
      </c>
      <c r="E1299" t="b">
        <v>0</v>
      </c>
      <c r="F1299" s="2">
        <v>22.102715947814058</v>
      </c>
      <c r="G1299" t="b">
        <v>0</v>
      </c>
      <c r="H1299" t="s">
        <v>15</v>
      </c>
      <c r="I1299" t="s">
        <v>33</v>
      </c>
    </row>
    <row r="1300" spans="1:9" x14ac:dyDescent="0.3">
      <c r="A1300" t="str">
        <f t="shared" si="20"/>
        <v>CASE-1299</v>
      </c>
      <c r="B1300" s="1">
        <v>45549</v>
      </c>
      <c r="C1300" t="s">
        <v>10</v>
      </c>
      <c r="D1300">
        <v>2</v>
      </c>
      <c r="E1300" t="b">
        <v>0</v>
      </c>
      <c r="F1300" s="2">
        <v>21.979185098014213</v>
      </c>
      <c r="G1300" t="b">
        <v>0</v>
      </c>
      <c r="H1300" t="s">
        <v>24</v>
      </c>
      <c r="I1300" t="s">
        <v>33</v>
      </c>
    </row>
    <row r="1301" spans="1:9" x14ac:dyDescent="0.3">
      <c r="A1301" t="str">
        <f t="shared" si="20"/>
        <v>CASE-1300</v>
      </c>
      <c r="B1301" s="1">
        <v>45778</v>
      </c>
      <c r="C1301" t="s">
        <v>12</v>
      </c>
      <c r="D1301">
        <v>1</v>
      </c>
      <c r="E1301" t="b">
        <v>1</v>
      </c>
      <c r="F1301" s="2">
        <v>9.4214490763692176</v>
      </c>
      <c r="G1301" t="b">
        <v>0</v>
      </c>
      <c r="H1301" t="s">
        <v>28</v>
      </c>
      <c r="I1301" t="s">
        <v>34</v>
      </c>
    </row>
    <row r="1302" spans="1:9" x14ac:dyDescent="0.3">
      <c r="A1302" t="str">
        <f t="shared" si="20"/>
        <v>CASE-1301</v>
      </c>
      <c r="B1302" s="1">
        <v>45905</v>
      </c>
      <c r="C1302" t="s">
        <v>9</v>
      </c>
      <c r="D1302">
        <v>2</v>
      </c>
      <c r="E1302" t="b">
        <v>0</v>
      </c>
      <c r="F1302" s="2">
        <v>5.4400922200622315</v>
      </c>
      <c r="G1302" t="b">
        <v>0</v>
      </c>
      <c r="H1302" t="s">
        <v>13</v>
      </c>
      <c r="I1302" t="s">
        <v>34</v>
      </c>
    </row>
    <row r="1303" spans="1:9" x14ac:dyDescent="0.3">
      <c r="A1303" t="str">
        <f t="shared" si="20"/>
        <v>CASE-1302</v>
      </c>
      <c r="B1303" s="1">
        <v>45483</v>
      </c>
      <c r="C1303" t="s">
        <v>9</v>
      </c>
      <c r="D1303">
        <v>3</v>
      </c>
      <c r="E1303" t="b">
        <v>0</v>
      </c>
      <c r="F1303" s="2">
        <v>15.906775152227375</v>
      </c>
      <c r="G1303" t="b">
        <v>0</v>
      </c>
      <c r="H1303" t="s">
        <v>15</v>
      </c>
      <c r="I1303" t="s">
        <v>33</v>
      </c>
    </row>
    <row r="1304" spans="1:9" x14ac:dyDescent="0.3">
      <c r="A1304" t="str">
        <f t="shared" si="20"/>
        <v>CASE-1303</v>
      </c>
      <c r="B1304" s="1">
        <v>45938</v>
      </c>
      <c r="C1304" t="s">
        <v>10</v>
      </c>
      <c r="D1304">
        <v>1</v>
      </c>
      <c r="E1304" t="b">
        <v>1</v>
      </c>
      <c r="F1304" s="2">
        <v>7.349771871330157</v>
      </c>
      <c r="G1304" t="b">
        <v>0</v>
      </c>
      <c r="H1304" t="s">
        <v>28</v>
      </c>
      <c r="I1304" t="s">
        <v>34</v>
      </c>
    </row>
    <row r="1305" spans="1:9" x14ac:dyDescent="0.3">
      <c r="A1305" t="str">
        <f t="shared" si="20"/>
        <v>CASE-1304</v>
      </c>
      <c r="B1305" s="1">
        <v>46188</v>
      </c>
      <c r="C1305" t="s">
        <v>11</v>
      </c>
      <c r="D1305">
        <v>3</v>
      </c>
      <c r="E1305" t="b">
        <v>1</v>
      </c>
      <c r="F1305" s="2">
        <v>4.61011069022019</v>
      </c>
      <c r="G1305" t="b">
        <v>0</v>
      </c>
      <c r="H1305" t="s">
        <v>23</v>
      </c>
      <c r="I1305" t="s">
        <v>34</v>
      </c>
    </row>
    <row r="1306" spans="1:9" x14ac:dyDescent="0.3">
      <c r="A1306" t="str">
        <f t="shared" si="20"/>
        <v>CASE-1305</v>
      </c>
      <c r="B1306" s="1">
        <v>45714</v>
      </c>
      <c r="C1306" t="s">
        <v>9</v>
      </c>
      <c r="D1306">
        <v>4</v>
      </c>
      <c r="E1306" t="b">
        <v>1</v>
      </c>
      <c r="F1306" s="2">
        <v>32.801332888156026</v>
      </c>
      <c r="G1306" t="b">
        <v>0</v>
      </c>
      <c r="H1306" t="s">
        <v>14</v>
      </c>
      <c r="I1306" t="s">
        <v>33</v>
      </c>
    </row>
    <row r="1307" spans="1:9" x14ac:dyDescent="0.3">
      <c r="A1307" t="str">
        <f t="shared" si="20"/>
        <v>CASE-1306</v>
      </c>
      <c r="B1307" s="1">
        <v>45559</v>
      </c>
      <c r="C1307" t="s">
        <v>10</v>
      </c>
      <c r="D1307">
        <v>4</v>
      </c>
      <c r="E1307" t="b">
        <v>0</v>
      </c>
      <c r="F1307" s="2">
        <v>1.4658128243881876</v>
      </c>
      <c r="G1307" t="b">
        <v>0</v>
      </c>
      <c r="H1307" t="s">
        <v>14</v>
      </c>
      <c r="I1307" t="s">
        <v>33</v>
      </c>
    </row>
    <row r="1308" spans="1:9" x14ac:dyDescent="0.3">
      <c r="A1308" t="str">
        <f t="shared" si="20"/>
        <v>CASE-1307</v>
      </c>
      <c r="B1308" s="1">
        <v>45582</v>
      </c>
      <c r="C1308" t="s">
        <v>9</v>
      </c>
      <c r="D1308">
        <v>3</v>
      </c>
      <c r="E1308" t="b">
        <v>0</v>
      </c>
      <c r="F1308" s="2">
        <v>8.6830196289866297</v>
      </c>
      <c r="G1308" t="b">
        <v>0</v>
      </c>
      <c r="H1308" t="s">
        <v>29</v>
      </c>
      <c r="I1308" t="s">
        <v>33</v>
      </c>
    </row>
    <row r="1309" spans="1:9" x14ac:dyDescent="0.3">
      <c r="A1309" t="str">
        <f t="shared" si="20"/>
        <v>CASE-1308</v>
      </c>
      <c r="B1309" s="1">
        <v>45694</v>
      </c>
      <c r="C1309" t="s">
        <v>9</v>
      </c>
      <c r="D1309">
        <v>4</v>
      </c>
      <c r="E1309" t="b">
        <v>1</v>
      </c>
      <c r="F1309" s="2">
        <v>12.011758938363576</v>
      </c>
      <c r="G1309" t="b">
        <v>0</v>
      </c>
      <c r="H1309" t="s">
        <v>21</v>
      </c>
      <c r="I1309" t="s">
        <v>33</v>
      </c>
    </row>
    <row r="1310" spans="1:9" x14ac:dyDescent="0.3">
      <c r="A1310" t="str">
        <f t="shared" si="20"/>
        <v>CASE-1309</v>
      </c>
      <c r="B1310" s="1">
        <v>45661</v>
      </c>
      <c r="C1310" t="s">
        <v>9</v>
      </c>
      <c r="D1310">
        <v>2</v>
      </c>
      <c r="E1310" t="b">
        <v>1</v>
      </c>
      <c r="F1310" s="2">
        <v>6.1613978050151346</v>
      </c>
      <c r="G1310" t="b">
        <v>0</v>
      </c>
      <c r="H1310" t="s">
        <v>18</v>
      </c>
      <c r="I1310" t="s">
        <v>34</v>
      </c>
    </row>
    <row r="1311" spans="1:9" x14ac:dyDescent="0.3">
      <c r="A1311" t="str">
        <f t="shared" si="20"/>
        <v>CASE-1310</v>
      </c>
      <c r="B1311" s="1">
        <v>46107</v>
      </c>
      <c r="C1311" t="s">
        <v>11</v>
      </c>
      <c r="D1311">
        <v>3</v>
      </c>
      <c r="E1311" t="b">
        <v>1</v>
      </c>
      <c r="F1311" s="2">
        <v>5.94571535700128</v>
      </c>
      <c r="G1311" t="b">
        <v>0</v>
      </c>
      <c r="H1311" t="s">
        <v>13</v>
      </c>
      <c r="I1311" t="s">
        <v>34</v>
      </c>
    </row>
    <row r="1312" spans="1:9" x14ac:dyDescent="0.3">
      <c r="A1312" t="str">
        <f t="shared" si="20"/>
        <v>CASE-1311</v>
      </c>
      <c r="B1312" s="1">
        <v>45511</v>
      </c>
      <c r="C1312" t="s">
        <v>12</v>
      </c>
      <c r="D1312">
        <v>2</v>
      </c>
      <c r="E1312" t="b">
        <v>0</v>
      </c>
      <c r="F1312" s="2">
        <v>30.731345098446859</v>
      </c>
      <c r="G1312" t="b">
        <v>0</v>
      </c>
      <c r="H1312" t="s">
        <v>23</v>
      </c>
      <c r="I1312" t="s">
        <v>33</v>
      </c>
    </row>
    <row r="1313" spans="1:9" x14ac:dyDescent="0.3">
      <c r="A1313" t="str">
        <f t="shared" si="20"/>
        <v>CASE-1312</v>
      </c>
      <c r="B1313" s="1">
        <v>45907</v>
      </c>
      <c r="C1313" t="s">
        <v>9</v>
      </c>
      <c r="D1313">
        <v>1</v>
      </c>
      <c r="E1313" t="b">
        <v>1</v>
      </c>
      <c r="F1313" s="2">
        <v>4.2982760467643706</v>
      </c>
      <c r="G1313" t="b">
        <v>0</v>
      </c>
      <c r="H1313" t="s">
        <v>20</v>
      </c>
      <c r="I1313" t="s">
        <v>34</v>
      </c>
    </row>
    <row r="1314" spans="1:9" x14ac:dyDescent="0.3">
      <c r="A1314" t="str">
        <f t="shared" si="20"/>
        <v>CASE-1313</v>
      </c>
      <c r="B1314" s="1">
        <v>45779</v>
      </c>
      <c r="C1314" t="s">
        <v>11</v>
      </c>
      <c r="D1314">
        <v>5</v>
      </c>
      <c r="E1314" t="b">
        <v>0</v>
      </c>
      <c r="F1314" s="2">
        <v>3.7436983619025996</v>
      </c>
      <c r="G1314" t="b">
        <v>0</v>
      </c>
      <c r="H1314" t="s">
        <v>13</v>
      </c>
      <c r="I1314" t="s">
        <v>34</v>
      </c>
    </row>
    <row r="1315" spans="1:9" x14ac:dyDescent="0.3">
      <c r="A1315" t="str">
        <f t="shared" si="20"/>
        <v>CASE-1314</v>
      </c>
      <c r="B1315" s="1">
        <v>45811</v>
      </c>
      <c r="C1315" t="s">
        <v>12</v>
      </c>
      <c r="D1315">
        <v>3</v>
      </c>
      <c r="E1315" t="b">
        <v>1</v>
      </c>
      <c r="F1315" s="2">
        <v>35.154471596471147</v>
      </c>
      <c r="G1315" t="b">
        <v>0</v>
      </c>
      <c r="H1315" t="s">
        <v>27</v>
      </c>
      <c r="I1315" t="s">
        <v>33</v>
      </c>
    </row>
    <row r="1316" spans="1:9" x14ac:dyDescent="0.3">
      <c r="A1316" t="str">
        <f t="shared" si="20"/>
        <v>CASE-1315</v>
      </c>
      <c r="B1316" s="1">
        <v>45807</v>
      </c>
      <c r="C1316" t="s">
        <v>12</v>
      </c>
      <c r="D1316">
        <v>3</v>
      </c>
      <c r="E1316" t="b">
        <v>1</v>
      </c>
      <c r="F1316" s="2">
        <v>4.1423120938146232</v>
      </c>
      <c r="G1316" t="b">
        <v>0</v>
      </c>
      <c r="H1316" t="s">
        <v>29</v>
      </c>
      <c r="I1316" t="s">
        <v>34</v>
      </c>
    </row>
    <row r="1317" spans="1:9" x14ac:dyDescent="0.3">
      <c r="A1317" t="str">
        <f t="shared" si="20"/>
        <v>CASE-1316</v>
      </c>
      <c r="B1317" s="1">
        <v>45618</v>
      </c>
      <c r="C1317" t="s">
        <v>9</v>
      </c>
      <c r="D1317">
        <v>1</v>
      </c>
      <c r="E1317" t="b">
        <v>0</v>
      </c>
      <c r="F1317" s="2">
        <v>8.6123100161671946</v>
      </c>
      <c r="G1317" t="b">
        <v>0</v>
      </c>
      <c r="H1317" t="s">
        <v>22</v>
      </c>
      <c r="I1317" t="s">
        <v>33</v>
      </c>
    </row>
    <row r="1318" spans="1:9" x14ac:dyDescent="0.3">
      <c r="A1318" t="str">
        <f t="shared" si="20"/>
        <v>CASE-1317</v>
      </c>
      <c r="B1318" s="1">
        <v>45537</v>
      </c>
      <c r="C1318" t="s">
        <v>9</v>
      </c>
      <c r="D1318">
        <v>1</v>
      </c>
      <c r="E1318" t="b">
        <v>0</v>
      </c>
      <c r="F1318" s="2">
        <v>33.316194263492804</v>
      </c>
      <c r="G1318" t="b">
        <v>0</v>
      </c>
      <c r="H1318" t="s">
        <v>31</v>
      </c>
      <c r="I1318" t="s">
        <v>33</v>
      </c>
    </row>
    <row r="1319" spans="1:9" x14ac:dyDescent="0.3">
      <c r="A1319" t="str">
        <f t="shared" si="20"/>
        <v>CASE-1318</v>
      </c>
      <c r="B1319" s="1">
        <v>45860</v>
      </c>
      <c r="C1319" t="s">
        <v>12</v>
      </c>
      <c r="D1319">
        <v>5</v>
      </c>
      <c r="E1319" t="b">
        <v>0</v>
      </c>
      <c r="F1319" s="2">
        <v>5.5291359550825749</v>
      </c>
      <c r="G1319" t="b">
        <v>0</v>
      </c>
      <c r="H1319" t="s">
        <v>19</v>
      </c>
      <c r="I1319" t="s">
        <v>34</v>
      </c>
    </row>
    <row r="1320" spans="1:9" x14ac:dyDescent="0.3">
      <c r="A1320" t="str">
        <f t="shared" si="20"/>
        <v>CASE-1319</v>
      </c>
      <c r="B1320" s="1">
        <v>45785</v>
      </c>
      <c r="C1320" t="s">
        <v>11</v>
      </c>
      <c r="D1320">
        <v>3</v>
      </c>
      <c r="E1320" t="b">
        <v>1</v>
      </c>
      <c r="F1320" s="2">
        <v>5.2361374541085404</v>
      </c>
      <c r="G1320" t="b">
        <v>0</v>
      </c>
      <c r="H1320" t="s">
        <v>28</v>
      </c>
      <c r="I1320" t="s">
        <v>34</v>
      </c>
    </row>
    <row r="1321" spans="1:9" x14ac:dyDescent="0.3">
      <c r="A1321" t="str">
        <f t="shared" si="20"/>
        <v>CASE-1320</v>
      </c>
      <c r="B1321" s="1">
        <v>45958</v>
      </c>
      <c r="C1321" t="s">
        <v>9</v>
      </c>
      <c r="D1321">
        <v>4</v>
      </c>
      <c r="E1321" t="b">
        <v>1</v>
      </c>
      <c r="F1321" s="2">
        <v>5.169276367868874</v>
      </c>
      <c r="G1321" t="b">
        <v>0</v>
      </c>
      <c r="H1321" t="s">
        <v>29</v>
      </c>
      <c r="I1321" t="s">
        <v>34</v>
      </c>
    </row>
    <row r="1322" spans="1:9" x14ac:dyDescent="0.3">
      <c r="A1322" t="str">
        <f t="shared" si="20"/>
        <v>CASE-1321</v>
      </c>
      <c r="B1322" s="1">
        <v>46115</v>
      </c>
      <c r="C1322" t="s">
        <v>10</v>
      </c>
      <c r="D1322">
        <v>5</v>
      </c>
      <c r="E1322" t="b">
        <v>1</v>
      </c>
      <c r="F1322" s="2">
        <v>44.540115408198616</v>
      </c>
      <c r="G1322" t="b">
        <v>0</v>
      </c>
      <c r="H1322" t="s">
        <v>31</v>
      </c>
      <c r="I1322" t="s">
        <v>33</v>
      </c>
    </row>
    <row r="1323" spans="1:9" x14ac:dyDescent="0.3">
      <c r="A1323" t="str">
        <f t="shared" si="20"/>
        <v>CASE-1322</v>
      </c>
      <c r="B1323" s="1">
        <v>45877</v>
      </c>
      <c r="C1323" t="s">
        <v>12</v>
      </c>
      <c r="D1323">
        <v>2</v>
      </c>
      <c r="E1323" t="b">
        <v>1</v>
      </c>
      <c r="F1323" s="2">
        <v>9.6650533124005715</v>
      </c>
      <c r="G1323" t="b">
        <v>0</v>
      </c>
      <c r="H1323" t="s">
        <v>30</v>
      </c>
      <c r="I1323" t="s">
        <v>35</v>
      </c>
    </row>
    <row r="1324" spans="1:9" x14ac:dyDescent="0.3">
      <c r="A1324" t="str">
        <f t="shared" si="20"/>
        <v>CASE-1323</v>
      </c>
      <c r="B1324" s="1">
        <v>45946</v>
      </c>
      <c r="C1324" t="s">
        <v>9</v>
      </c>
      <c r="D1324">
        <v>1</v>
      </c>
      <c r="E1324" t="b">
        <v>1</v>
      </c>
      <c r="F1324" s="2">
        <v>6.4743472192744944</v>
      </c>
      <c r="G1324" t="b">
        <v>0</v>
      </c>
      <c r="H1324" t="s">
        <v>28</v>
      </c>
      <c r="I1324" t="s">
        <v>34</v>
      </c>
    </row>
    <row r="1325" spans="1:9" x14ac:dyDescent="0.3">
      <c r="A1325" t="str">
        <f t="shared" si="20"/>
        <v>CASE-1324</v>
      </c>
      <c r="B1325" s="1">
        <v>46133</v>
      </c>
      <c r="C1325" t="s">
        <v>11</v>
      </c>
      <c r="D1325">
        <v>4</v>
      </c>
      <c r="E1325" t="b">
        <v>1</v>
      </c>
      <c r="F1325" s="2">
        <v>3.3336713567768639</v>
      </c>
      <c r="G1325" t="b">
        <v>0</v>
      </c>
      <c r="H1325" t="s">
        <v>15</v>
      </c>
      <c r="I1325" t="s">
        <v>34</v>
      </c>
    </row>
    <row r="1326" spans="1:9" x14ac:dyDescent="0.3">
      <c r="A1326" t="str">
        <f t="shared" si="20"/>
        <v>CASE-1325</v>
      </c>
      <c r="B1326" s="1">
        <v>45822</v>
      </c>
      <c r="C1326" t="s">
        <v>12</v>
      </c>
      <c r="D1326">
        <v>3</v>
      </c>
      <c r="E1326" t="b">
        <v>1</v>
      </c>
      <c r="F1326" s="2">
        <v>10.032262019188558</v>
      </c>
      <c r="G1326" t="b">
        <v>0</v>
      </c>
      <c r="H1326" t="s">
        <v>26</v>
      </c>
      <c r="I1326" t="s">
        <v>34</v>
      </c>
    </row>
    <row r="1327" spans="1:9" x14ac:dyDescent="0.3">
      <c r="A1327" t="str">
        <f t="shared" si="20"/>
        <v>CASE-1326</v>
      </c>
      <c r="B1327" s="1">
        <v>45772</v>
      </c>
      <c r="C1327" t="s">
        <v>10</v>
      </c>
      <c r="D1327">
        <v>1</v>
      </c>
      <c r="E1327" t="b">
        <v>1</v>
      </c>
      <c r="F1327" s="2">
        <v>2.3835549093321986</v>
      </c>
      <c r="G1327" t="b">
        <v>0</v>
      </c>
      <c r="H1327" t="s">
        <v>29</v>
      </c>
      <c r="I1327" t="s">
        <v>34</v>
      </c>
    </row>
    <row r="1328" spans="1:9" x14ac:dyDescent="0.3">
      <c r="A1328" t="str">
        <f t="shared" si="20"/>
        <v>CASE-1327</v>
      </c>
      <c r="B1328" s="1">
        <v>46031</v>
      </c>
      <c r="C1328" t="s">
        <v>10</v>
      </c>
      <c r="D1328">
        <v>1</v>
      </c>
      <c r="E1328" t="b">
        <v>1</v>
      </c>
      <c r="F1328" s="2">
        <v>7.0534020534090525</v>
      </c>
      <c r="G1328" t="b">
        <v>0</v>
      </c>
      <c r="H1328" t="s">
        <v>21</v>
      </c>
      <c r="I1328" t="s">
        <v>34</v>
      </c>
    </row>
    <row r="1329" spans="1:9" x14ac:dyDescent="0.3">
      <c r="A1329" t="str">
        <f t="shared" si="20"/>
        <v>CASE-1328</v>
      </c>
      <c r="B1329" s="1">
        <v>46043</v>
      </c>
      <c r="C1329" t="s">
        <v>11</v>
      </c>
      <c r="D1329">
        <v>3</v>
      </c>
      <c r="E1329" t="b">
        <v>1</v>
      </c>
      <c r="F1329" s="2">
        <v>6.758875542724307</v>
      </c>
      <c r="G1329" t="b">
        <v>0</v>
      </c>
      <c r="H1329" t="s">
        <v>14</v>
      </c>
      <c r="I1329" t="s">
        <v>34</v>
      </c>
    </row>
    <row r="1330" spans="1:9" x14ac:dyDescent="0.3">
      <c r="A1330" t="str">
        <f t="shared" si="20"/>
        <v>CASE-1329</v>
      </c>
      <c r="B1330" s="1">
        <v>45692</v>
      </c>
      <c r="C1330" t="s">
        <v>10</v>
      </c>
      <c r="D1330">
        <v>3</v>
      </c>
      <c r="E1330" t="b">
        <v>1</v>
      </c>
      <c r="F1330" s="2">
        <v>5.6218723379942803</v>
      </c>
      <c r="G1330" t="b">
        <v>0</v>
      </c>
      <c r="H1330" t="s">
        <v>14</v>
      </c>
      <c r="I1330" t="s">
        <v>34</v>
      </c>
    </row>
    <row r="1331" spans="1:9" x14ac:dyDescent="0.3">
      <c r="A1331" t="str">
        <f t="shared" si="20"/>
        <v>CASE-1330</v>
      </c>
      <c r="B1331" s="1">
        <v>46075</v>
      </c>
      <c r="C1331" t="s">
        <v>11</v>
      </c>
      <c r="D1331">
        <v>4</v>
      </c>
      <c r="E1331" t="b">
        <v>1</v>
      </c>
      <c r="F1331" s="2">
        <v>7.8440354863944535</v>
      </c>
      <c r="G1331" t="b">
        <v>0</v>
      </c>
      <c r="H1331" t="s">
        <v>17</v>
      </c>
      <c r="I1331" t="s">
        <v>35</v>
      </c>
    </row>
    <row r="1332" spans="1:9" x14ac:dyDescent="0.3">
      <c r="A1332" t="str">
        <f t="shared" si="20"/>
        <v>CASE-1331</v>
      </c>
      <c r="B1332" s="1">
        <v>45500</v>
      </c>
      <c r="C1332" t="s">
        <v>10</v>
      </c>
      <c r="D1332">
        <v>5</v>
      </c>
      <c r="E1332" t="b">
        <v>0</v>
      </c>
      <c r="F1332" s="2">
        <v>30.594502504427332</v>
      </c>
      <c r="G1332" t="b">
        <v>0</v>
      </c>
      <c r="H1332" t="s">
        <v>31</v>
      </c>
      <c r="I1332" t="s">
        <v>33</v>
      </c>
    </row>
    <row r="1333" spans="1:9" x14ac:dyDescent="0.3">
      <c r="A1333" t="str">
        <f t="shared" si="20"/>
        <v>CASE-1332</v>
      </c>
      <c r="B1333" s="1">
        <v>45988</v>
      </c>
      <c r="C1333" t="s">
        <v>11</v>
      </c>
      <c r="D1333">
        <v>3</v>
      </c>
      <c r="E1333" t="b">
        <v>1</v>
      </c>
      <c r="F1333" s="2">
        <v>7.8459807005872042</v>
      </c>
      <c r="G1333" t="b">
        <v>0</v>
      </c>
      <c r="H1333" t="s">
        <v>30</v>
      </c>
      <c r="I1333" t="s">
        <v>35</v>
      </c>
    </row>
    <row r="1334" spans="1:9" x14ac:dyDescent="0.3">
      <c r="A1334" t="str">
        <f t="shared" si="20"/>
        <v>CASE-1333</v>
      </c>
      <c r="B1334" s="1">
        <v>45952</v>
      </c>
      <c r="C1334" t="s">
        <v>10</v>
      </c>
      <c r="D1334">
        <v>3</v>
      </c>
      <c r="E1334" t="b">
        <v>1</v>
      </c>
      <c r="F1334" s="2">
        <v>6.0691576914768648</v>
      </c>
      <c r="G1334" t="b">
        <v>0</v>
      </c>
      <c r="H1334" t="s">
        <v>31</v>
      </c>
      <c r="I1334" t="s">
        <v>34</v>
      </c>
    </row>
    <row r="1335" spans="1:9" x14ac:dyDescent="0.3">
      <c r="A1335" t="str">
        <f t="shared" si="20"/>
        <v>CASE-1334</v>
      </c>
      <c r="B1335" s="1">
        <v>45779</v>
      </c>
      <c r="C1335" t="s">
        <v>9</v>
      </c>
      <c r="D1335">
        <v>2</v>
      </c>
      <c r="E1335" t="b">
        <v>1</v>
      </c>
      <c r="F1335" s="2">
        <v>25.202638937936403</v>
      </c>
      <c r="G1335" t="b">
        <v>0</v>
      </c>
      <c r="H1335" t="s">
        <v>26</v>
      </c>
      <c r="I1335" t="s">
        <v>33</v>
      </c>
    </row>
    <row r="1336" spans="1:9" x14ac:dyDescent="0.3">
      <c r="A1336" t="str">
        <f t="shared" si="20"/>
        <v>CASE-1335</v>
      </c>
      <c r="B1336" s="1">
        <v>45959</v>
      </c>
      <c r="C1336" t="s">
        <v>9</v>
      </c>
      <c r="D1336">
        <v>4</v>
      </c>
      <c r="E1336" t="b">
        <v>1</v>
      </c>
      <c r="F1336" s="2">
        <v>8.4374903973674567</v>
      </c>
      <c r="G1336" t="b">
        <v>0</v>
      </c>
      <c r="H1336" t="s">
        <v>28</v>
      </c>
      <c r="I1336" t="s">
        <v>33</v>
      </c>
    </row>
    <row r="1337" spans="1:9" x14ac:dyDescent="0.3">
      <c r="A1337" t="str">
        <f t="shared" si="20"/>
        <v>CASE-1336</v>
      </c>
      <c r="B1337" s="1">
        <v>45507</v>
      </c>
      <c r="C1337" t="s">
        <v>11</v>
      </c>
      <c r="D1337">
        <v>2</v>
      </c>
      <c r="E1337" t="b">
        <v>0</v>
      </c>
      <c r="F1337" s="2">
        <v>28.652519029862283</v>
      </c>
      <c r="G1337" t="b">
        <v>0</v>
      </c>
      <c r="H1337" t="s">
        <v>13</v>
      </c>
      <c r="I1337" t="s">
        <v>33</v>
      </c>
    </row>
    <row r="1338" spans="1:9" x14ac:dyDescent="0.3">
      <c r="A1338" t="str">
        <f t="shared" si="20"/>
        <v>CASE-1337</v>
      </c>
      <c r="B1338" s="1">
        <v>45524</v>
      </c>
      <c r="C1338" t="s">
        <v>10</v>
      </c>
      <c r="D1338">
        <v>5</v>
      </c>
      <c r="E1338" t="b">
        <v>0</v>
      </c>
      <c r="F1338" s="2">
        <v>20.648586865077906</v>
      </c>
      <c r="G1338" t="b">
        <v>0</v>
      </c>
      <c r="H1338" t="s">
        <v>30</v>
      </c>
      <c r="I1338" t="s">
        <v>33</v>
      </c>
    </row>
    <row r="1339" spans="1:9" x14ac:dyDescent="0.3">
      <c r="A1339" t="str">
        <f t="shared" si="20"/>
        <v>CASE-1338</v>
      </c>
      <c r="B1339" s="1">
        <v>45739</v>
      </c>
      <c r="C1339" t="s">
        <v>9</v>
      </c>
      <c r="D1339">
        <v>1</v>
      </c>
      <c r="E1339" t="b">
        <v>0</v>
      </c>
      <c r="F1339" s="2">
        <v>18.986101795665238</v>
      </c>
      <c r="G1339" t="b">
        <v>0</v>
      </c>
      <c r="H1339" t="s">
        <v>17</v>
      </c>
      <c r="I1339" t="s">
        <v>33</v>
      </c>
    </row>
    <row r="1340" spans="1:9" x14ac:dyDescent="0.3">
      <c r="A1340" t="str">
        <f t="shared" si="20"/>
        <v>CASE-1339</v>
      </c>
      <c r="B1340" s="1">
        <v>45743</v>
      </c>
      <c r="C1340" t="s">
        <v>12</v>
      </c>
      <c r="D1340">
        <v>1</v>
      </c>
      <c r="E1340" t="b">
        <v>1</v>
      </c>
      <c r="F1340" s="2">
        <v>28.802569785455248</v>
      </c>
      <c r="G1340" t="b">
        <v>0</v>
      </c>
      <c r="H1340" t="s">
        <v>24</v>
      </c>
      <c r="I1340" t="s">
        <v>33</v>
      </c>
    </row>
    <row r="1341" spans="1:9" x14ac:dyDescent="0.3">
      <c r="A1341" t="str">
        <f t="shared" si="20"/>
        <v>CASE-1340</v>
      </c>
      <c r="B1341" s="1">
        <v>45889</v>
      </c>
      <c r="C1341" t="s">
        <v>9</v>
      </c>
      <c r="D1341">
        <v>1</v>
      </c>
      <c r="E1341" t="b">
        <v>1</v>
      </c>
      <c r="F1341" s="2">
        <v>9.1087972269332855</v>
      </c>
      <c r="G1341" t="b">
        <v>0</v>
      </c>
      <c r="H1341" t="s">
        <v>20</v>
      </c>
      <c r="I1341" t="s">
        <v>34</v>
      </c>
    </row>
    <row r="1342" spans="1:9" x14ac:dyDescent="0.3">
      <c r="A1342" t="str">
        <f t="shared" si="20"/>
        <v>CASE-1341</v>
      </c>
      <c r="B1342" s="1">
        <v>45526</v>
      </c>
      <c r="C1342" t="s">
        <v>9</v>
      </c>
      <c r="D1342">
        <v>3</v>
      </c>
      <c r="E1342" t="b">
        <v>0</v>
      </c>
      <c r="F1342" s="2">
        <v>36.429221516816355</v>
      </c>
      <c r="G1342" t="b">
        <v>0</v>
      </c>
      <c r="H1342" t="s">
        <v>15</v>
      </c>
      <c r="I1342" t="s">
        <v>33</v>
      </c>
    </row>
    <row r="1343" spans="1:9" x14ac:dyDescent="0.3">
      <c r="A1343" t="str">
        <f t="shared" si="20"/>
        <v>CASE-1342</v>
      </c>
      <c r="B1343" s="1">
        <v>45780</v>
      </c>
      <c r="C1343" t="s">
        <v>12</v>
      </c>
      <c r="D1343">
        <v>1</v>
      </c>
      <c r="E1343" t="b">
        <v>1</v>
      </c>
      <c r="F1343" s="2">
        <v>8.5170236793067211</v>
      </c>
      <c r="G1343" t="b">
        <v>0</v>
      </c>
      <c r="H1343" t="s">
        <v>30</v>
      </c>
      <c r="I1343" t="s">
        <v>34</v>
      </c>
    </row>
    <row r="1344" spans="1:9" x14ac:dyDescent="0.3">
      <c r="A1344" t="str">
        <f t="shared" si="20"/>
        <v>CASE-1343</v>
      </c>
      <c r="B1344" s="1">
        <v>45802</v>
      </c>
      <c r="C1344" t="s">
        <v>11</v>
      </c>
      <c r="D1344">
        <v>3</v>
      </c>
      <c r="E1344" t="b">
        <v>1</v>
      </c>
      <c r="F1344" s="2">
        <v>18.444305593165005</v>
      </c>
      <c r="G1344" t="b">
        <v>0</v>
      </c>
      <c r="H1344" t="s">
        <v>13</v>
      </c>
      <c r="I1344" t="s">
        <v>33</v>
      </c>
    </row>
    <row r="1345" spans="1:9" x14ac:dyDescent="0.3">
      <c r="A1345" t="str">
        <f t="shared" si="20"/>
        <v>CASE-1344</v>
      </c>
      <c r="B1345" s="1">
        <v>45680</v>
      </c>
      <c r="C1345" t="s">
        <v>9</v>
      </c>
      <c r="D1345">
        <v>4</v>
      </c>
      <c r="E1345" t="b">
        <v>1</v>
      </c>
      <c r="F1345" s="2">
        <v>5.0739276454943028</v>
      </c>
      <c r="G1345" t="b">
        <v>0</v>
      </c>
      <c r="H1345" t="s">
        <v>20</v>
      </c>
      <c r="I1345" t="s">
        <v>34</v>
      </c>
    </row>
    <row r="1346" spans="1:9" x14ac:dyDescent="0.3">
      <c r="A1346" t="str">
        <f t="shared" si="20"/>
        <v>CASE-1345</v>
      </c>
      <c r="B1346" s="1">
        <v>45744</v>
      </c>
      <c r="C1346" t="s">
        <v>12</v>
      </c>
      <c r="D1346">
        <v>2</v>
      </c>
      <c r="E1346" t="b">
        <v>0</v>
      </c>
      <c r="F1346" s="2">
        <v>8.357454327600168</v>
      </c>
      <c r="G1346" t="b">
        <v>0</v>
      </c>
      <c r="H1346" t="s">
        <v>20</v>
      </c>
      <c r="I1346" t="s">
        <v>34</v>
      </c>
    </row>
    <row r="1347" spans="1:9" x14ac:dyDescent="0.3">
      <c r="A1347" t="str">
        <f t="shared" ref="A1347:A1410" si="21">"CASE-"&amp;TEXT(ROW()-1,"0000")</f>
        <v>CASE-1346</v>
      </c>
      <c r="B1347" s="1">
        <v>45982</v>
      </c>
      <c r="C1347" t="s">
        <v>10</v>
      </c>
      <c r="D1347">
        <v>2</v>
      </c>
      <c r="E1347" t="b">
        <v>1</v>
      </c>
      <c r="F1347" s="2">
        <v>7.0787035394125049</v>
      </c>
      <c r="G1347" t="b">
        <v>0</v>
      </c>
      <c r="H1347" t="s">
        <v>18</v>
      </c>
      <c r="I1347" t="s">
        <v>35</v>
      </c>
    </row>
    <row r="1348" spans="1:9" x14ac:dyDescent="0.3">
      <c r="A1348" t="str">
        <f t="shared" si="21"/>
        <v>CASE-1347</v>
      </c>
      <c r="B1348" s="1">
        <v>45576</v>
      </c>
      <c r="C1348" t="s">
        <v>10</v>
      </c>
      <c r="D1348">
        <v>4</v>
      </c>
      <c r="E1348" t="b">
        <v>0</v>
      </c>
      <c r="F1348" s="2">
        <v>20.170831624288194</v>
      </c>
      <c r="G1348" t="b">
        <v>0</v>
      </c>
      <c r="H1348" t="s">
        <v>26</v>
      </c>
      <c r="I1348" t="s">
        <v>33</v>
      </c>
    </row>
    <row r="1349" spans="1:9" x14ac:dyDescent="0.3">
      <c r="A1349" t="str">
        <f t="shared" si="21"/>
        <v>CASE-1348</v>
      </c>
      <c r="B1349" s="1">
        <v>45607</v>
      </c>
      <c r="C1349" t="s">
        <v>11</v>
      </c>
      <c r="D1349">
        <v>5</v>
      </c>
      <c r="E1349" t="b">
        <v>0</v>
      </c>
      <c r="F1349" s="2">
        <v>26.026990829196514</v>
      </c>
      <c r="G1349" t="b">
        <v>0</v>
      </c>
      <c r="H1349" t="s">
        <v>26</v>
      </c>
      <c r="I1349" t="s">
        <v>33</v>
      </c>
    </row>
    <row r="1350" spans="1:9" x14ac:dyDescent="0.3">
      <c r="A1350" t="str">
        <f t="shared" si="21"/>
        <v>CASE-1349</v>
      </c>
      <c r="B1350" s="1">
        <v>46092</v>
      </c>
      <c r="C1350" t="s">
        <v>9</v>
      </c>
      <c r="D1350">
        <v>3</v>
      </c>
      <c r="E1350" t="b">
        <v>1</v>
      </c>
      <c r="F1350" s="2">
        <v>5.4372967447428584</v>
      </c>
      <c r="G1350" t="b">
        <v>0</v>
      </c>
      <c r="H1350" t="s">
        <v>27</v>
      </c>
      <c r="I1350" t="s">
        <v>34</v>
      </c>
    </row>
    <row r="1351" spans="1:9" x14ac:dyDescent="0.3">
      <c r="A1351" t="str">
        <f t="shared" si="21"/>
        <v>CASE-1350</v>
      </c>
      <c r="B1351" s="1">
        <v>45988</v>
      </c>
      <c r="C1351" t="s">
        <v>10</v>
      </c>
      <c r="D1351">
        <v>3</v>
      </c>
      <c r="E1351" t="b">
        <v>1</v>
      </c>
      <c r="F1351" s="2">
        <v>7.98261577741353</v>
      </c>
      <c r="G1351" t="b">
        <v>0</v>
      </c>
      <c r="H1351" t="s">
        <v>30</v>
      </c>
      <c r="I1351" t="s">
        <v>34</v>
      </c>
    </row>
    <row r="1352" spans="1:9" x14ac:dyDescent="0.3">
      <c r="A1352" t="str">
        <f t="shared" si="21"/>
        <v>CASE-1351</v>
      </c>
      <c r="B1352" s="1">
        <v>45859</v>
      </c>
      <c r="C1352" t="s">
        <v>9</v>
      </c>
      <c r="D1352">
        <v>4</v>
      </c>
      <c r="E1352" t="b">
        <v>1</v>
      </c>
      <c r="F1352" s="2">
        <v>21.431079602823836</v>
      </c>
      <c r="G1352" t="b">
        <v>0</v>
      </c>
      <c r="H1352" t="s">
        <v>29</v>
      </c>
      <c r="I1352" t="s">
        <v>33</v>
      </c>
    </row>
    <row r="1353" spans="1:9" x14ac:dyDescent="0.3">
      <c r="A1353" t="str">
        <f t="shared" si="21"/>
        <v>CASE-1352</v>
      </c>
      <c r="B1353" s="1">
        <v>45752</v>
      </c>
      <c r="C1353" t="s">
        <v>12</v>
      </c>
      <c r="D1353">
        <v>2</v>
      </c>
      <c r="E1353" t="b">
        <v>0</v>
      </c>
      <c r="F1353" s="2">
        <v>3.9572075046461932</v>
      </c>
      <c r="G1353" t="b">
        <v>0</v>
      </c>
      <c r="H1353" t="s">
        <v>13</v>
      </c>
      <c r="I1353" t="s">
        <v>34</v>
      </c>
    </row>
    <row r="1354" spans="1:9" x14ac:dyDescent="0.3">
      <c r="A1354" t="str">
        <f t="shared" si="21"/>
        <v>CASE-1353</v>
      </c>
      <c r="B1354" s="1">
        <v>45647</v>
      </c>
      <c r="C1354" t="s">
        <v>11</v>
      </c>
      <c r="D1354">
        <v>1</v>
      </c>
      <c r="E1354" t="b">
        <v>0</v>
      </c>
      <c r="F1354" s="2">
        <v>7.2324884850196902</v>
      </c>
      <c r="G1354" t="b">
        <v>0</v>
      </c>
      <c r="H1354" t="s">
        <v>21</v>
      </c>
      <c r="I1354" t="s">
        <v>33</v>
      </c>
    </row>
    <row r="1355" spans="1:9" x14ac:dyDescent="0.3">
      <c r="A1355" t="str">
        <f t="shared" si="21"/>
        <v>CASE-1354</v>
      </c>
      <c r="B1355" s="1">
        <v>46026</v>
      </c>
      <c r="C1355" t="s">
        <v>11</v>
      </c>
      <c r="D1355">
        <v>3</v>
      </c>
      <c r="E1355" t="b">
        <v>1</v>
      </c>
      <c r="F1355" s="2">
        <v>34.741694807275316</v>
      </c>
      <c r="G1355" t="b">
        <v>0</v>
      </c>
      <c r="H1355" t="s">
        <v>16</v>
      </c>
      <c r="I1355" t="s">
        <v>33</v>
      </c>
    </row>
    <row r="1356" spans="1:9" x14ac:dyDescent="0.3">
      <c r="A1356" t="str">
        <f t="shared" si="21"/>
        <v>CASE-1355</v>
      </c>
      <c r="B1356" s="1">
        <v>45660</v>
      </c>
      <c r="C1356" t="s">
        <v>10</v>
      </c>
      <c r="D1356">
        <v>1</v>
      </c>
      <c r="E1356" t="b">
        <v>0</v>
      </c>
      <c r="F1356" s="2">
        <v>7.318054151115863</v>
      </c>
      <c r="G1356" t="b">
        <v>0</v>
      </c>
      <c r="H1356" t="s">
        <v>25</v>
      </c>
      <c r="I1356" t="s">
        <v>34</v>
      </c>
    </row>
    <row r="1357" spans="1:9" x14ac:dyDescent="0.3">
      <c r="A1357" t="str">
        <f t="shared" si="21"/>
        <v>CASE-1356</v>
      </c>
      <c r="B1357" s="1">
        <v>45610</v>
      </c>
      <c r="C1357" t="s">
        <v>9</v>
      </c>
      <c r="D1357">
        <v>3</v>
      </c>
      <c r="E1357" t="b">
        <v>0</v>
      </c>
      <c r="F1357" s="2">
        <v>17.795671193775455</v>
      </c>
      <c r="G1357" t="b">
        <v>0</v>
      </c>
      <c r="H1357" t="s">
        <v>14</v>
      </c>
      <c r="I1357" t="s">
        <v>33</v>
      </c>
    </row>
    <row r="1358" spans="1:9" x14ac:dyDescent="0.3">
      <c r="A1358" t="str">
        <f t="shared" si="21"/>
        <v>CASE-1357</v>
      </c>
      <c r="B1358" s="1">
        <v>46047</v>
      </c>
      <c r="C1358" t="s">
        <v>11</v>
      </c>
      <c r="D1358">
        <v>4</v>
      </c>
      <c r="E1358" t="b">
        <v>1</v>
      </c>
      <c r="F1358" s="2">
        <v>6.3212553988553006</v>
      </c>
      <c r="G1358" t="b">
        <v>0</v>
      </c>
      <c r="H1358" t="s">
        <v>28</v>
      </c>
      <c r="I1358" t="s">
        <v>34</v>
      </c>
    </row>
    <row r="1359" spans="1:9" x14ac:dyDescent="0.3">
      <c r="A1359" t="str">
        <f t="shared" si="21"/>
        <v>CASE-1358</v>
      </c>
      <c r="B1359" s="1">
        <v>46081</v>
      </c>
      <c r="C1359" t="s">
        <v>9</v>
      </c>
      <c r="D1359">
        <v>3</v>
      </c>
      <c r="E1359" t="b">
        <v>1</v>
      </c>
      <c r="F1359" s="2">
        <v>6.389644076761706</v>
      </c>
      <c r="G1359" t="b">
        <v>0</v>
      </c>
      <c r="H1359" t="s">
        <v>24</v>
      </c>
      <c r="I1359" t="s">
        <v>34</v>
      </c>
    </row>
    <row r="1360" spans="1:9" x14ac:dyDescent="0.3">
      <c r="A1360" t="str">
        <f t="shared" si="21"/>
        <v>CASE-1359</v>
      </c>
      <c r="B1360" s="1">
        <v>45825</v>
      </c>
      <c r="C1360" t="s">
        <v>9</v>
      </c>
      <c r="D1360">
        <v>1</v>
      </c>
      <c r="E1360" t="b">
        <v>1</v>
      </c>
      <c r="F1360" s="2">
        <v>32.521569491422682</v>
      </c>
      <c r="G1360" t="b">
        <v>0</v>
      </c>
      <c r="H1360" t="s">
        <v>16</v>
      </c>
      <c r="I1360" t="s">
        <v>33</v>
      </c>
    </row>
    <row r="1361" spans="1:9" x14ac:dyDescent="0.3">
      <c r="A1361" t="str">
        <f t="shared" si="21"/>
        <v>CASE-1360</v>
      </c>
      <c r="B1361" s="1">
        <v>46071</v>
      </c>
      <c r="C1361" t="s">
        <v>11</v>
      </c>
      <c r="D1361">
        <v>4</v>
      </c>
      <c r="E1361" t="b">
        <v>1</v>
      </c>
      <c r="F1361" s="2">
        <v>4.4515237639629612</v>
      </c>
      <c r="G1361" t="b">
        <v>0</v>
      </c>
      <c r="H1361" t="s">
        <v>19</v>
      </c>
      <c r="I1361" t="s">
        <v>34</v>
      </c>
    </row>
    <row r="1362" spans="1:9" x14ac:dyDescent="0.3">
      <c r="A1362" t="str">
        <f t="shared" si="21"/>
        <v>CASE-1361</v>
      </c>
      <c r="B1362" s="1">
        <v>45919</v>
      </c>
      <c r="C1362" t="s">
        <v>11</v>
      </c>
      <c r="D1362">
        <v>5</v>
      </c>
      <c r="E1362" t="b">
        <v>1</v>
      </c>
      <c r="F1362" s="2">
        <v>30.707478234121744</v>
      </c>
      <c r="G1362" t="b">
        <v>0</v>
      </c>
      <c r="H1362" t="s">
        <v>24</v>
      </c>
      <c r="I1362" t="s">
        <v>33</v>
      </c>
    </row>
    <row r="1363" spans="1:9" x14ac:dyDescent="0.3">
      <c r="A1363" t="str">
        <f t="shared" si="21"/>
        <v>CASE-1362</v>
      </c>
      <c r="B1363" s="1">
        <v>45924</v>
      </c>
      <c r="C1363" t="s">
        <v>10</v>
      </c>
      <c r="D1363">
        <v>1</v>
      </c>
      <c r="E1363" t="b">
        <v>1</v>
      </c>
      <c r="F1363" s="2">
        <v>5.7739649108335422</v>
      </c>
      <c r="G1363" t="b">
        <v>0</v>
      </c>
      <c r="H1363" t="s">
        <v>15</v>
      </c>
      <c r="I1363" t="s">
        <v>34</v>
      </c>
    </row>
    <row r="1364" spans="1:9" x14ac:dyDescent="0.3">
      <c r="A1364" t="str">
        <f t="shared" si="21"/>
        <v>CASE-1363</v>
      </c>
      <c r="B1364" s="1">
        <v>45903</v>
      </c>
      <c r="C1364" t="s">
        <v>12</v>
      </c>
      <c r="D1364">
        <v>1</v>
      </c>
      <c r="E1364" t="b">
        <v>1</v>
      </c>
      <c r="F1364" s="2">
        <v>5.4701289726664992</v>
      </c>
      <c r="G1364" t="b">
        <v>0</v>
      </c>
      <c r="H1364" t="s">
        <v>28</v>
      </c>
      <c r="I1364" t="s">
        <v>34</v>
      </c>
    </row>
    <row r="1365" spans="1:9" x14ac:dyDescent="0.3">
      <c r="A1365" t="str">
        <f t="shared" si="21"/>
        <v>CASE-1364</v>
      </c>
      <c r="B1365" s="1">
        <v>45592</v>
      </c>
      <c r="C1365" t="s">
        <v>11</v>
      </c>
      <c r="D1365">
        <v>4</v>
      </c>
      <c r="E1365" t="b">
        <v>0</v>
      </c>
      <c r="F1365" s="2">
        <v>12.311304539205711</v>
      </c>
      <c r="G1365" t="b">
        <v>0</v>
      </c>
      <c r="H1365" t="s">
        <v>13</v>
      </c>
      <c r="I1365" t="s">
        <v>33</v>
      </c>
    </row>
    <row r="1366" spans="1:9" x14ac:dyDescent="0.3">
      <c r="A1366" t="str">
        <f t="shared" si="21"/>
        <v>CASE-1365</v>
      </c>
      <c r="B1366" s="1">
        <v>45529</v>
      </c>
      <c r="C1366" t="s">
        <v>9</v>
      </c>
      <c r="D1366">
        <v>1</v>
      </c>
      <c r="E1366" t="b">
        <v>0</v>
      </c>
      <c r="F1366" s="2">
        <v>15.255611271182772</v>
      </c>
      <c r="G1366" t="b">
        <v>0</v>
      </c>
      <c r="H1366" t="s">
        <v>28</v>
      </c>
      <c r="I1366" t="s">
        <v>33</v>
      </c>
    </row>
    <row r="1367" spans="1:9" x14ac:dyDescent="0.3">
      <c r="A1367" t="str">
        <f t="shared" si="21"/>
        <v>CASE-1366</v>
      </c>
      <c r="B1367" s="1">
        <v>46139</v>
      </c>
      <c r="C1367" t="s">
        <v>12</v>
      </c>
      <c r="D1367">
        <v>2</v>
      </c>
      <c r="E1367" t="b">
        <v>1</v>
      </c>
      <c r="F1367" s="2">
        <v>4.6604433718872693</v>
      </c>
      <c r="G1367" t="b">
        <v>0</v>
      </c>
      <c r="H1367" t="s">
        <v>14</v>
      </c>
      <c r="I1367" t="s">
        <v>34</v>
      </c>
    </row>
    <row r="1368" spans="1:9" x14ac:dyDescent="0.3">
      <c r="A1368" t="str">
        <f t="shared" si="21"/>
        <v>CASE-1367</v>
      </c>
      <c r="B1368" s="1">
        <v>45530</v>
      </c>
      <c r="C1368" t="s">
        <v>10</v>
      </c>
      <c r="D1368">
        <v>1</v>
      </c>
      <c r="E1368" t="b">
        <v>0</v>
      </c>
      <c r="F1368" s="2">
        <v>32.142839594629102</v>
      </c>
      <c r="G1368" t="b">
        <v>0</v>
      </c>
      <c r="H1368" t="s">
        <v>29</v>
      </c>
      <c r="I1368" t="s">
        <v>33</v>
      </c>
    </row>
    <row r="1369" spans="1:9" x14ac:dyDescent="0.3">
      <c r="A1369" t="str">
        <f t="shared" si="21"/>
        <v>CASE-1368</v>
      </c>
      <c r="B1369" s="1">
        <v>45683</v>
      </c>
      <c r="C1369" t="s">
        <v>12</v>
      </c>
      <c r="D1369">
        <v>2</v>
      </c>
      <c r="E1369" t="b">
        <v>1</v>
      </c>
      <c r="F1369" s="2">
        <v>5.0540494474948385</v>
      </c>
      <c r="G1369" t="b">
        <v>0</v>
      </c>
      <c r="H1369" t="s">
        <v>30</v>
      </c>
      <c r="I1369" t="s">
        <v>34</v>
      </c>
    </row>
    <row r="1370" spans="1:9" x14ac:dyDescent="0.3">
      <c r="A1370" t="str">
        <f t="shared" si="21"/>
        <v>CASE-1369</v>
      </c>
      <c r="B1370" s="1">
        <v>45557</v>
      </c>
      <c r="C1370" t="s">
        <v>11</v>
      </c>
      <c r="D1370">
        <v>2</v>
      </c>
      <c r="E1370" t="b">
        <v>0</v>
      </c>
      <c r="F1370" s="2">
        <v>26.48593557585723</v>
      </c>
      <c r="G1370" t="b">
        <v>0</v>
      </c>
      <c r="H1370" t="s">
        <v>27</v>
      </c>
      <c r="I1370" t="s">
        <v>33</v>
      </c>
    </row>
    <row r="1371" spans="1:9" x14ac:dyDescent="0.3">
      <c r="A1371" t="str">
        <f t="shared" si="21"/>
        <v>CASE-1370</v>
      </c>
      <c r="B1371" s="1">
        <v>45551</v>
      </c>
      <c r="C1371" t="s">
        <v>12</v>
      </c>
      <c r="D1371">
        <v>2</v>
      </c>
      <c r="E1371" t="b">
        <v>0</v>
      </c>
      <c r="F1371" s="2">
        <v>27.876378018483962</v>
      </c>
      <c r="G1371" t="b">
        <v>0</v>
      </c>
      <c r="H1371" t="s">
        <v>26</v>
      </c>
      <c r="I1371" t="s">
        <v>33</v>
      </c>
    </row>
    <row r="1372" spans="1:9" x14ac:dyDescent="0.3">
      <c r="A1372" t="str">
        <f t="shared" si="21"/>
        <v>CASE-1371</v>
      </c>
      <c r="B1372" s="1">
        <v>45943</v>
      </c>
      <c r="C1372" t="s">
        <v>12</v>
      </c>
      <c r="D1372">
        <v>3</v>
      </c>
      <c r="E1372" t="b">
        <v>1</v>
      </c>
      <c r="F1372" s="2">
        <v>32.281941984683634</v>
      </c>
      <c r="G1372" t="b">
        <v>0</v>
      </c>
      <c r="H1372" t="s">
        <v>21</v>
      </c>
      <c r="I1372" t="s">
        <v>33</v>
      </c>
    </row>
    <row r="1373" spans="1:9" x14ac:dyDescent="0.3">
      <c r="A1373" t="str">
        <f t="shared" si="21"/>
        <v>CASE-1372</v>
      </c>
      <c r="B1373" s="1">
        <v>45796</v>
      </c>
      <c r="C1373" t="s">
        <v>12</v>
      </c>
      <c r="D1373">
        <v>2</v>
      </c>
      <c r="E1373" t="b">
        <v>0</v>
      </c>
      <c r="F1373" s="2">
        <v>16.533897294775404</v>
      </c>
      <c r="G1373" t="b">
        <v>0</v>
      </c>
      <c r="H1373" t="s">
        <v>24</v>
      </c>
      <c r="I1373" t="s">
        <v>33</v>
      </c>
    </row>
    <row r="1374" spans="1:9" x14ac:dyDescent="0.3">
      <c r="A1374" t="str">
        <f t="shared" si="21"/>
        <v>CASE-1373</v>
      </c>
      <c r="B1374" s="1">
        <v>45902</v>
      </c>
      <c r="C1374" t="s">
        <v>9</v>
      </c>
      <c r="D1374">
        <v>1</v>
      </c>
      <c r="E1374" t="b">
        <v>1</v>
      </c>
      <c r="F1374" s="2">
        <v>5.8230675737904773</v>
      </c>
      <c r="G1374" t="b">
        <v>0</v>
      </c>
      <c r="H1374" t="s">
        <v>29</v>
      </c>
      <c r="I1374" t="s">
        <v>34</v>
      </c>
    </row>
    <row r="1375" spans="1:9" x14ac:dyDescent="0.3">
      <c r="A1375" t="str">
        <f t="shared" si="21"/>
        <v>CASE-1374</v>
      </c>
      <c r="B1375" s="1">
        <v>45939</v>
      </c>
      <c r="C1375" t="s">
        <v>12</v>
      </c>
      <c r="D1375">
        <v>2</v>
      </c>
      <c r="E1375" t="b">
        <v>0</v>
      </c>
      <c r="F1375" s="2">
        <v>7.3868898111510966</v>
      </c>
      <c r="G1375" t="b">
        <v>0</v>
      </c>
      <c r="H1375" t="s">
        <v>20</v>
      </c>
      <c r="I1375" t="s">
        <v>34</v>
      </c>
    </row>
    <row r="1376" spans="1:9" x14ac:dyDescent="0.3">
      <c r="A1376" t="str">
        <f t="shared" si="21"/>
        <v>CASE-1375</v>
      </c>
      <c r="B1376" s="1">
        <v>45747</v>
      </c>
      <c r="C1376" t="s">
        <v>12</v>
      </c>
      <c r="D1376">
        <v>4</v>
      </c>
      <c r="E1376" t="b">
        <v>1</v>
      </c>
      <c r="F1376" s="2">
        <v>32.243911265179435</v>
      </c>
      <c r="G1376" t="b">
        <v>0</v>
      </c>
      <c r="H1376" t="s">
        <v>13</v>
      </c>
      <c r="I1376" t="s">
        <v>33</v>
      </c>
    </row>
    <row r="1377" spans="1:9" x14ac:dyDescent="0.3">
      <c r="A1377" t="str">
        <f t="shared" si="21"/>
        <v>CASE-1376</v>
      </c>
      <c r="B1377" s="1">
        <v>46027</v>
      </c>
      <c r="C1377" t="s">
        <v>10</v>
      </c>
      <c r="D1377">
        <v>2</v>
      </c>
      <c r="E1377" t="b">
        <v>1</v>
      </c>
      <c r="F1377" s="2">
        <v>4.7416798192338785</v>
      </c>
      <c r="G1377" t="b">
        <v>0</v>
      </c>
      <c r="H1377" t="s">
        <v>18</v>
      </c>
      <c r="I1377" t="s">
        <v>34</v>
      </c>
    </row>
    <row r="1378" spans="1:9" x14ac:dyDescent="0.3">
      <c r="A1378" t="str">
        <f t="shared" si="21"/>
        <v>CASE-1377</v>
      </c>
      <c r="B1378" s="1">
        <v>45589</v>
      </c>
      <c r="C1378" t="s">
        <v>9</v>
      </c>
      <c r="D1378">
        <v>3</v>
      </c>
      <c r="E1378" t="b">
        <v>0</v>
      </c>
      <c r="F1378" s="2">
        <v>18.184395303819738</v>
      </c>
      <c r="G1378" t="b">
        <v>0</v>
      </c>
      <c r="H1378" t="s">
        <v>13</v>
      </c>
      <c r="I1378" t="s">
        <v>33</v>
      </c>
    </row>
    <row r="1379" spans="1:9" x14ac:dyDescent="0.3">
      <c r="A1379" t="str">
        <f t="shared" si="21"/>
        <v>CASE-1378</v>
      </c>
      <c r="B1379" s="1">
        <v>45557</v>
      </c>
      <c r="C1379" t="s">
        <v>9</v>
      </c>
      <c r="D1379">
        <v>3</v>
      </c>
      <c r="E1379" t="b">
        <v>0</v>
      </c>
      <c r="F1379" s="2">
        <v>35.119572963674571</v>
      </c>
      <c r="G1379" t="b">
        <v>0</v>
      </c>
      <c r="H1379" t="s">
        <v>28</v>
      </c>
      <c r="I1379" t="s">
        <v>33</v>
      </c>
    </row>
    <row r="1380" spans="1:9" x14ac:dyDescent="0.3">
      <c r="A1380" t="str">
        <f t="shared" si="21"/>
        <v>CASE-1379</v>
      </c>
      <c r="B1380" s="1">
        <v>46137</v>
      </c>
      <c r="C1380" t="s">
        <v>10</v>
      </c>
      <c r="D1380">
        <v>2</v>
      </c>
      <c r="E1380" t="b">
        <v>1</v>
      </c>
      <c r="F1380" s="2">
        <v>8.0339934059286335</v>
      </c>
      <c r="G1380" t="b">
        <v>0</v>
      </c>
      <c r="H1380" t="s">
        <v>24</v>
      </c>
      <c r="I1380" t="s">
        <v>34</v>
      </c>
    </row>
    <row r="1381" spans="1:9" x14ac:dyDescent="0.3">
      <c r="A1381" t="str">
        <f t="shared" si="21"/>
        <v>CASE-1380</v>
      </c>
      <c r="B1381" s="1">
        <v>45611</v>
      </c>
      <c r="C1381" t="s">
        <v>11</v>
      </c>
      <c r="D1381">
        <v>5</v>
      </c>
      <c r="E1381" t="b">
        <v>0</v>
      </c>
      <c r="F1381" s="2">
        <v>28.798489727014768</v>
      </c>
      <c r="G1381" t="b">
        <v>0</v>
      </c>
      <c r="H1381" t="s">
        <v>17</v>
      </c>
      <c r="I1381" t="s">
        <v>33</v>
      </c>
    </row>
    <row r="1382" spans="1:9" x14ac:dyDescent="0.3">
      <c r="A1382" t="str">
        <f t="shared" si="21"/>
        <v>CASE-1381</v>
      </c>
      <c r="B1382" s="1">
        <v>46040</v>
      </c>
      <c r="C1382" t="s">
        <v>9</v>
      </c>
      <c r="D1382">
        <v>5</v>
      </c>
      <c r="E1382" t="b">
        <v>0</v>
      </c>
      <c r="F1382" s="2">
        <v>3.0835402148530702</v>
      </c>
      <c r="G1382" t="b">
        <v>0</v>
      </c>
      <c r="H1382" t="s">
        <v>18</v>
      </c>
      <c r="I1382" t="s">
        <v>34</v>
      </c>
    </row>
    <row r="1383" spans="1:9" x14ac:dyDescent="0.3">
      <c r="A1383" t="str">
        <f t="shared" si="21"/>
        <v>CASE-1382</v>
      </c>
      <c r="B1383" s="1">
        <v>45615</v>
      </c>
      <c r="C1383" t="s">
        <v>11</v>
      </c>
      <c r="D1383">
        <v>5</v>
      </c>
      <c r="E1383" t="b">
        <v>0</v>
      </c>
      <c r="F1383" s="2">
        <v>21.405309142970278</v>
      </c>
      <c r="G1383" t="b">
        <v>0</v>
      </c>
      <c r="H1383" t="s">
        <v>18</v>
      </c>
      <c r="I1383" t="s">
        <v>33</v>
      </c>
    </row>
    <row r="1384" spans="1:9" x14ac:dyDescent="0.3">
      <c r="A1384" t="str">
        <f t="shared" si="21"/>
        <v>CASE-1383</v>
      </c>
      <c r="B1384" s="1">
        <v>46061</v>
      </c>
      <c r="C1384" t="s">
        <v>12</v>
      </c>
      <c r="D1384">
        <v>1</v>
      </c>
      <c r="E1384" t="b">
        <v>0</v>
      </c>
      <c r="F1384" s="2">
        <v>7.9403556214564013</v>
      </c>
      <c r="G1384" t="b">
        <v>0</v>
      </c>
      <c r="H1384" t="s">
        <v>17</v>
      </c>
      <c r="I1384" t="s">
        <v>34</v>
      </c>
    </row>
    <row r="1385" spans="1:9" x14ac:dyDescent="0.3">
      <c r="A1385" t="str">
        <f t="shared" si="21"/>
        <v>CASE-1384</v>
      </c>
      <c r="B1385" s="1">
        <v>45709</v>
      </c>
      <c r="C1385" t="s">
        <v>11</v>
      </c>
      <c r="D1385">
        <v>4</v>
      </c>
      <c r="E1385" t="b">
        <v>1</v>
      </c>
      <c r="F1385" s="2">
        <v>5.0917367146127237</v>
      </c>
      <c r="G1385" t="b">
        <v>0</v>
      </c>
      <c r="H1385" t="s">
        <v>30</v>
      </c>
      <c r="I1385" t="s">
        <v>34</v>
      </c>
    </row>
    <row r="1386" spans="1:9" x14ac:dyDescent="0.3">
      <c r="A1386" t="str">
        <f t="shared" si="21"/>
        <v>CASE-1385</v>
      </c>
      <c r="B1386" s="1">
        <v>45983</v>
      </c>
      <c r="C1386" t="s">
        <v>9</v>
      </c>
      <c r="D1386">
        <v>2</v>
      </c>
      <c r="E1386" t="b">
        <v>1</v>
      </c>
      <c r="F1386" s="2">
        <v>26.208341650721867</v>
      </c>
      <c r="G1386" t="b">
        <v>0</v>
      </c>
      <c r="H1386" t="s">
        <v>30</v>
      </c>
      <c r="I1386" t="s">
        <v>33</v>
      </c>
    </row>
    <row r="1387" spans="1:9" x14ac:dyDescent="0.3">
      <c r="A1387" t="str">
        <f t="shared" si="21"/>
        <v>CASE-1386</v>
      </c>
      <c r="B1387" s="1">
        <v>45991</v>
      </c>
      <c r="C1387" t="s">
        <v>10</v>
      </c>
      <c r="D1387">
        <v>1</v>
      </c>
      <c r="E1387" t="b">
        <v>1</v>
      </c>
      <c r="F1387" s="2">
        <v>6.0894801123886841</v>
      </c>
      <c r="G1387" t="b">
        <v>0</v>
      </c>
      <c r="H1387" t="s">
        <v>25</v>
      </c>
      <c r="I1387" t="s">
        <v>34</v>
      </c>
    </row>
    <row r="1388" spans="1:9" x14ac:dyDescent="0.3">
      <c r="A1388" t="str">
        <f t="shared" si="21"/>
        <v>CASE-1387</v>
      </c>
      <c r="B1388" s="1">
        <v>46187</v>
      </c>
      <c r="C1388" t="s">
        <v>10</v>
      </c>
      <c r="D1388">
        <v>1</v>
      </c>
      <c r="E1388" t="b">
        <v>0</v>
      </c>
      <c r="F1388" s="2">
        <v>6.8926944687778793</v>
      </c>
      <c r="G1388" t="b">
        <v>0</v>
      </c>
      <c r="H1388" t="s">
        <v>31</v>
      </c>
      <c r="I1388" t="s">
        <v>34</v>
      </c>
    </row>
    <row r="1389" spans="1:9" x14ac:dyDescent="0.3">
      <c r="A1389" t="str">
        <f t="shared" si="21"/>
        <v>CASE-1388</v>
      </c>
      <c r="B1389" s="1">
        <v>45700</v>
      </c>
      <c r="C1389" t="s">
        <v>11</v>
      </c>
      <c r="D1389">
        <v>1</v>
      </c>
      <c r="E1389" t="b">
        <v>1</v>
      </c>
      <c r="F1389" s="2">
        <v>6.7327735471255341</v>
      </c>
      <c r="G1389" t="b">
        <v>0</v>
      </c>
      <c r="H1389" t="s">
        <v>15</v>
      </c>
      <c r="I1389" t="s">
        <v>34</v>
      </c>
    </row>
    <row r="1390" spans="1:9" x14ac:dyDescent="0.3">
      <c r="A1390" t="str">
        <f t="shared" si="21"/>
        <v>CASE-1389</v>
      </c>
      <c r="B1390" s="1">
        <v>45906</v>
      </c>
      <c r="C1390" t="s">
        <v>10</v>
      </c>
      <c r="D1390">
        <v>4</v>
      </c>
      <c r="E1390" t="b">
        <v>1</v>
      </c>
      <c r="F1390" s="2">
        <v>5.193612696712405</v>
      </c>
      <c r="G1390" t="b">
        <v>0</v>
      </c>
      <c r="H1390" t="s">
        <v>23</v>
      </c>
      <c r="I1390" t="s">
        <v>34</v>
      </c>
    </row>
    <row r="1391" spans="1:9" x14ac:dyDescent="0.3">
      <c r="A1391" t="str">
        <f t="shared" si="21"/>
        <v>CASE-1390</v>
      </c>
      <c r="B1391" s="1">
        <v>45600</v>
      </c>
      <c r="C1391" t="s">
        <v>10</v>
      </c>
      <c r="D1391">
        <v>1</v>
      </c>
      <c r="E1391" t="b">
        <v>0</v>
      </c>
      <c r="F1391" s="2">
        <v>29.201847843706759</v>
      </c>
      <c r="G1391" t="b">
        <v>0</v>
      </c>
      <c r="H1391" t="s">
        <v>20</v>
      </c>
      <c r="I1391" t="s">
        <v>33</v>
      </c>
    </row>
    <row r="1392" spans="1:9" x14ac:dyDescent="0.3">
      <c r="A1392" t="str">
        <f t="shared" si="21"/>
        <v>CASE-1391</v>
      </c>
      <c r="B1392" s="1">
        <v>45573</v>
      </c>
      <c r="C1392" t="s">
        <v>9</v>
      </c>
      <c r="D1392">
        <v>1</v>
      </c>
      <c r="E1392" t="b">
        <v>0</v>
      </c>
      <c r="F1392" s="2">
        <v>22.435245511734472</v>
      </c>
      <c r="G1392" t="b">
        <v>0</v>
      </c>
      <c r="H1392" t="s">
        <v>27</v>
      </c>
      <c r="I1392" t="s">
        <v>33</v>
      </c>
    </row>
    <row r="1393" spans="1:9" x14ac:dyDescent="0.3">
      <c r="A1393" t="str">
        <f t="shared" si="21"/>
        <v>CASE-1392</v>
      </c>
      <c r="B1393" s="1">
        <v>45614</v>
      </c>
      <c r="C1393" t="s">
        <v>12</v>
      </c>
      <c r="D1393">
        <v>2</v>
      </c>
      <c r="E1393" t="b">
        <v>0</v>
      </c>
      <c r="F1393" s="2">
        <v>15.996429727090961</v>
      </c>
      <c r="G1393" t="b">
        <v>0</v>
      </c>
      <c r="H1393" t="s">
        <v>22</v>
      </c>
      <c r="I1393" t="s">
        <v>33</v>
      </c>
    </row>
    <row r="1394" spans="1:9" x14ac:dyDescent="0.3">
      <c r="A1394" t="str">
        <f t="shared" si="21"/>
        <v>CASE-1393</v>
      </c>
      <c r="B1394" s="1">
        <v>46087</v>
      </c>
      <c r="C1394" t="s">
        <v>10</v>
      </c>
      <c r="D1394">
        <v>4</v>
      </c>
      <c r="E1394" t="b">
        <v>1</v>
      </c>
      <c r="F1394" s="2">
        <v>5.7888903804628296</v>
      </c>
      <c r="G1394" t="b">
        <v>0</v>
      </c>
      <c r="H1394" t="s">
        <v>16</v>
      </c>
      <c r="I1394" t="s">
        <v>35</v>
      </c>
    </row>
    <row r="1395" spans="1:9" x14ac:dyDescent="0.3">
      <c r="A1395" t="str">
        <f t="shared" si="21"/>
        <v>CASE-1394</v>
      </c>
      <c r="B1395" s="1">
        <v>45661</v>
      </c>
      <c r="C1395" t="s">
        <v>11</v>
      </c>
      <c r="D1395">
        <v>3</v>
      </c>
      <c r="E1395" t="b">
        <v>1</v>
      </c>
      <c r="F1395" s="2">
        <v>6.2463650588584887</v>
      </c>
      <c r="G1395" t="b">
        <v>0</v>
      </c>
      <c r="H1395" t="s">
        <v>31</v>
      </c>
      <c r="I1395" t="s">
        <v>34</v>
      </c>
    </row>
    <row r="1396" spans="1:9" x14ac:dyDescent="0.3">
      <c r="A1396" t="str">
        <f t="shared" si="21"/>
        <v>CASE-1395</v>
      </c>
      <c r="B1396" s="1">
        <v>46187</v>
      </c>
      <c r="C1396" t="s">
        <v>10</v>
      </c>
      <c r="D1396">
        <v>2</v>
      </c>
      <c r="E1396" t="b">
        <v>1</v>
      </c>
      <c r="F1396" s="2">
        <v>7.7772209056315722</v>
      </c>
      <c r="G1396" t="b">
        <v>0</v>
      </c>
      <c r="H1396" t="s">
        <v>15</v>
      </c>
      <c r="I1396" t="s">
        <v>34</v>
      </c>
    </row>
    <row r="1397" spans="1:9" x14ac:dyDescent="0.3">
      <c r="A1397" t="str">
        <f t="shared" si="21"/>
        <v>CASE-1396</v>
      </c>
      <c r="B1397" s="1">
        <v>46054</v>
      </c>
      <c r="C1397" t="s">
        <v>9</v>
      </c>
      <c r="D1397">
        <v>4</v>
      </c>
      <c r="E1397" t="b">
        <v>1</v>
      </c>
      <c r="F1397" s="2">
        <v>23.039607155679466</v>
      </c>
      <c r="G1397" t="b">
        <v>0</v>
      </c>
      <c r="H1397" t="s">
        <v>16</v>
      </c>
      <c r="I1397" t="s">
        <v>33</v>
      </c>
    </row>
    <row r="1398" spans="1:9" x14ac:dyDescent="0.3">
      <c r="A1398" t="str">
        <f t="shared" si="21"/>
        <v>CASE-1397</v>
      </c>
      <c r="B1398" s="1">
        <v>46066</v>
      </c>
      <c r="C1398" t="s">
        <v>10</v>
      </c>
      <c r="D1398">
        <v>1</v>
      </c>
      <c r="E1398" t="b">
        <v>1</v>
      </c>
      <c r="F1398" s="2">
        <v>21.674501183064319</v>
      </c>
      <c r="G1398" t="b">
        <v>0</v>
      </c>
      <c r="H1398" t="s">
        <v>18</v>
      </c>
      <c r="I1398" t="s">
        <v>33</v>
      </c>
    </row>
    <row r="1399" spans="1:9" x14ac:dyDescent="0.3">
      <c r="A1399" t="str">
        <f t="shared" si="21"/>
        <v>CASE-1398</v>
      </c>
      <c r="B1399" s="1">
        <v>45708</v>
      </c>
      <c r="C1399" t="s">
        <v>10</v>
      </c>
      <c r="D1399">
        <v>5</v>
      </c>
      <c r="E1399" t="b">
        <v>1</v>
      </c>
      <c r="F1399" s="2">
        <v>4.2312043143119933</v>
      </c>
      <c r="G1399" t="b">
        <v>0</v>
      </c>
      <c r="H1399" t="s">
        <v>20</v>
      </c>
      <c r="I1399" t="s">
        <v>34</v>
      </c>
    </row>
    <row r="1400" spans="1:9" x14ac:dyDescent="0.3">
      <c r="A1400" t="str">
        <f t="shared" si="21"/>
        <v>CASE-1399</v>
      </c>
      <c r="B1400" s="1">
        <v>45538</v>
      </c>
      <c r="C1400" t="s">
        <v>11</v>
      </c>
      <c r="D1400">
        <v>1</v>
      </c>
      <c r="E1400" t="b">
        <v>0</v>
      </c>
      <c r="F1400" s="2">
        <v>20.288845847434175</v>
      </c>
      <c r="G1400" t="b">
        <v>0</v>
      </c>
      <c r="H1400" t="s">
        <v>26</v>
      </c>
      <c r="I1400" t="s">
        <v>33</v>
      </c>
    </row>
    <row r="1401" spans="1:9" x14ac:dyDescent="0.3">
      <c r="A1401" t="str">
        <f t="shared" si="21"/>
        <v>CASE-1400</v>
      </c>
      <c r="B1401" s="1">
        <v>45716</v>
      </c>
      <c r="C1401" t="s">
        <v>9</v>
      </c>
      <c r="D1401">
        <v>5</v>
      </c>
      <c r="E1401" t="b">
        <v>1</v>
      </c>
      <c r="F1401" s="2">
        <v>3.1847299213545339</v>
      </c>
      <c r="G1401" t="b">
        <v>0</v>
      </c>
      <c r="H1401" t="s">
        <v>29</v>
      </c>
      <c r="I1401" t="s">
        <v>34</v>
      </c>
    </row>
    <row r="1402" spans="1:9" x14ac:dyDescent="0.3">
      <c r="A1402" t="str">
        <f t="shared" si="21"/>
        <v>CASE-1401</v>
      </c>
      <c r="B1402" s="1">
        <v>45859</v>
      </c>
      <c r="C1402" t="s">
        <v>11</v>
      </c>
      <c r="D1402">
        <v>3</v>
      </c>
      <c r="E1402" t="b">
        <v>1</v>
      </c>
      <c r="F1402" s="2">
        <v>8.1585831055824425</v>
      </c>
      <c r="G1402" t="b">
        <v>0</v>
      </c>
      <c r="H1402" t="s">
        <v>25</v>
      </c>
      <c r="I1402" t="s">
        <v>34</v>
      </c>
    </row>
    <row r="1403" spans="1:9" x14ac:dyDescent="0.3">
      <c r="A1403" t="str">
        <f t="shared" si="21"/>
        <v>CASE-1402</v>
      </c>
      <c r="B1403" s="1">
        <v>45585</v>
      </c>
      <c r="C1403" t="s">
        <v>9</v>
      </c>
      <c r="D1403">
        <v>1</v>
      </c>
      <c r="E1403" t="b">
        <v>0</v>
      </c>
      <c r="F1403" s="2">
        <v>11.869856006324779</v>
      </c>
      <c r="G1403" t="b">
        <v>0</v>
      </c>
      <c r="H1403" t="s">
        <v>17</v>
      </c>
      <c r="I1403" t="s">
        <v>33</v>
      </c>
    </row>
    <row r="1404" spans="1:9" x14ac:dyDescent="0.3">
      <c r="A1404" t="str">
        <f t="shared" si="21"/>
        <v>CASE-1403</v>
      </c>
      <c r="B1404" s="1">
        <v>46090</v>
      </c>
      <c r="C1404" t="s">
        <v>10</v>
      </c>
      <c r="D1404">
        <v>2</v>
      </c>
      <c r="E1404" t="b">
        <v>1</v>
      </c>
      <c r="F1404" s="2">
        <v>5.0863479831938498</v>
      </c>
      <c r="G1404" t="b">
        <v>0</v>
      </c>
      <c r="H1404" t="s">
        <v>20</v>
      </c>
      <c r="I1404" t="s">
        <v>34</v>
      </c>
    </row>
    <row r="1405" spans="1:9" x14ac:dyDescent="0.3">
      <c r="A1405" t="str">
        <f t="shared" si="21"/>
        <v>CASE-1404</v>
      </c>
      <c r="B1405" s="1">
        <v>45846</v>
      </c>
      <c r="C1405" t="s">
        <v>10</v>
      </c>
      <c r="D1405">
        <v>4</v>
      </c>
      <c r="E1405" t="b">
        <v>0</v>
      </c>
      <c r="F1405" s="2">
        <v>17.769032524600913</v>
      </c>
      <c r="G1405" t="b">
        <v>0</v>
      </c>
      <c r="H1405" t="s">
        <v>26</v>
      </c>
      <c r="I1405" t="s">
        <v>33</v>
      </c>
    </row>
    <row r="1406" spans="1:9" x14ac:dyDescent="0.3">
      <c r="A1406" t="str">
        <f t="shared" si="21"/>
        <v>CASE-1405</v>
      </c>
      <c r="B1406" s="1">
        <v>45690</v>
      </c>
      <c r="C1406" t="s">
        <v>10</v>
      </c>
      <c r="D1406">
        <v>5</v>
      </c>
      <c r="E1406" t="b">
        <v>0</v>
      </c>
      <c r="F1406" s="2">
        <v>6.86284823355754</v>
      </c>
      <c r="G1406" t="b">
        <v>0</v>
      </c>
      <c r="H1406" t="s">
        <v>18</v>
      </c>
      <c r="I1406" t="s">
        <v>34</v>
      </c>
    </row>
    <row r="1407" spans="1:9" x14ac:dyDescent="0.3">
      <c r="A1407" t="str">
        <f t="shared" si="21"/>
        <v>CASE-1406</v>
      </c>
      <c r="B1407" s="1">
        <v>45596</v>
      </c>
      <c r="C1407" t="s">
        <v>9</v>
      </c>
      <c r="D1407">
        <v>4</v>
      </c>
      <c r="E1407" t="b">
        <v>0</v>
      </c>
      <c r="F1407" s="2">
        <v>26.808458266627927</v>
      </c>
      <c r="G1407" t="b">
        <v>0</v>
      </c>
      <c r="H1407" t="s">
        <v>32</v>
      </c>
      <c r="I1407" t="s">
        <v>33</v>
      </c>
    </row>
    <row r="1408" spans="1:9" x14ac:dyDescent="0.3">
      <c r="A1408" t="str">
        <f t="shared" si="21"/>
        <v>CASE-1407</v>
      </c>
      <c r="B1408" s="1">
        <v>46038</v>
      </c>
      <c r="C1408" t="s">
        <v>11</v>
      </c>
      <c r="D1408">
        <v>2</v>
      </c>
      <c r="E1408" t="b">
        <v>1</v>
      </c>
      <c r="F1408" s="2">
        <v>25.624975395641428</v>
      </c>
      <c r="G1408" t="b">
        <v>0</v>
      </c>
      <c r="H1408" t="s">
        <v>23</v>
      </c>
      <c r="I1408" t="s">
        <v>33</v>
      </c>
    </row>
    <row r="1409" spans="1:9" x14ac:dyDescent="0.3">
      <c r="A1409" t="str">
        <f t="shared" si="21"/>
        <v>CASE-1408</v>
      </c>
      <c r="B1409" s="1">
        <v>45808</v>
      </c>
      <c r="C1409" t="s">
        <v>9</v>
      </c>
      <c r="D1409">
        <v>1</v>
      </c>
      <c r="E1409" t="b">
        <v>1</v>
      </c>
      <c r="F1409" s="2">
        <v>4.4845963692085276</v>
      </c>
      <c r="G1409" t="b">
        <v>0</v>
      </c>
      <c r="H1409" t="s">
        <v>18</v>
      </c>
      <c r="I1409" t="s">
        <v>34</v>
      </c>
    </row>
    <row r="1410" spans="1:9" x14ac:dyDescent="0.3">
      <c r="A1410" t="str">
        <f t="shared" si="21"/>
        <v>CASE-1409</v>
      </c>
      <c r="B1410" s="1">
        <v>45892</v>
      </c>
      <c r="C1410" t="s">
        <v>11</v>
      </c>
      <c r="D1410">
        <v>1</v>
      </c>
      <c r="E1410" t="b">
        <v>1</v>
      </c>
      <c r="F1410" s="2">
        <v>6.3050333476042804</v>
      </c>
      <c r="G1410" t="b">
        <v>0</v>
      </c>
      <c r="H1410" t="s">
        <v>18</v>
      </c>
      <c r="I1410" t="s">
        <v>34</v>
      </c>
    </row>
    <row r="1411" spans="1:9" x14ac:dyDescent="0.3">
      <c r="A1411" t="str">
        <f t="shared" ref="A1411:A1474" si="22">"CASE-"&amp;TEXT(ROW()-1,"0000")</f>
        <v>CASE-1410</v>
      </c>
      <c r="B1411" s="1">
        <v>46104</v>
      </c>
      <c r="C1411" t="s">
        <v>10</v>
      </c>
      <c r="D1411">
        <v>5</v>
      </c>
      <c r="E1411" t="b">
        <v>1</v>
      </c>
      <c r="F1411" s="2">
        <v>8.9576768560724904</v>
      </c>
      <c r="G1411" t="b">
        <v>0</v>
      </c>
      <c r="H1411" t="s">
        <v>15</v>
      </c>
      <c r="I1411" t="s">
        <v>33</v>
      </c>
    </row>
    <row r="1412" spans="1:9" x14ac:dyDescent="0.3">
      <c r="A1412" t="str">
        <f t="shared" si="22"/>
        <v>CASE-1411</v>
      </c>
      <c r="B1412" s="1">
        <v>45975</v>
      </c>
      <c r="C1412" t="s">
        <v>10</v>
      </c>
      <c r="D1412">
        <v>5</v>
      </c>
      <c r="E1412" t="b">
        <v>1</v>
      </c>
      <c r="F1412" s="2">
        <v>7.3069029826466441</v>
      </c>
      <c r="G1412" t="b">
        <v>0</v>
      </c>
      <c r="H1412" t="s">
        <v>18</v>
      </c>
      <c r="I1412" t="s">
        <v>34</v>
      </c>
    </row>
    <row r="1413" spans="1:9" x14ac:dyDescent="0.3">
      <c r="A1413" t="str">
        <f t="shared" si="22"/>
        <v>CASE-1412</v>
      </c>
      <c r="B1413" s="1">
        <v>45517</v>
      </c>
      <c r="C1413" t="s">
        <v>12</v>
      </c>
      <c r="D1413">
        <v>1</v>
      </c>
      <c r="E1413" t="b">
        <v>0</v>
      </c>
      <c r="F1413" s="2">
        <v>30.386993585163836</v>
      </c>
      <c r="G1413" t="b">
        <v>0</v>
      </c>
      <c r="H1413" t="s">
        <v>25</v>
      </c>
      <c r="I1413" t="s">
        <v>33</v>
      </c>
    </row>
    <row r="1414" spans="1:9" x14ac:dyDescent="0.3">
      <c r="A1414" t="str">
        <f t="shared" si="22"/>
        <v>CASE-1413</v>
      </c>
      <c r="B1414" s="1">
        <v>45943</v>
      </c>
      <c r="C1414" t="s">
        <v>11</v>
      </c>
      <c r="D1414">
        <v>4</v>
      </c>
      <c r="E1414" t="b">
        <v>1</v>
      </c>
      <c r="F1414" s="2">
        <v>1.4183250415942252</v>
      </c>
      <c r="G1414" t="b">
        <v>0</v>
      </c>
      <c r="H1414" t="s">
        <v>30</v>
      </c>
      <c r="I1414" t="s">
        <v>34</v>
      </c>
    </row>
    <row r="1415" spans="1:9" x14ac:dyDescent="0.3">
      <c r="A1415" t="str">
        <f t="shared" si="22"/>
        <v>CASE-1414</v>
      </c>
      <c r="B1415" s="1">
        <v>45750</v>
      </c>
      <c r="C1415" t="s">
        <v>9</v>
      </c>
      <c r="D1415">
        <v>2</v>
      </c>
      <c r="E1415" t="b">
        <v>1</v>
      </c>
      <c r="F1415" s="2">
        <v>5.1503003528663998</v>
      </c>
      <c r="G1415" t="b">
        <v>1</v>
      </c>
      <c r="H1415" t="s">
        <v>22</v>
      </c>
      <c r="I1415" t="s">
        <v>34</v>
      </c>
    </row>
    <row r="1416" spans="1:9" x14ac:dyDescent="0.3">
      <c r="A1416" t="str">
        <f t="shared" si="22"/>
        <v>CASE-1415</v>
      </c>
      <c r="B1416" s="1">
        <v>45819</v>
      </c>
      <c r="C1416" t="s">
        <v>11</v>
      </c>
      <c r="D1416">
        <v>1</v>
      </c>
      <c r="E1416" t="b">
        <v>1</v>
      </c>
      <c r="F1416" s="2">
        <v>21.22191410077922</v>
      </c>
      <c r="G1416" t="b">
        <v>0</v>
      </c>
      <c r="H1416" t="s">
        <v>17</v>
      </c>
      <c r="I1416" t="s">
        <v>33</v>
      </c>
    </row>
    <row r="1417" spans="1:9" x14ac:dyDescent="0.3">
      <c r="A1417" t="str">
        <f t="shared" si="22"/>
        <v>CASE-1416</v>
      </c>
      <c r="B1417" s="1">
        <v>45971</v>
      </c>
      <c r="C1417" t="s">
        <v>12</v>
      </c>
      <c r="D1417">
        <v>2</v>
      </c>
      <c r="E1417" t="b">
        <v>0</v>
      </c>
      <c r="F1417" s="2">
        <v>3.2202912919785134</v>
      </c>
      <c r="G1417" t="b">
        <v>0</v>
      </c>
      <c r="H1417" t="s">
        <v>16</v>
      </c>
      <c r="I1417" t="s">
        <v>34</v>
      </c>
    </row>
    <row r="1418" spans="1:9" x14ac:dyDescent="0.3">
      <c r="A1418" t="str">
        <f t="shared" si="22"/>
        <v>CASE-1417</v>
      </c>
      <c r="B1418" s="1">
        <v>45502</v>
      </c>
      <c r="C1418" t="s">
        <v>10</v>
      </c>
      <c r="D1418">
        <v>1</v>
      </c>
      <c r="E1418" t="b">
        <v>0</v>
      </c>
      <c r="F1418" s="2">
        <v>21.89954940314713</v>
      </c>
      <c r="G1418" t="b">
        <v>0</v>
      </c>
      <c r="H1418" t="s">
        <v>27</v>
      </c>
      <c r="I1418" t="s">
        <v>33</v>
      </c>
    </row>
    <row r="1419" spans="1:9" x14ac:dyDescent="0.3">
      <c r="A1419" t="str">
        <f t="shared" si="22"/>
        <v>CASE-1418</v>
      </c>
      <c r="B1419" s="1">
        <v>45940</v>
      </c>
      <c r="C1419" t="s">
        <v>9</v>
      </c>
      <c r="D1419">
        <v>3</v>
      </c>
      <c r="E1419" t="b">
        <v>1</v>
      </c>
      <c r="F1419" s="2">
        <v>5.253805321019926</v>
      </c>
      <c r="G1419" t="b">
        <v>0</v>
      </c>
      <c r="H1419" t="s">
        <v>25</v>
      </c>
      <c r="I1419" t="s">
        <v>34</v>
      </c>
    </row>
    <row r="1420" spans="1:9" x14ac:dyDescent="0.3">
      <c r="A1420" t="str">
        <f t="shared" si="22"/>
        <v>CASE-1419</v>
      </c>
      <c r="B1420" s="1">
        <v>45889</v>
      </c>
      <c r="C1420" t="s">
        <v>12</v>
      </c>
      <c r="D1420">
        <v>4</v>
      </c>
      <c r="E1420" t="b">
        <v>1</v>
      </c>
      <c r="F1420" s="2">
        <v>22.41981269963836</v>
      </c>
      <c r="G1420" t="b">
        <v>0</v>
      </c>
      <c r="H1420" t="s">
        <v>32</v>
      </c>
      <c r="I1420" t="s">
        <v>33</v>
      </c>
    </row>
    <row r="1421" spans="1:9" x14ac:dyDescent="0.3">
      <c r="A1421" t="str">
        <f t="shared" si="22"/>
        <v>CASE-1420</v>
      </c>
      <c r="B1421" s="1">
        <v>45718</v>
      </c>
      <c r="C1421" t="s">
        <v>9</v>
      </c>
      <c r="D1421">
        <v>1</v>
      </c>
      <c r="E1421" t="b">
        <v>0</v>
      </c>
      <c r="F1421" s="2">
        <v>24.897177193087604</v>
      </c>
      <c r="G1421" t="b">
        <v>0</v>
      </c>
      <c r="H1421" t="s">
        <v>31</v>
      </c>
      <c r="I1421" t="s">
        <v>33</v>
      </c>
    </row>
    <row r="1422" spans="1:9" x14ac:dyDescent="0.3">
      <c r="A1422" t="str">
        <f t="shared" si="22"/>
        <v>CASE-1421</v>
      </c>
      <c r="B1422" s="1">
        <v>45863</v>
      </c>
      <c r="C1422" t="s">
        <v>9</v>
      </c>
      <c r="D1422">
        <v>4</v>
      </c>
      <c r="E1422" t="b">
        <v>1</v>
      </c>
      <c r="F1422" s="2">
        <v>5.5605352098902827</v>
      </c>
      <c r="G1422" t="b">
        <v>0</v>
      </c>
      <c r="H1422" t="s">
        <v>20</v>
      </c>
      <c r="I1422" t="s">
        <v>34</v>
      </c>
    </row>
    <row r="1423" spans="1:9" x14ac:dyDescent="0.3">
      <c r="A1423" t="str">
        <f t="shared" si="22"/>
        <v>CASE-1422</v>
      </c>
      <c r="B1423" s="1">
        <v>45913</v>
      </c>
      <c r="C1423" t="s">
        <v>9</v>
      </c>
      <c r="D1423">
        <v>5</v>
      </c>
      <c r="E1423" t="b">
        <v>1</v>
      </c>
      <c r="F1423" s="2">
        <v>16.940210091817292</v>
      </c>
      <c r="G1423" t="b">
        <v>0</v>
      </c>
      <c r="H1423" t="s">
        <v>27</v>
      </c>
      <c r="I1423" t="s">
        <v>33</v>
      </c>
    </row>
    <row r="1424" spans="1:9" x14ac:dyDescent="0.3">
      <c r="A1424" t="str">
        <f t="shared" si="22"/>
        <v>CASE-1423</v>
      </c>
      <c r="B1424" s="1">
        <v>46191</v>
      </c>
      <c r="C1424" t="s">
        <v>9</v>
      </c>
      <c r="D1424">
        <v>4</v>
      </c>
      <c r="E1424" t="b">
        <v>1</v>
      </c>
      <c r="F1424" s="2">
        <v>4.0141839278593467</v>
      </c>
      <c r="G1424" t="b">
        <v>0</v>
      </c>
      <c r="H1424" t="s">
        <v>15</v>
      </c>
      <c r="I1424" t="s">
        <v>34</v>
      </c>
    </row>
    <row r="1425" spans="1:9" x14ac:dyDescent="0.3">
      <c r="A1425" t="str">
        <f t="shared" si="22"/>
        <v>CASE-1424</v>
      </c>
      <c r="B1425" s="1">
        <v>45709</v>
      </c>
      <c r="C1425" t="s">
        <v>11</v>
      </c>
      <c r="D1425">
        <v>3</v>
      </c>
      <c r="E1425" t="b">
        <v>1</v>
      </c>
      <c r="F1425" s="2">
        <v>6.5036656306202651</v>
      </c>
      <c r="G1425" t="b">
        <v>0</v>
      </c>
      <c r="H1425" t="s">
        <v>17</v>
      </c>
      <c r="I1425" t="s">
        <v>34</v>
      </c>
    </row>
    <row r="1426" spans="1:9" x14ac:dyDescent="0.3">
      <c r="A1426" t="str">
        <f t="shared" si="22"/>
        <v>CASE-1425</v>
      </c>
      <c r="B1426" s="1">
        <v>45541</v>
      </c>
      <c r="C1426" t="s">
        <v>12</v>
      </c>
      <c r="D1426">
        <v>1</v>
      </c>
      <c r="E1426" t="b">
        <v>0</v>
      </c>
      <c r="F1426" s="2">
        <v>25.869626167108279</v>
      </c>
      <c r="G1426" t="b">
        <v>0</v>
      </c>
      <c r="H1426" t="s">
        <v>23</v>
      </c>
      <c r="I1426" t="s">
        <v>33</v>
      </c>
    </row>
    <row r="1427" spans="1:9" x14ac:dyDescent="0.3">
      <c r="A1427" t="str">
        <f t="shared" si="22"/>
        <v>CASE-1426</v>
      </c>
      <c r="B1427" s="1">
        <v>45675</v>
      </c>
      <c r="C1427" t="s">
        <v>11</v>
      </c>
      <c r="D1427">
        <v>3</v>
      </c>
      <c r="E1427" t="b">
        <v>1</v>
      </c>
      <c r="F1427" s="2">
        <v>5.731086737793059</v>
      </c>
      <c r="G1427" t="b">
        <v>0</v>
      </c>
      <c r="H1427" t="s">
        <v>19</v>
      </c>
      <c r="I1427" t="s">
        <v>34</v>
      </c>
    </row>
    <row r="1428" spans="1:9" x14ac:dyDescent="0.3">
      <c r="A1428" t="str">
        <f t="shared" si="22"/>
        <v>CASE-1427</v>
      </c>
      <c r="B1428" s="1">
        <v>45979</v>
      </c>
      <c r="C1428" t="s">
        <v>12</v>
      </c>
      <c r="D1428">
        <v>2</v>
      </c>
      <c r="E1428" t="b">
        <v>1</v>
      </c>
      <c r="F1428" s="2">
        <v>3.1528273870296961</v>
      </c>
      <c r="G1428" t="b">
        <v>0</v>
      </c>
      <c r="H1428" t="s">
        <v>21</v>
      </c>
      <c r="I1428" t="s">
        <v>34</v>
      </c>
    </row>
    <row r="1429" spans="1:9" x14ac:dyDescent="0.3">
      <c r="A1429" t="str">
        <f t="shared" si="22"/>
        <v>CASE-1428</v>
      </c>
      <c r="B1429" s="1">
        <v>45586</v>
      </c>
      <c r="C1429" t="s">
        <v>10</v>
      </c>
      <c r="D1429">
        <v>3</v>
      </c>
      <c r="E1429" t="b">
        <v>0</v>
      </c>
      <c r="F1429" s="2">
        <v>18.675680969224803</v>
      </c>
      <c r="G1429" t="b">
        <v>0</v>
      </c>
      <c r="H1429" t="s">
        <v>27</v>
      </c>
      <c r="I1429" t="s">
        <v>33</v>
      </c>
    </row>
    <row r="1430" spans="1:9" x14ac:dyDescent="0.3">
      <c r="A1430" t="str">
        <f t="shared" si="22"/>
        <v>CASE-1429</v>
      </c>
      <c r="B1430" s="1">
        <v>45694</v>
      </c>
      <c r="C1430" t="s">
        <v>9</v>
      </c>
      <c r="D1430">
        <v>1</v>
      </c>
      <c r="E1430" t="b">
        <v>1</v>
      </c>
      <c r="F1430" s="2">
        <v>14.689439967459839</v>
      </c>
      <c r="G1430" t="b">
        <v>0</v>
      </c>
      <c r="H1430" t="s">
        <v>15</v>
      </c>
      <c r="I1430" t="s">
        <v>33</v>
      </c>
    </row>
    <row r="1431" spans="1:9" x14ac:dyDescent="0.3">
      <c r="A1431" t="str">
        <f t="shared" si="22"/>
        <v>CASE-1430</v>
      </c>
      <c r="B1431" s="1">
        <v>45643</v>
      </c>
      <c r="C1431" t="s">
        <v>11</v>
      </c>
      <c r="D1431">
        <v>5</v>
      </c>
      <c r="E1431" t="b">
        <v>0</v>
      </c>
      <c r="F1431" s="2">
        <v>26.466742048952248</v>
      </c>
      <c r="G1431" t="b">
        <v>0</v>
      </c>
      <c r="H1431" t="s">
        <v>19</v>
      </c>
      <c r="I1431" t="s">
        <v>33</v>
      </c>
    </row>
    <row r="1432" spans="1:9" x14ac:dyDescent="0.3">
      <c r="A1432" t="str">
        <f t="shared" si="22"/>
        <v>CASE-1431</v>
      </c>
      <c r="B1432" s="1">
        <v>46133</v>
      </c>
      <c r="C1432" t="s">
        <v>10</v>
      </c>
      <c r="D1432">
        <v>1</v>
      </c>
      <c r="E1432" t="b">
        <v>1</v>
      </c>
      <c r="F1432" s="2">
        <v>5.551040793799956</v>
      </c>
      <c r="G1432" t="b">
        <v>0</v>
      </c>
      <c r="H1432" t="s">
        <v>31</v>
      </c>
      <c r="I1432" t="s">
        <v>34</v>
      </c>
    </row>
    <row r="1433" spans="1:9" x14ac:dyDescent="0.3">
      <c r="A1433" t="str">
        <f t="shared" si="22"/>
        <v>CASE-1432</v>
      </c>
      <c r="B1433" s="1">
        <v>45961</v>
      </c>
      <c r="C1433" t="s">
        <v>12</v>
      </c>
      <c r="D1433">
        <v>5</v>
      </c>
      <c r="E1433" t="b">
        <v>1</v>
      </c>
      <c r="F1433" s="2">
        <v>4.8232155567557875</v>
      </c>
      <c r="G1433" t="b">
        <v>0</v>
      </c>
      <c r="H1433" t="s">
        <v>13</v>
      </c>
      <c r="I1433" t="s">
        <v>34</v>
      </c>
    </row>
    <row r="1434" spans="1:9" x14ac:dyDescent="0.3">
      <c r="A1434" t="str">
        <f t="shared" si="22"/>
        <v>CASE-1433</v>
      </c>
      <c r="B1434" s="1">
        <v>45596</v>
      </c>
      <c r="C1434" t="s">
        <v>11</v>
      </c>
      <c r="D1434">
        <v>4</v>
      </c>
      <c r="E1434" t="b">
        <v>0</v>
      </c>
      <c r="F1434" s="2">
        <v>17.576037289892611</v>
      </c>
      <c r="G1434" t="b">
        <v>0</v>
      </c>
      <c r="H1434" t="s">
        <v>25</v>
      </c>
      <c r="I1434" t="s">
        <v>33</v>
      </c>
    </row>
    <row r="1435" spans="1:9" x14ac:dyDescent="0.3">
      <c r="A1435" t="str">
        <f t="shared" si="22"/>
        <v>CASE-1434</v>
      </c>
      <c r="B1435" s="1">
        <v>46168</v>
      </c>
      <c r="C1435" t="s">
        <v>9</v>
      </c>
      <c r="D1435">
        <v>2</v>
      </c>
      <c r="E1435" t="b">
        <v>1</v>
      </c>
      <c r="F1435" s="2">
        <v>3.3606856817073556</v>
      </c>
      <c r="G1435" t="b">
        <v>0</v>
      </c>
      <c r="H1435" t="s">
        <v>26</v>
      </c>
      <c r="I1435" t="s">
        <v>34</v>
      </c>
    </row>
    <row r="1436" spans="1:9" x14ac:dyDescent="0.3">
      <c r="A1436" t="str">
        <f t="shared" si="22"/>
        <v>CASE-1435</v>
      </c>
      <c r="B1436" s="1">
        <v>45985</v>
      </c>
      <c r="C1436" t="s">
        <v>11</v>
      </c>
      <c r="D1436">
        <v>5</v>
      </c>
      <c r="E1436" t="b">
        <v>1</v>
      </c>
      <c r="F1436" s="2">
        <v>4.864500195795685</v>
      </c>
      <c r="G1436" t="b">
        <v>0</v>
      </c>
      <c r="H1436" t="s">
        <v>15</v>
      </c>
      <c r="I1436" t="s">
        <v>34</v>
      </c>
    </row>
    <row r="1437" spans="1:9" x14ac:dyDescent="0.3">
      <c r="A1437" t="str">
        <f t="shared" si="22"/>
        <v>CASE-1436</v>
      </c>
      <c r="B1437" s="1">
        <v>46059</v>
      </c>
      <c r="C1437" t="s">
        <v>12</v>
      </c>
      <c r="D1437">
        <v>3</v>
      </c>
      <c r="E1437" t="b">
        <v>1</v>
      </c>
      <c r="F1437" s="2">
        <v>7.0287023878148895</v>
      </c>
      <c r="G1437" t="b">
        <v>0</v>
      </c>
      <c r="H1437" t="s">
        <v>18</v>
      </c>
      <c r="I1437" t="s">
        <v>34</v>
      </c>
    </row>
    <row r="1438" spans="1:9" x14ac:dyDescent="0.3">
      <c r="A1438" t="str">
        <f t="shared" si="22"/>
        <v>CASE-1437</v>
      </c>
      <c r="B1438" s="1">
        <v>45475</v>
      </c>
      <c r="C1438" t="s">
        <v>12</v>
      </c>
      <c r="D1438">
        <v>4</v>
      </c>
      <c r="E1438" t="b">
        <v>0</v>
      </c>
      <c r="F1438" s="2">
        <v>32.484287386952829</v>
      </c>
      <c r="G1438" t="b">
        <v>0</v>
      </c>
      <c r="H1438" t="s">
        <v>31</v>
      </c>
      <c r="I1438" t="s">
        <v>33</v>
      </c>
    </row>
    <row r="1439" spans="1:9" x14ac:dyDescent="0.3">
      <c r="A1439" t="str">
        <f t="shared" si="22"/>
        <v>CASE-1438</v>
      </c>
      <c r="B1439" s="1">
        <v>46126</v>
      </c>
      <c r="C1439" t="s">
        <v>10</v>
      </c>
      <c r="D1439">
        <v>3</v>
      </c>
      <c r="E1439" t="b">
        <v>0</v>
      </c>
      <c r="F1439" s="2">
        <v>6.271547082449306</v>
      </c>
      <c r="G1439" t="b">
        <v>0</v>
      </c>
      <c r="H1439" t="s">
        <v>29</v>
      </c>
      <c r="I1439" t="s">
        <v>35</v>
      </c>
    </row>
    <row r="1440" spans="1:9" x14ac:dyDescent="0.3">
      <c r="A1440" t="str">
        <f t="shared" si="22"/>
        <v>CASE-1439</v>
      </c>
      <c r="B1440" s="1">
        <v>45622</v>
      </c>
      <c r="C1440" t="s">
        <v>10</v>
      </c>
      <c r="D1440">
        <v>3</v>
      </c>
      <c r="E1440" t="b">
        <v>0</v>
      </c>
      <c r="F1440" s="2">
        <v>25.533186102981524</v>
      </c>
      <c r="G1440" t="b">
        <v>0</v>
      </c>
      <c r="H1440" t="s">
        <v>13</v>
      </c>
      <c r="I1440" t="s">
        <v>33</v>
      </c>
    </row>
    <row r="1441" spans="1:9" x14ac:dyDescent="0.3">
      <c r="A1441" t="str">
        <f t="shared" si="22"/>
        <v>CASE-1440</v>
      </c>
      <c r="B1441" s="1">
        <v>46142</v>
      </c>
      <c r="C1441" t="s">
        <v>11</v>
      </c>
      <c r="D1441">
        <v>4</v>
      </c>
      <c r="E1441" t="b">
        <v>1</v>
      </c>
      <c r="F1441" s="2">
        <v>4.47781289041564</v>
      </c>
      <c r="G1441" t="b">
        <v>0</v>
      </c>
      <c r="H1441" t="s">
        <v>26</v>
      </c>
      <c r="I1441" t="s">
        <v>34</v>
      </c>
    </row>
    <row r="1442" spans="1:9" x14ac:dyDescent="0.3">
      <c r="A1442" t="str">
        <f t="shared" si="22"/>
        <v>CASE-1441</v>
      </c>
      <c r="B1442" s="1">
        <v>45915</v>
      </c>
      <c r="C1442" t="s">
        <v>9</v>
      </c>
      <c r="D1442">
        <v>5</v>
      </c>
      <c r="E1442" t="b">
        <v>0</v>
      </c>
      <c r="F1442" s="2">
        <v>17.142197615769913</v>
      </c>
      <c r="G1442" t="b">
        <v>0</v>
      </c>
      <c r="H1442" t="s">
        <v>22</v>
      </c>
      <c r="I1442" t="s">
        <v>33</v>
      </c>
    </row>
    <row r="1443" spans="1:9" x14ac:dyDescent="0.3">
      <c r="A1443" t="str">
        <f t="shared" si="22"/>
        <v>CASE-1442</v>
      </c>
      <c r="B1443" s="1">
        <v>46112</v>
      </c>
      <c r="C1443" t="s">
        <v>10</v>
      </c>
      <c r="D1443">
        <v>4</v>
      </c>
      <c r="E1443" t="b">
        <v>1</v>
      </c>
      <c r="F1443" s="2">
        <v>4.1454467449140946</v>
      </c>
      <c r="G1443" t="b">
        <v>0</v>
      </c>
      <c r="H1443" t="s">
        <v>17</v>
      </c>
      <c r="I1443" t="s">
        <v>34</v>
      </c>
    </row>
    <row r="1444" spans="1:9" x14ac:dyDescent="0.3">
      <c r="A1444" t="str">
        <f t="shared" si="22"/>
        <v>CASE-1443</v>
      </c>
      <c r="B1444" s="1">
        <v>45693</v>
      </c>
      <c r="C1444" t="s">
        <v>9</v>
      </c>
      <c r="D1444">
        <v>5</v>
      </c>
      <c r="E1444" t="b">
        <v>1</v>
      </c>
      <c r="F1444" s="2">
        <v>5.2273526537684818</v>
      </c>
      <c r="G1444" t="b">
        <v>0</v>
      </c>
      <c r="H1444" t="s">
        <v>24</v>
      </c>
      <c r="I1444" t="s">
        <v>34</v>
      </c>
    </row>
    <row r="1445" spans="1:9" x14ac:dyDescent="0.3">
      <c r="A1445" t="str">
        <f t="shared" si="22"/>
        <v>CASE-1444</v>
      </c>
      <c r="B1445" s="1">
        <v>45729</v>
      </c>
      <c r="C1445" t="s">
        <v>11</v>
      </c>
      <c r="D1445">
        <v>1</v>
      </c>
      <c r="E1445" t="b">
        <v>1</v>
      </c>
      <c r="F1445" s="2">
        <v>7.695860674197748</v>
      </c>
      <c r="G1445" t="b">
        <v>0</v>
      </c>
      <c r="H1445" t="s">
        <v>17</v>
      </c>
      <c r="I1445" t="s">
        <v>34</v>
      </c>
    </row>
    <row r="1446" spans="1:9" x14ac:dyDescent="0.3">
      <c r="A1446" t="str">
        <f t="shared" si="22"/>
        <v>CASE-1445</v>
      </c>
      <c r="B1446" s="1">
        <v>45643</v>
      </c>
      <c r="C1446" t="s">
        <v>9</v>
      </c>
      <c r="D1446">
        <v>5</v>
      </c>
      <c r="E1446" t="b">
        <v>0</v>
      </c>
      <c r="F1446" s="2">
        <v>41.371209866336891</v>
      </c>
      <c r="G1446" t="b">
        <v>0</v>
      </c>
      <c r="H1446" t="s">
        <v>20</v>
      </c>
      <c r="I1446" t="s">
        <v>33</v>
      </c>
    </row>
    <row r="1447" spans="1:9" x14ac:dyDescent="0.3">
      <c r="A1447" t="str">
        <f t="shared" si="22"/>
        <v>CASE-1446</v>
      </c>
      <c r="B1447" s="1">
        <v>45785</v>
      </c>
      <c r="C1447" t="s">
        <v>9</v>
      </c>
      <c r="D1447">
        <v>2</v>
      </c>
      <c r="E1447" t="b">
        <v>1</v>
      </c>
      <c r="F1447" s="2">
        <v>8.3594667237024076</v>
      </c>
      <c r="G1447" t="b">
        <v>0</v>
      </c>
      <c r="H1447" t="s">
        <v>32</v>
      </c>
      <c r="I1447" t="s">
        <v>34</v>
      </c>
    </row>
    <row r="1448" spans="1:9" x14ac:dyDescent="0.3">
      <c r="A1448" t="str">
        <f t="shared" si="22"/>
        <v>CASE-1447</v>
      </c>
      <c r="B1448" s="1">
        <v>45638</v>
      </c>
      <c r="C1448" t="s">
        <v>9</v>
      </c>
      <c r="D1448">
        <v>5</v>
      </c>
      <c r="E1448" t="b">
        <v>0</v>
      </c>
      <c r="F1448" s="2">
        <v>27.562451887773165</v>
      </c>
      <c r="G1448" t="b">
        <v>0</v>
      </c>
      <c r="H1448" t="s">
        <v>20</v>
      </c>
      <c r="I1448" t="s">
        <v>33</v>
      </c>
    </row>
    <row r="1449" spans="1:9" x14ac:dyDescent="0.3">
      <c r="A1449" t="str">
        <f t="shared" si="22"/>
        <v>CASE-1448</v>
      </c>
      <c r="B1449" s="1">
        <v>45814</v>
      </c>
      <c r="C1449" t="s">
        <v>10</v>
      </c>
      <c r="D1449">
        <v>2</v>
      </c>
      <c r="E1449" t="b">
        <v>1</v>
      </c>
      <c r="F1449" s="2">
        <v>3.5113531276423049</v>
      </c>
      <c r="G1449" t="b">
        <v>0</v>
      </c>
      <c r="H1449" t="s">
        <v>32</v>
      </c>
      <c r="I1449" t="s">
        <v>34</v>
      </c>
    </row>
    <row r="1450" spans="1:9" x14ac:dyDescent="0.3">
      <c r="A1450" t="str">
        <f t="shared" si="22"/>
        <v>CASE-1449</v>
      </c>
      <c r="B1450" s="1">
        <v>45914</v>
      </c>
      <c r="C1450" t="s">
        <v>9</v>
      </c>
      <c r="D1450">
        <v>2</v>
      </c>
      <c r="E1450" t="b">
        <v>1</v>
      </c>
      <c r="F1450" s="2">
        <v>22.373277618593704</v>
      </c>
      <c r="G1450" t="b">
        <v>0</v>
      </c>
      <c r="H1450" t="s">
        <v>31</v>
      </c>
      <c r="I1450" t="s">
        <v>33</v>
      </c>
    </row>
    <row r="1451" spans="1:9" x14ac:dyDescent="0.3">
      <c r="A1451" t="str">
        <f t="shared" si="22"/>
        <v>CASE-1450</v>
      </c>
      <c r="B1451" s="1">
        <v>46023</v>
      </c>
      <c r="C1451" t="s">
        <v>9</v>
      </c>
      <c r="D1451">
        <v>4</v>
      </c>
      <c r="E1451" t="b">
        <v>1</v>
      </c>
      <c r="F1451" s="2">
        <v>6.8847935940803531</v>
      </c>
      <c r="G1451" t="b">
        <v>0</v>
      </c>
      <c r="H1451" t="s">
        <v>22</v>
      </c>
      <c r="I1451" t="s">
        <v>34</v>
      </c>
    </row>
    <row r="1452" spans="1:9" x14ac:dyDescent="0.3">
      <c r="A1452" t="str">
        <f t="shared" si="22"/>
        <v>CASE-1451</v>
      </c>
      <c r="B1452" s="1">
        <v>45886</v>
      </c>
      <c r="C1452" t="s">
        <v>12</v>
      </c>
      <c r="D1452">
        <v>1</v>
      </c>
      <c r="E1452" t="b">
        <v>1</v>
      </c>
      <c r="F1452" s="2">
        <v>7.5654713326737228</v>
      </c>
      <c r="G1452" t="b">
        <v>0</v>
      </c>
      <c r="H1452" t="s">
        <v>18</v>
      </c>
      <c r="I1452" t="s">
        <v>34</v>
      </c>
    </row>
    <row r="1453" spans="1:9" x14ac:dyDescent="0.3">
      <c r="A1453" t="str">
        <f t="shared" si="22"/>
        <v>CASE-1452</v>
      </c>
      <c r="B1453" s="1">
        <v>45687</v>
      </c>
      <c r="C1453" t="s">
        <v>11</v>
      </c>
      <c r="D1453">
        <v>2</v>
      </c>
      <c r="E1453" t="b">
        <v>1</v>
      </c>
      <c r="F1453" s="2">
        <v>5.0555706489329371</v>
      </c>
      <c r="G1453" t="b">
        <v>0</v>
      </c>
      <c r="H1453" t="s">
        <v>15</v>
      </c>
      <c r="I1453" t="s">
        <v>34</v>
      </c>
    </row>
    <row r="1454" spans="1:9" x14ac:dyDescent="0.3">
      <c r="A1454" t="str">
        <f t="shared" si="22"/>
        <v>CASE-1453</v>
      </c>
      <c r="B1454" s="1">
        <v>46202</v>
      </c>
      <c r="C1454" t="s">
        <v>11</v>
      </c>
      <c r="D1454">
        <v>1</v>
      </c>
      <c r="E1454" t="b">
        <v>1</v>
      </c>
      <c r="F1454" s="2">
        <v>7.6405344104429744</v>
      </c>
      <c r="G1454" t="b">
        <v>0</v>
      </c>
      <c r="H1454" t="s">
        <v>24</v>
      </c>
      <c r="I1454" t="s">
        <v>34</v>
      </c>
    </row>
    <row r="1455" spans="1:9" x14ac:dyDescent="0.3">
      <c r="A1455" t="str">
        <f t="shared" si="22"/>
        <v>CASE-1454</v>
      </c>
      <c r="B1455" s="1">
        <v>45776</v>
      </c>
      <c r="C1455" t="s">
        <v>11</v>
      </c>
      <c r="D1455">
        <v>4</v>
      </c>
      <c r="E1455" t="b">
        <v>1</v>
      </c>
      <c r="F1455" s="2">
        <v>6.2367167011904234</v>
      </c>
      <c r="G1455" t="b">
        <v>0</v>
      </c>
      <c r="H1455" t="s">
        <v>18</v>
      </c>
      <c r="I1455" t="s">
        <v>34</v>
      </c>
    </row>
    <row r="1456" spans="1:9" x14ac:dyDescent="0.3">
      <c r="A1456" t="str">
        <f t="shared" si="22"/>
        <v>CASE-1455</v>
      </c>
      <c r="B1456" s="1">
        <v>45717</v>
      </c>
      <c r="C1456" t="s">
        <v>10</v>
      </c>
      <c r="D1456">
        <v>3</v>
      </c>
      <c r="E1456" t="b">
        <v>1</v>
      </c>
      <c r="F1456" s="2">
        <v>7.2936976738928037</v>
      </c>
      <c r="G1456" t="b">
        <v>0</v>
      </c>
      <c r="H1456" t="s">
        <v>32</v>
      </c>
      <c r="I1456" t="s">
        <v>34</v>
      </c>
    </row>
    <row r="1457" spans="1:9" x14ac:dyDescent="0.3">
      <c r="A1457" t="str">
        <f t="shared" si="22"/>
        <v>CASE-1456</v>
      </c>
      <c r="B1457" s="1">
        <v>45898</v>
      </c>
      <c r="C1457" t="s">
        <v>12</v>
      </c>
      <c r="D1457">
        <v>3</v>
      </c>
      <c r="E1457" t="b">
        <v>0</v>
      </c>
      <c r="F1457" s="2">
        <v>3.874205429508546</v>
      </c>
      <c r="G1457" t="b">
        <v>0</v>
      </c>
      <c r="H1457" t="s">
        <v>31</v>
      </c>
      <c r="I1457" t="s">
        <v>35</v>
      </c>
    </row>
    <row r="1458" spans="1:9" x14ac:dyDescent="0.3">
      <c r="A1458" t="str">
        <f t="shared" si="22"/>
        <v>CASE-1457</v>
      </c>
      <c r="B1458" s="1">
        <v>46200</v>
      </c>
      <c r="C1458" t="s">
        <v>11</v>
      </c>
      <c r="D1458">
        <v>1</v>
      </c>
      <c r="E1458" t="b">
        <v>1</v>
      </c>
      <c r="F1458" s="2">
        <v>23.227751699019716</v>
      </c>
      <c r="G1458" t="b">
        <v>0</v>
      </c>
      <c r="H1458" t="s">
        <v>21</v>
      </c>
      <c r="I1458" t="s">
        <v>33</v>
      </c>
    </row>
    <row r="1459" spans="1:9" x14ac:dyDescent="0.3">
      <c r="A1459" t="str">
        <f t="shared" si="22"/>
        <v>CASE-1458</v>
      </c>
      <c r="B1459" s="1">
        <v>45752</v>
      </c>
      <c r="C1459" t="s">
        <v>10</v>
      </c>
      <c r="D1459">
        <v>4</v>
      </c>
      <c r="E1459" t="b">
        <v>1</v>
      </c>
      <c r="F1459" s="2">
        <v>5.3239772891424071</v>
      </c>
      <c r="G1459" t="b">
        <v>0</v>
      </c>
      <c r="H1459" t="s">
        <v>30</v>
      </c>
      <c r="I1459" t="s">
        <v>34</v>
      </c>
    </row>
    <row r="1460" spans="1:9" x14ac:dyDescent="0.3">
      <c r="A1460" t="str">
        <f t="shared" si="22"/>
        <v>CASE-1459</v>
      </c>
      <c r="B1460" s="1">
        <v>45632</v>
      </c>
      <c r="C1460" t="s">
        <v>9</v>
      </c>
      <c r="D1460">
        <v>4</v>
      </c>
      <c r="E1460" t="b">
        <v>0</v>
      </c>
      <c r="F1460" s="2">
        <v>25.5382868961741</v>
      </c>
      <c r="G1460" t="b">
        <v>0</v>
      </c>
      <c r="H1460" t="s">
        <v>19</v>
      </c>
      <c r="I1460" t="s">
        <v>33</v>
      </c>
    </row>
    <row r="1461" spans="1:9" x14ac:dyDescent="0.3">
      <c r="A1461" t="str">
        <f t="shared" si="22"/>
        <v>CASE-1460</v>
      </c>
      <c r="B1461" s="1">
        <v>46175</v>
      </c>
      <c r="C1461" t="s">
        <v>10</v>
      </c>
      <c r="D1461">
        <v>5</v>
      </c>
      <c r="E1461" t="b">
        <v>1</v>
      </c>
      <c r="F1461" s="2">
        <v>35.459142405169672</v>
      </c>
      <c r="G1461" t="b">
        <v>0</v>
      </c>
      <c r="H1461" t="s">
        <v>28</v>
      </c>
      <c r="I1461" t="s">
        <v>33</v>
      </c>
    </row>
    <row r="1462" spans="1:9" x14ac:dyDescent="0.3">
      <c r="A1462" t="str">
        <f t="shared" si="22"/>
        <v>CASE-1461</v>
      </c>
      <c r="B1462" s="1">
        <v>45488</v>
      </c>
      <c r="C1462" t="s">
        <v>10</v>
      </c>
      <c r="D1462">
        <v>4</v>
      </c>
      <c r="E1462" t="b">
        <v>0</v>
      </c>
      <c r="F1462" s="2">
        <v>10.111796589892588</v>
      </c>
      <c r="G1462" t="b">
        <v>0</v>
      </c>
      <c r="H1462" t="s">
        <v>22</v>
      </c>
      <c r="I1462" t="s">
        <v>33</v>
      </c>
    </row>
    <row r="1463" spans="1:9" x14ac:dyDescent="0.3">
      <c r="A1463" t="str">
        <f t="shared" si="22"/>
        <v>CASE-1462</v>
      </c>
      <c r="B1463" s="1">
        <v>46077</v>
      </c>
      <c r="C1463" t="s">
        <v>11</v>
      </c>
      <c r="D1463">
        <v>5</v>
      </c>
      <c r="E1463" t="b">
        <v>0</v>
      </c>
      <c r="F1463" s="2">
        <v>7.8238218672759681</v>
      </c>
      <c r="G1463" t="b">
        <v>0</v>
      </c>
      <c r="H1463" t="s">
        <v>25</v>
      </c>
      <c r="I1463" t="s">
        <v>34</v>
      </c>
    </row>
    <row r="1464" spans="1:9" x14ac:dyDescent="0.3">
      <c r="A1464" t="str">
        <f t="shared" si="22"/>
        <v>CASE-1463</v>
      </c>
      <c r="B1464" s="1">
        <v>46194</v>
      </c>
      <c r="C1464" t="s">
        <v>9</v>
      </c>
      <c r="D1464">
        <v>5</v>
      </c>
      <c r="E1464" t="b">
        <v>1</v>
      </c>
      <c r="F1464" s="2">
        <v>6.2088976668367284</v>
      </c>
      <c r="G1464" t="b">
        <v>0</v>
      </c>
      <c r="H1464" t="s">
        <v>23</v>
      </c>
      <c r="I1464" t="s">
        <v>34</v>
      </c>
    </row>
    <row r="1465" spans="1:9" x14ac:dyDescent="0.3">
      <c r="A1465" t="str">
        <f t="shared" si="22"/>
        <v>CASE-1464</v>
      </c>
      <c r="B1465" s="1">
        <v>45885</v>
      </c>
      <c r="C1465" t="s">
        <v>9</v>
      </c>
      <c r="D1465">
        <v>1</v>
      </c>
      <c r="E1465" t="b">
        <v>1</v>
      </c>
      <c r="F1465" s="2">
        <v>7.9092952755555199</v>
      </c>
      <c r="G1465" t="b">
        <v>0</v>
      </c>
      <c r="H1465" t="s">
        <v>32</v>
      </c>
      <c r="I1465" t="s">
        <v>34</v>
      </c>
    </row>
    <row r="1466" spans="1:9" x14ac:dyDescent="0.3">
      <c r="A1466" t="str">
        <f t="shared" si="22"/>
        <v>CASE-1465</v>
      </c>
      <c r="B1466" s="1">
        <v>46146</v>
      </c>
      <c r="C1466" t="s">
        <v>12</v>
      </c>
      <c r="D1466">
        <v>5</v>
      </c>
      <c r="E1466" t="b">
        <v>0</v>
      </c>
      <c r="F1466" s="2">
        <v>6.9175480341878206</v>
      </c>
      <c r="G1466" t="b">
        <v>0</v>
      </c>
      <c r="H1466" t="s">
        <v>27</v>
      </c>
      <c r="I1466" t="s">
        <v>34</v>
      </c>
    </row>
    <row r="1467" spans="1:9" x14ac:dyDescent="0.3">
      <c r="A1467" t="str">
        <f t="shared" si="22"/>
        <v>CASE-1466</v>
      </c>
      <c r="B1467" s="1">
        <v>45956</v>
      </c>
      <c r="C1467" t="s">
        <v>9</v>
      </c>
      <c r="D1467">
        <v>4</v>
      </c>
      <c r="E1467" t="b">
        <v>1</v>
      </c>
      <c r="F1467" s="2">
        <v>8.1878523593930641</v>
      </c>
      <c r="G1467" t="b">
        <v>0</v>
      </c>
      <c r="H1467" t="s">
        <v>13</v>
      </c>
      <c r="I1467" t="s">
        <v>34</v>
      </c>
    </row>
    <row r="1468" spans="1:9" x14ac:dyDescent="0.3">
      <c r="A1468" t="str">
        <f t="shared" si="22"/>
        <v>CASE-1467</v>
      </c>
      <c r="B1468" s="1">
        <v>45758</v>
      </c>
      <c r="C1468" t="s">
        <v>11</v>
      </c>
      <c r="D1468">
        <v>2</v>
      </c>
      <c r="E1468" t="b">
        <v>1</v>
      </c>
      <c r="F1468" s="2">
        <v>6.7693653214427307</v>
      </c>
      <c r="G1468" t="b">
        <v>0</v>
      </c>
      <c r="H1468" t="s">
        <v>25</v>
      </c>
      <c r="I1468" t="s">
        <v>35</v>
      </c>
    </row>
    <row r="1469" spans="1:9" x14ac:dyDescent="0.3">
      <c r="A1469" t="str">
        <f t="shared" si="22"/>
        <v>CASE-1468</v>
      </c>
      <c r="B1469" s="1">
        <v>46058</v>
      </c>
      <c r="C1469" t="s">
        <v>10</v>
      </c>
      <c r="D1469">
        <v>5</v>
      </c>
      <c r="E1469" t="b">
        <v>1</v>
      </c>
      <c r="F1469" s="2">
        <v>8.5459017102590735</v>
      </c>
      <c r="G1469" t="b">
        <v>0</v>
      </c>
      <c r="H1469" t="s">
        <v>19</v>
      </c>
      <c r="I1469" t="s">
        <v>34</v>
      </c>
    </row>
    <row r="1470" spans="1:9" x14ac:dyDescent="0.3">
      <c r="A1470" t="str">
        <f t="shared" si="22"/>
        <v>CASE-1469</v>
      </c>
      <c r="B1470" s="1">
        <v>45572</v>
      </c>
      <c r="C1470" t="s">
        <v>11</v>
      </c>
      <c r="D1470">
        <v>5</v>
      </c>
      <c r="E1470" t="b">
        <v>0</v>
      </c>
      <c r="F1470" s="2">
        <v>16.041059060091072</v>
      </c>
      <c r="G1470" t="b">
        <v>0</v>
      </c>
      <c r="H1470" t="s">
        <v>28</v>
      </c>
      <c r="I1470" t="s">
        <v>33</v>
      </c>
    </row>
    <row r="1471" spans="1:9" x14ac:dyDescent="0.3">
      <c r="A1471" t="str">
        <f t="shared" si="22"/>
        <v>CASE-1470</v>
      </c>
      <c r="B1471" s="1">
        <v>45706</v>
      </c>
      <c r="C1471" t="s">
        <v>11</v>
      </c>
      <c r="D1471">
        <v>2</v>
      </c>
      <c r="E1471" t="b">
        <v>1</v>
      </c>
      <c r="F1471" s="2">
        <v>2.5317759761073848</v>
      </c>
      <c r="G1471" t="b">
        <v>0</v>
      </c>
      <c r="H1471" t="s">
        <v>31</v>
      </c>
      <c r="I1471" t="s">
        <v>34</v>
      </c>
    </row>
    <row r="1472" spans="1:9" x14ac:dyDescent="0.3">
      <c r="A1472" t="str">
        <f t="shared" si="22"/>
        <v>CASE-1471</v>
      </c>
      <c r="B1472" s="1">
        <v>45829</v>
      </c>
      <c r="C1472" t="s">
        <v>11</v>
      </c>
      <c r="D1472">
        <v>5</v>
      </c>
      <c r="E1472" t="b">
        <v>1</v>
      </c>
      <c r="F1472" s="2">
        <v>5.714727267480793</v>
      </c>
      <c r="G1472" t="b">
        <v>0</v>
      </c>
      <c r="H1472" t="s">
        <v>16</v>
      </c>
      <c r="I1472" t="s">
        <v>34</v>
      </c>
    </row>
    <row r="1473" spans="1:9" x14ac:dyDescent="0.3">
      <c r="A1473" t="str">
        <f t="shared" si="22"/>
        <v>CASE-1472</v>
      </c>
      <c r="B1473" s="1">
        <v>45792</v>
      </c>
      <c r="C1473" t="s">
        <v>12</v>
      </c>
      <c r="D1473">
        <v>2</v>
      </c>
      <c r="E1473" t="b">
        <v>0</v>
      </c>
      <c r="F1473" s="2">
        <v>5.2018015542045557</v>
      </c>
      <c r="G1473" t="b">
        <v>1</v>
      </c>
      <c r="H1473" t="s">
        <v>31</v>
      </c>
      <c r="I1473" t="s">
        <v>34</v>
      </c>
    </row>
    <row r="1474" spans="1:9" x14ac:dyDescent="0.3">
      <c r="A1474" t="str">
        <f t="shared" si="22"/>
        <v>CASE-1473</v>
      </c>
      <c r="B1474" s="1">
        <v>45614</v>
      </c>
      <c r="C1474" t="s">
        <v>11</v>
      </c>
      <c r="D1474">
        <v>5</v>
      </c>
      <c r="E1474" t="b">
        <v>0</v>
      </c>
      <c r="F1474" s="2">
        <v>17.799877681330933</v>
      </c>
      <c r="G1474" t="b">
        <v>0</v>
      </c>
      <c r="H1474" t="s">
        <v>32</v>
      </c>
      <c r="I1474" t="s">
        <v>33</v>
      </c>
    </row>
    <row r="1475" spans="1:9" x14ac:dyDescent="0.3">
      <c r="A1475" t="str">
        <f t="shared" ref="A1475:A1538" si="23">"CASE-"&amp;TEXT(ROW()-1,"0000")</f>
        <v>CASE-1474</v>
      </c>
      <c r="B1475" s="1">
        <v>45848</v>
      </c>
      <c r="C1475" t="s">
        <v>11</v>
      </c>
      <c r="D1475">
        <v>3</v>
      </c>
      <c r="E1475" t="b">
        <v>1</v>
      </c>
      <c r="F1475" s="2">
        <v>2.1820288537182191</v>
      </c>
      <c r="G1475" t="b">
        <v>0</v>
      </c>
      <c r="H1475" t="s">
        <v>16</v>
      </c>
      <c r="I1475" t="s">
        <v>34</v>
      </c>
    </row>
    <row r="1476" spans="1:9" x14ac:dyDescent="0.3">
      <c r="A1476" t="str">
        <f t="shared" si="23"/>
        <v>CASE-1475</v>
      </c>
      <c r="B1476" s="1">
        <v>46180</v>
      </c>
      <c r="C1476" t="s">
        <v>10</v>
      </c>
      <c r="D1476">
        <v>3</v>
      </c>
      <c r="E1476" t="b">
        <v>0</v>
      </c>
      <c r="F1476" s="2">
        <v>7.7862634641364403</v>
      </c>
      <c r="G1476" t="b">
        <v>0</v>
      </c>
      <c r="H1476" t="s">
        <v>24</v>
      </c>
      <c r="I1476" t="s">
        <v>34</v>
      </c>
    </row>
    <row r="1477" spans="1:9" x14ac:dyDescent="0.3">
      <c r="A1477" t="str">
        <f t="shared" si="23"/>
        <v>CASE-1476</v>
      </c>
      <c r="B1477" s="1">
        <v>46142</v>
      </c>
      <c r="C1477" t="s">
        <v>10</v>
      </c>
      <c r="D1477">
        <v>3</v>
      </c>
      <c r="E1477" t="b">
        <v>1</v>
      </c>
      <c r="F1477" s="2">
        <v>4.1293359900332902</v>
      </c>
      <c r="G1477" t="b">
        <v>0</v>
      </c>
      <c r="H1477" t="s">
        <v>25</v>
      </c>
      <c r="I1477" t="s">
        <v>34</v>
      </c>
    </row>
    <row r="1478" spans="1:9" x14ac:dyDescent="0.3">
      <c r="A1478" t="str">
        <f t="shared" si="23"/>
        <v>CASE-1477</v>
      </c>
      <c r="B1478" s="1">
        <v>45684</v>
      </c>
      <c r="C1478" t="s">
        <v>11</v>
      </c>
      <c r="D1478">
        <v>1</v>
      </c>
      <c r="E1478" t="b">
        <v>1</v>
      </c>
      <c r="F1478" s="2">
        <v>8.5794356364190918</v>
      </c>
      <c r="G1478" t="b">
        <v>0</v>
      </c>
      <c r="H1478" t="s">
        <v>28</v>
      </c>
      <c r="I1478" t="s">
        <v>34</v>
      </c>
    </row>
    <row r="1479" spans="1:9" x14ac:dyDescent="0.3">
      <c r="A1479" t="str">
        <f t="shared" si="23"/>
        <v>CASE-1478</v>
      </c>
      <c r="B1479" s="1">
        <v>45771</v>
      </c>
      <c r="C1479" t="s">
        <v>11</v>
      </c>
      <c r="D1479">
        <v>2</v>
      </c>
      <c r="E1479" t="b">
        <v>1</v>
      </c>
      <c r="F1479" s="2">
        <v>3.262038646726237</v>
      </c>
      <c r="G1479" t="b">
        <v>0</v>
      </c>
      <c r="H1479" t="s">
        <v>21</v>
      </c>
      <c r="I1479" t="s">
        <v>34</v>
      </c>
    </row>
    <row r="1480" spans="1:9" x14ac:dyDescent="0.3">
      <c r="A1480" t="str">
        <f t="shared" si="23"/>
        <v>CASE-1479</v>
      </c>
      <c r="B1480" s="1">
        <v>45893</v>
      </c>
      <c r="C1480" t="s">
        <v>12</v>
      </c>
      <c r="D1480">
        <v>4</v>
      </c>
      <c r="E1480" t="b">
        <v>0</v>
      </c>
      <c r="F1480" s="2">
        <v>7.077984882735306</v>
      </c>
      <c r="G1480" t="b">
        <v>0</v>
      </c>
      <c r="H1480" t="s">
        <v>32</v>
      </c>
      <c r="I1480" t="s">
        <v>34</v>
      </c>
    </row>
    <row r="1481" spans="1:9" x14ac:dyDescent="0.3">
      <c r="A1481" t="str">
        <f t="shared" si="23"/>
        <v>CASE-1480</v>
      </c>
      <c r="B1481" s="1">
        <v>45965</v>
      </c>
      <c r="C1481" t="s">
        <v>11</v>
      </c>
      <c r="D1481">
        <v>3</v>
      </c>
      <c r="E1481" t="b">
        <v>1</v>
      </c>
      <c r="F1481" s="2">
        <v>35.747027928775132</v>
      </c>
      <c r="G1481" t="b">
        <v>0</v>
      </c>
      <c r="H1481" t="s">
        <v>17</v>
      </c>
      <c r="I1481" t="s">
        <v>33</v>
      </c>
    </row>
    <row r="1482" spans="1:9" x14ac:dyDescent="0.3">
      <c r="A1482" t="str">
        <f t="shared" si="23"/>
        <v>CASE-1481</v>
      </c>
      <c r="B1482" s="1">
        <v>45861</v>
      </c>
      <c r="C1482" t="s">
        <v>10</v>
      </c>
      <c r="D1482">
        <v>1</v>
      </c>
      <c r="E1482" t="b">
        <v>1</v>
      </c>
      <c r="F1482" s="2">
        <v>4.1167129170146453</v>
      </c>
      <c r="G1482" t="b">
        <v>0</v>
      </c>
      <c r="H1482" t="s">
        <v>24</v>
      </c>
      <c r="I1482" t="s">
        <v>34</v>
      </c>
    </row>
    <row r="1483" spans="1:9" x14ac:dyDescent="0.3">
      <c r="A1483" t="str">
        <f t="shared" si="23"/>
        <v>CASE-1482</v>
      </c>
      <c r="B1483" s="1">
        <v>46152</v>
      </c>
      <c r="C1483" t="s">
        <v>9</v>
      </c>
      <c r="D1483">
        <v>1</v>
      </c>
      <c r="E1483" t="b">
        <v>0</v>
      </c>
      <c r="F1483" s="2">
        <v>5.8556270362053517</v>
      </c>
      <c r="G1483" t="b">
        <v>0</v>
      </c>
      <c r="H1483" t="s">
        <v>17</v>
      </c>
      <c r="I1483" t="s">
        <v>34</v>
      </c>
    </row>
    <row r="1484" spans="1:9" x14ac:dyDescent="0.3">
      <c r="A1484" t="str">
        <f t="shared" si="23"/>
        <v>CASE-1483</v>
      </c>
      <c r="B1484" s="1">
        <v>45664</v>
      </c>
      <c r="C1484" t="s">
        <v>11</v>
      </c>
      <c r="D1484">
        <v>2</v>
      </c>
      <c r="E1484" t="b">
        <v>1</v>
      </c>
      <c r="F1484" s="2">
        <v>6.6995187162742882</v>
      </c>
      <c r="G1484" t="b">
        <v>0</v>
      </c>
      <c r="H1484" t="s">
        <v>17</v>
      </c>
      <c r="I1484" t="s">
        <v>34</v>
      </c>
    </row>
    <row r="1485" spans="1:9" x14ac:dyDescent="0.3">
      <c r="A1485" t="str">
        <f t="shared" si="23"/>
        <v>CASE-1484</v>
      </c>
      <c r="B1485" s="1">
        <v>45960</v>
      </c>
      <c r="C1485" t="s">
        <v>9</v>
      </c>
      <c r="D1485">
        <v>5</v>
      </c>
      <c r="E1485" t="b">
        <v>1</v>
      </c>
      <c r="F1485" s="2">
        <v>23.272580195849713</v>
      </c>
      <c r="G1485" t="b">
        <v>0</v>
      </c>
      <c r="H1485" t="s">
        <v>26</v>
      </c>
      <c r="I1485" t="s">
        <v>33</v>
      </c>
    </row>
    <row r="1486" spans="1:9" x14ac:dyDescent="0.3">
      <c r="A1486" t="str">
        <f t="shared" si="23"/>
        <v>CASE-1485</v>
      </c>
      <c r="B1486" s="1">
        <v>46168</v>
      </c>
      <c r="C1486" t="s">
        <v>11</v>
      </c>
      <c r="D1486">
        <v>5</v>
      </c>
      <c r="E1486" t="b">
        <v>1</v>
      </c>
      <c r="F1486" s="2">
        <v>4.6196926522814703</v>
      </c>
      <c r="G1486" t="b">
        <v>0</v>
      </c>
      <c r="H1486" t="s">
        <v>14</v>
      </c>
      <c r="I1486" t="s">
        <v>34</v>
      </c>
    </row>
    <row r="1487" spans="1:9" x14ac:dyDescent="0.3">
      <c r="A1487" t="str">
        <f t="shared" si="23"/>
        <v>CASE-1486</v>
      </c>
      <c r="B1487" s="1">
        <v>45754</v>
      </c>
      <c r="C1487" t="s">
        <v>10</v>
      </c>
      <c r="D1487">
        <v>5</v>
      </c>
      <c r="E1487" t="b">
        <v>1</v>
      </c>
      <c r="F1487" s="2">
        <v>36.273494940979916</v>
      </c>
      <c r="G1487" t="b">
        <v>0</v>
      </c>
      <c r="H1487" t="s">
        <v>30</v>
      </c>
      <c r="I1487" t="s">
        <v>33</v>
      </c>
    </row>
    <row r="1488" spans="1:9" x14ac:dyDescent="0.3">
      <c r="A1488" t="str">
        <f t="shared" si="23"/>
        <v>CASE-1487</v>
      </c>
      <c r="B1488" s="1">
        <v>46178</v>
      </c>
      <c r="C1488" t="s">
        <v>9</v>
      </c>
      <c r="D1488">
        <v>5</v>
      </c>
      <c r="E1488" t="b">
        <v>1</v>
      </c>
      <c r="F1488" s="2">
        <v>4.9722297165128779</v>
      </c>
      <c r="G1488" t="b">
        <v>0</v>
      </c>
      <c r="H1488" t="s">
        <v>21</v>
      </c>
      <c r="I1488" t="s">
        <v>35</v>
      </c>
    </row>
    <row r="1489" spans="1:9" x14ac:dyDescent="0.3">
      <c r="A1489" t="str">
        <f t="shared" si="23"/>
        <v>CASE-1488</v>
      </c>
      <c r="B1489" s="1">
        <v>46078</v>
      </c>
      <c r="C1489" t="s">
        <v>11</v>
      </c>
      <c r="D1489">
        <v>2</v>
      </c>
      <c r="E1489" t="b">
        <v>1</v>
      </c>
      <c r="F1489" s="2">
        <v>6.5443540604919264</v>
      </c>
      <c r="G1489" t="b">
        <v>0</v>
      </c>
      <c r="H1489" t="s">
        <v>28</v>
      </c>
      <c r="I1489" t="s">
        <v>34</v>
      </c>
    </row>
    <row r="1490" spans="1:9" x14ac:dyDescent="0.3">
      <c r="A1490" t="str">
        <f t="shared" si="23"/>
        <v>CASE-1489</v>
      </c>
      <c r="B1490" s="1">
        <v>46013</v>
      </c>
      <c r="C1490" t="s">
        <v>12</v>
      </c>
      <c r="D1490">
        <v>4</v>
      </c>
      <c r="E1490" t="b">
        <v>1</v>
      </c>
      <c r="F1490" s="2">
        <v>8.0674912864953789</v>
      </c>
      <c r="G1490" t="b">
        <v>0</v>
      </c>
      <c r="H1490" t="s">
        <v>23</v>
      </c>
      <c r="I1490" t="s">
        <v>34</v>
      </c>
    </row>
    <row r="1491" spans="1:9" x14ac:dyDescent="0.3">
      <c r="A1491" t="str">
        <f t="shared" si="23"/>
        <v>CASE-1490</v>
      </c>
      <c r="B1491" s="1">
        <v>45952</v>
      </c>
      <c r="C1491" t="s">
        <v>11</v>
      </c>
      <c r="D1491">
        <v>4</v>
      </c>
      <c r="E1491" t="b">
        <v>1</v>
      </c>
      <c r="F1491" s="2">
        <v>5.4280917699613633</v>
      </c>
      <c r="G1491" t="b">
        <v>0</v>
      </c>
      <c r="H1491" t="s">
        <v>16</v>
      </c>
      <c r="I1491" t="s">
        <v>34</v>
      </c>
    </row>
    <row r="1492" spans="1:9" x14ac:dyDescent="0.3">
      <c r="A1492" t="str">
        <f t="shared" si="23"/>
        <v>CASE-1491</v>
      </c>
      <c r="B1492" s="1">
        <v>45830</v>
      </c>
      <c r="C1492" t="s">
        <v>10</v>
      </c>
      <c r="D1492">
        <v>5</v>
      </c>
      <c r="E1492" t="b">
        <v>1</v>
      </c>
      <c r="F1492" s="2">
        <v>15.151514191496199</v>
      </c>
      <c r="G1492" t="b">
        <v>0</v>
      </c>
      <c r="H1492" t="s">
        <v>18</v>
      </c>
      <c r="I1492" t="s">
        <v>33</v>
      </c>
    </row>
    <row r="1493" spans="1:9" x14ac:dyDescent="0.3">
      <c r="A1493" t="str">
        <f t="shared" si="23"/>
        <v>CASE-1492</v>
      </c>
      <c r="B1493" s="1">
        <v>45865</v>
      </c>
      <c r="C1493" t="s">
        <v>12</v>
      </c>
      <c r="D1493">
        <v>5</v>
      </c>
      <c r="E1493" t="b">
        <v>0</v>
      </c>
      <c r="F1493" s="2">
        <v>3.6751093545150852</v>
      </c>
      <c r="G1493" t="b">
        <v>0</v>
      </c>
      <c r="H1493" t="s">
        <v>16</v>
      </c>
      <c r="I1493" t="s">
        <v>34</v>
      </c>
    </row>
    <row r="1494" spans="1:9" x14ac:dyDescent="0.3">
      <c r="A1494" t="str">
        <f t="shared" si="23"/>
        <v>CASE-1493</v>
      </c>
      <c r="B1494" s="1">
        <v>45916</v>
      </c>
      <c r="C1494" t="s">
        <v>9</v>
      </c>
      <c r="D1494">
        <v>2</v>
      </c>
      <c r="E1494" t="b">
        <v>1</v>
      </c>
      <c r="F1494" s="2">
        <v>24.242243809655459</v>
      </c>
      <c r="G1494" t="b">
        <v>0</v>
      </c>
      <c r="H1494" t="s">
        <v>23</v>
      </c>
      <c r="I1494" t="s">
        <v>33</v>
      </c>
    </row>
    <row r="1495" spans="1:9" x14ac:dyDescent="0.3">
      <c r="A1495" t="str">
        <f t="shared" si="23"/>
        <v>CASE-1494</v>
      </c>
      <c r="B1495" s="1">
        <v>45687</v>
      </c>
      <c r="C1495" t="s">
        <v>9</v>
      </c>
      <c r="D1495">
        <v>3</v>
      </c>
      <c r="E1495" t="b">
        <v>1</v>
      </c>
      <c r="F1495" s="2">
        <v>3.4171010660622594</v>
      </c>
      <c r="G1495" t="b">
        <v>0</v>
      </c>
      <c r="H1495" t="s">
        <v>29</v>
      </c>
      <c r="I1495" t="s">
        <v>35</v>
      </c>
    </row>
    <row r="1496" spans="1:9" x14ac:dyDescent="0.3">
      <c r="A1496" t="str">
        <f t="shared" si="23"/>
        <v>CASE-1495</v>
      </c>
      <c r="B1496" s="1">
        <v>46137</v>
      </c>
      <c r="C1496" t="s">
        <v>10</v>
      </c>
      <c r="D1496">
        <v>1</v>
      </c>
      <c r="E1496" t="b">
        <v>1</v>
      </c>
      <c r="F1496" s="2">
        <v>10.242259293163626</v>
      </c>
      <c r="G1496" t="b">
        <v>0</v>
      </c>
      <c r="H1496" t="s">
        <v>22</v>
      </c>
      <c r="I1496" t="s">
        <v>33</v>
      </c>
    </row>
    <row r="1497" spans="1:9" x14ac:dyDescent="0.3">
      <c r="A1497" t="str">
        <f t="shared" si="23"/>
        <v>CASE-1496</v>
      </c>
      <c r="B1497" s="1">
        <v>45500</v>
      </c>
      <c r="C1497" t="s">
        <v>12</v>
      </c>
      <c r="D1497">
        <v>4</v>
      </c>
      <c r="E1497" t="b">
        <v>0</v>
      </c>
      <c r="F1497" s="2">
        <v>21.257144389607031</v>
      </c>
      <c r="G1497" t="b">
        <v>0</v>
      </c>
      <c r="H1497" t="s">
        <v>30</v>
      </c>
      <c r="I1497" t="s">
        <v>33</v>
      </c>
    </row>
    <row r="1498" spans="1:9" x14ac:dyDescent="0.3">
      <c r="A1498" t="str">
        <f t="shared" si="23"/>
        <v>CASE-1497</v>
      </c>
      <c r="B1498" s="1">
        <v>45500</v>
      </c>
      <c r="C1498" t="s">
        <v>9</v>
      </c>
      <c r="D1498">
        <v>3</v>
      </c>
      <c r="E1498" t="b">
        <v>0</v>
      </c>
      <c r="F1498" s="2">
        <v>18.161283216265424</v>
      </c>
      <c r="G1498" t="b">
        <v>0</v>
      </c>
      <c r="H1498" t="s">
        <v>24</v>
      </c>
      <c r="I1498" t="s">
        <v>33</v>
      </c>
    </row>
    <row r="1499" spans="1:9" x14ac:dyDescent="0.3">
      <c r="A1499" t="str">
        <f t="shared" si="23"/>
        <v>CASE-1498</v>
      </c>
      <c r="B1499" s="1">
        <v>45678</v>
      </c>
      <c r="C1499" t="s">
        <v>11</v>
      </c>
      <c r="D1499">
        <v>2</v>
      </c>
      <c r="E1499" t="b">
        <v>0</v>
      </c>
      <c r="F1499" s="2">
        <v>5.5098283339800425</v>
      </c>
      <c r="G1499" t="b">
        <v>0</v>
      </c>
      <c r="H1499" t="s">
        <v>31</v>
      </c>
      <c r="I1499" t="s">
        <v>34</v>
      </c>
    </row>
    <row r="1500" spans="1:9" x14ac:dyDescent="0.3">
      <c r="A1500" t="str">
        <f t="shared" si="23"/>
        <v>CASE-1499</v>
      </c>
      <c r="B1500" s="1">
        <v>45921</v>
      </c>
      <c r="C1500" t="s">
        <v>9</v>
      </c>
      <c r="D1500">
        <v>3</v>
      </c>
      <c r="E1500" t="b">
        <v>1</v>
      </c>
      <c r="F1500" s="2">
        <v>5.2823765936543374</v>
      </c>
      <c r="G1500" t="b">
        <v>0</v>
      </c>
      <c r="H1500" t="s">
        <v>18</v>
      </c>
      <c r="I1500" t="s">
        <v>34</v>
      </c>
    </row>
    <row r="1501" spans="1:9" x14ac:dyDescent="0.3">
      <c r="A1501" t="str">
        <f t="shared" si="23"/>
        <v>CASE-1500</v>
      </c>
      <c r="B1501" s="1">
        <v>45873</v>
      </c>
      <c r="C1501" t="s">
        <v>10</v>
      </c>
      <c r="D1501">
        <v>2</v>
      </c>
      <c r="E1501" t="b">
        <v>1</v>
      </c>
      <c r="F1501" s="2">
        <v>25.309603544830519</v>
      </c>
      <c r="G1501" t="b">
        <v>0</v>
      </c>
      <c r="H1501" t="s">
        <v>14</v>
      </c>
      <c r="I1501" t="s">
        <v>33</v>
      </c>
    </row>
    <row r="1502" spans="1:9" x14ac:dyDescent="0.3">
      <c r="A1502" t="str">
        <f t="shared" si="23"/>
        <v>CASE-1501</v>
      </c>
      <c r="B1502" s="1">
        <v>45809</v>
      </c>
      <c r="C1502" t="s">
        <v>12</v>
      </c>
      <c r="D1502">
        <v>3</v>
      </c>
      <c r="E1502" t="b">
        <v>1</v>
      </c>
      <c r="F1502" s="2">
        <v>8.3027333305551796</v>
      </c>
      <c r="G1502" t="b">
        <v>0</v>
      </c>
      <c r="H1502" t="s">
        <v>19</v>
      </c>
      <c r="I1502" t="s">
        <v>34</v>
      </c>
    </row>
    <row r="1503" spans="1:9" x14ac:dyDescent="0.3">
      <c r="A1503" t="str">
        <f t="shared" si="23"/>
        <v>CASE-1502</v>
      </c>
      <c r="B1503" s="1">
        <v>46173</v>
      </c>
      <c r="C1503" t="s">
        <v>11</v>
      </c>
      <c r="D1503">
        <v>4</v>
      </c>
      <c r="E1503" t="b">
        <v>1</v>
      </c>
      <c r="F1503" s="2">
        <v>9.3886881052354827</v>
      </c>
      <c r="G1503" t="b">
        <v>0</v>
      </c>
      <c r="H1503" t="s">
        <v>23</v>
      </c>
      <c r="I1503" t="s">
        <v>34</v>
      </c>
    </row>
    <row r="1504" spans="1:9" x14ac:dyDescent="0.3">
      <c r="A1504" t="str">
        <f t="shared" si="23"/>
        <v>CASE-1503</v>
      </c>
      <c r="B1504" s="1">
        <v>45558</v>
      </c>
      <c r="C1504" t="s">
        <v>9</v>
      </c>
      <c r="D1504">
        <v>2</v>
      </c>
      <c r="E1504" t="b">
        <v>0</v>
      </c>
      <c r="F1504" s="2">
        <v>36.480943853927982</v>
      </c>
      <c r="G1504" t="b">
        <v>0</v>
      </c>
      <c r="H1504" t="s">
        <v>23</v>
      </c>
      <c r="I1504" t="s">
        <v>33</v>
      </c>
    </row>
    <row r="1505" spans="1:9" x14ac:dyDescent="0.3">
      <c r="A1505" t="str">
        <f t="shared" si="23"/>
        <v>CASE-1504</v>
      </c>
      <c r="B1505" s="1">
        <v>45737</v>
      </c>
      <c r="C1505" t="s">
        <v>11</v>
      </c>
      <c r="D1505">
        <v>2</v>
      </c>
      <c r="E1505" t="b">
        <v>1</v>
      </c>
      <c r="F1505" s="2">
        <v>27.965264546727393</v>
      </c>
      <c r="G1505" t="b">
        <v>0</v>
      </c>
      <c r="H1505" t="s">
        <v>18</v>
      </c>
      <c r="I1505" t="s">
        <v>33</v>
      </c>
    </row>
    <row r="1506" spans="1:9" x14ac:dyDescent="0.3">
      <c r="A1506" t="str">
        <f t="shared" si="23"/>
        <v>CASE-1505</v>
      </c>
      <c r="B1506" s="1">
        <v>45694</v>
      </c>
      <c r="C1506" t="s">
        <v>10</v>
      </c>
      <c r="D1506">
        <v>4</v>
      </c>
      <c r="E1506" t="b">
        <v>0</v>
      </c>
      <c r="F1506" s="2">
        <v>5.7761670822915319</v>
      </c>
      <c r="G1506" t="b">
        <v>0</v>
      </c>
      <c r="H1506" t="s">
        <v>27</v>
      </c>
      <c r="I1506" t="s">
        <v>34</v>
      </c>
    </row>
    <row r="1507" spans="1:9" x14ac:dyDescent="0.3">
      <c r="A1507" t="str">
        <f t="shared" si="23"/>
        <v>CASE-1506</v>
      </c>
      <c r="B1507" s="1">
        <v>46199</v>
      </c>
      <c r="C1507" t="s">
        <v>11</v>
      </c>
      <c r="D1507">
        <v>4</v>
      </c>
      <c r="E1507" t="b">
        <v>1</v>
      </c>
      <c r="F1507" s="2">
        <v>16.113444631841549</v>
      </c>
      <c r="G1507" t="b">
        <v>0</v>
      </c>
      <c r="H1507" t="s">
        <v>21</v>
      </c>
      <c r="I1507" t="s">
        <v>33</v>
      </c>
    </row>
    <row r="1508" spans="1:9" x14ac:dyDescent="0.3">
      <c r="A1508" t="str">
        <f t="shared" si="23"/>
        <v>CASE-1507</v>
      </c>
      <c r="B1508" s="1">
        <v>45663</v>
      </c>
      <c r="C1508" t="s">
        <v>9</v>
      </c>
      <c r="D1508">
        <v>1</v>
      </c>
      <c r="E1508" t="b">
        <v>1</v>
      </c>
      <c r="F1508" s="2">
        <v>10.745117034552866</v>
      </c>
      <c r="G1508" t="b">
        <v>0</v>
      </c>
      <c r="H1508" t="s">
        <v>19</v>
      </c>
      <c r="I1508" t="s">
        <v>34</v>
      </c>
    </row>
    <row r="1509" spans="1:9" x14ac:dyDescent="0.3">
      <c r="A1509" t="str">
        <f t="shared" si="23"/>
        <v>CASE-1508</v>
      </c>
      <c r="B1509" s="1">
        <v>45486</v>
      </c>
      <c r="C1509" t="s">
        <v>10</v>
      </c>
      <c r="D1509">
        <v>3</v>
      </c>
      <c r="E1509" t="b">
        <v>0</v>
      </c>
      <c r="F1509" s="2">
        <v>12.685360119169101</v>
      </c>
      <c r="G1509" t="b">
        <v>0</v>
      </c>
      <c r="H1509" t="s">
        <v>23</v>
      </c>
      <c r="I1509" t="s">
        <v>33</v>
      </c>
    </row>
    <row r="1510" spans="1:9" x14ac:dyDescent="0.3">
      <c r="A1510" t="str">
        <f t="shared" si="23"/>
        <v>CASE-1509</v>
      </c>
      <c r="B1510" s="1">
        <v>46009</v>
      </c>
      <c r="C1510" t="s">
        <v>11</v>
      </c>
      <c r="D1510">
        <v>5</v>
      </c>
      <c r="E1510" t="b">
        <v>0</v>
      </c>
      <c r="F1510" s="2">
        <v>3.1871528460497904</v>
      </c>
      <c r="G1510" t="b">
        <v>0</v>
      </c>
      <c r="H1510" t="s">
        <v>17</v>
      </c>
      <c r="I1510" t="s">
        <v>34</v>
      </c>
    </row>
    <row r="1511" spans="1:9" x14ac:dyDescent="0.3">
      <c r="A1511" t="str">
        <f t="shared" si="23"/>
        <v>CASE-1510</v>
      </c>
      <c r="B1511" s="1">
        <v>46009</v>
      </c>
      <c r="C1511" t="s">
        <v>10</v>
      </c>
      <c r="D1511">
        <v>5</v>
      </c>
      <c r="E1511" t="b">
        <v>0</v>
      </c>
      <c r="F1511" s="2">
        <v>4.3885592067986483</v>
      </c>
      <c r="G1511" t="b">
        <v>0</v>
      </c>
      <c r="H1511" t="s">
        <v>18</v>
      </c>
      <c r="I1511" t="s">
        <v>34</v>
      </c>
    </row>
    <row r="1512" spans="1:9" x14ac:dyDescent="0.3">
      <c r="A1512" t="str">
        <f t="shared" si="23"/>
        <v>CASE-1511</v>
      </c>
      <c r="B1512" s="1">
        <v>45724</v>
      </c>
      <c r="C1512" t="s">
        <v>12</v>
      </c>
      <c r="D1512">
        <v>4</v>
      </c>
      <c r="E1512" t="b">
        <v>0</v>
      </c>
      <c r="F1512" s="2">
        <v>28.869336896374932</v>
      </c>
      <c r="G1512" t="b">
        <v>0</v>
      </c>
      <c r="H1512" t="s">
        <v>30</v>
      </c>
      <c r="I1512" t="s">
        <v>33</v>
      </c>
    </row>
    <row r="1513" spans="1:9" x14ac:dyDescent="0.3">
      <c r="A1513" t="str">
        <f t="shared" si="23"/>
        <v>CASE-1512</v>
      </c>
      <c r="B1513" s="1">
        <v>45793</v>
      </c>
      <c r="C1513" t="s">
        <v>9</v>
      </c>
      <c r="D1513">
        <v>3</v>
      </c>
      <c r="E1513" t="b">
        <v>1</v>
      </c>
      <c r="F1513" s="2">
        <v>29.150872910001038</v>
      </c>
      <c r="G1513" t="b">
        <v>0</v>
      </c>
      <c r="H1513" t="s">
        <v>24</v>
      </c>
      <c r="I1513" t="s">
        <v>33</v>
      </c>
    </row>
    <row r="1514" spans="1:9" x14ac:dyDescent="0.3">
      <c r="A1514" t="str">
        <f t="shared" si="23"/>
        <v>CASE-1513</v>
      </c>
      <c r="B1514" s="1">
        <v>45825</v>
      </c>
      <c r="C1514" t="s">
        <v>12</v>
      </c>
      <c r="D1514">
        <v>2</v>
      </c>
      <c r="E1514" t="b">
        <v>1</v>
      </c>
      <c r="F1514" s="2">
        <v>6.2267897882112688</v>
      </c>
      <c r="G1514" t="b">
        <v>0</v>
      </c>
      <c r="H1514" t="s">
        <v>24</v>
      </c>
      <c r="I1514" t="s">
        <v>34</v>
      </c>
    </row>
    <row r="1515" spans="1:9" x14ac:dyDescent="0.3">
      <c r="A1515" t="str">
        <f t="shared" si="23"/>
        <v>CASE-1514</v>
      </c>
      <c r="B1515" s="1">
        <v>45744</v>
      </c>
      <c r="C1515" t="s">
        <v>10</v>
      </c>
      <c r="D1515">
        <v>5</v>
      </c>
      <c r="E1515" t="b">
        <v>1</v>
      </c>
      <c r="F1515" s="2">
        <v>9.069272801511751</v>
      </c>
      <c r="G1515" t="b">
        <v>0</v>
      </c>
      <c r="H1515" t="s">
        <v>21</v>
      </c>
      <c r="I1515" t="s">
        <v>34</v>
      </c>
    </row>
    <row r="1516" spans="1:9" x14ac:dyDescent="0.3">
      <c r="A1516" t="str">
        <f t="shared" si="23"/>
        <v>CASE-1515</v>
      </c>
      <c r="B1516" s="1">
        <v>46033</v>
      </c>
      <c r="C1516" t="s">
        <v>9</v>
      </c>
      <c r="D1516">
        <v>2</v>
      </c>
      <c r="E1516" t="b">
        <v>1</v>
      </c>
      <c r="F1516" s="2">
        <v>7.7115989316773259</v>
      </c>
      <c r="G1516" t="b">
        <v>0</v>
      </c>
      <c r="H1516" t="s">
        <v>14</v>
      </c>
      <c r="I1516" t="s">
        <v>34</v>
      </c>
    </row>
    <row r="1517" spans="1:9" x14ac:dyDescent="0.3">
      <c r="A1517" t="str">
        <f t="shared" si="23"/>
        <v>CASE-1516</v>
      </c>
      <c r="B1517" s="1">
        <v>45786</v>
      </c>
      <c r="C1517" t="s">
        <v>9</v>
      </c>
      <c r="D1517">
        <v>1</v>
      </c>
      <c r="E1517" t="b">
        <v>1</v>
      </c>
      <c r="F1517" s="2">
        <v>6.0940015968849854</v>
      </c>
      <c r="G1517" t="b">
        <v>0</v>
      </c>
      <c r="H1517" t="s">
        <v>29</v>
      </c>
      <c r="I1517" t="s">
        <v>34</v>
      </c>
    </row>
    <row r="1518" spans="1:9" x14ac:dyDescent="0.3">
      <c r="A1518" t="str">
        <f t="shared" si="23"/>
        <v>CASE-1517</v>
      </c>
      <c r="B1518" s="1">
        <v>45790</v>
      </c>
      <c r="C1518" t="s">
        <v>11</v>
      </c>
      <c r="D1518">
        <v>1</v>
      </c>
      <c r="E1518" t="b">
        <v>1</v>
      </c>
      <c r="F1518" s="2">
        <v>5.8338736107553455</v>
      </c>
      <c r="G1518" t="b">
        <v>0</v>
      </c>
      <c r="H1518" t="s">
        <v>15</v>
      </c>
      <c r="I1518" t="s">
        <v>34</v>
      </c>
    </row>
    <row r="1519" spans="1:9" x14ac:dyDescent="0.3">
      <c r="A1519" t="str">
        <f t="shared" si="23"/>
        <v>CASE-1518</v>
      </c>
      <c r="B1519" s="1">
        <v>46157</v>
      </c>
      <c r="C1519" t="s">
        <v>9</v>
      </c>
      <c r="D1519">
        <v>3</v>
      </c>
      <c r="E1519" t="b">
        <v>1</v>
      </c>
      <c r="F1519" s="2">
        <v>32.060859506366519</v>
      </c>
      <c r="G1519" t="b">
        <v>0</v>
      </c>
      <c r="H1519" t="s">
        <v>22</v>
      </c>
      <c r="I1519" t="s">
        <v>33</v>
      </c>
    </row>
    <row r="1520" spans="1:9" x14ac:dyDescent="0.3">
      <c r="A1520" t="str">
        <f t="shared" si="23"/>
        <v>CASE-1519</v>
      </c>
      <c r="B1520" s="1">
        <v>45664</v>
      </c>
      <c r="C1520" t="s">
        <v>9</v>
      </c>
      <c r="D1520">
        <v>1</v>
      </c>
      <c r="E1520" t="b">
        <v>1</v>
      </c>
      <c r="F1520" s="2">
        <v>6.2158374447289475</v>
      </c>
      <c r="G1520" t="b">
        <v>0</v>
      </c>
      <c r="H1520" t="s">
        <v>14</v>
      </c>
      <c r="I1520" t="s">
        <v>34</v>
      </c>
    </row>
    <row r="1521" spans="1:9" x14ac:dyDescent="0.3">
      <c r="A1521" t="str">
        <f t="shared" si="23"/>
        <v>CASE-1520</v>
      </c>
      <c r="B1521" s="1">
        <v>45904</v>
      </c>
      <c r="C1521" t="s">
        <v>10</v>
      </c>
      <c r="D1521">
        <v>3</v>
      </c>
      <c r="E1521" t="b">
        <v>1</v>
      </c>
      <c r="F1521" s="2">
        <v>7.0764808577414193</v>
      </c>
      <c r="G1521" t="b">
        <v>0</v>
      </c>
      <c r="H1521" t="s">
        <v>27</v>
      </c>
      <c r="I1521" t="s">
        <v>34</v>
      </c>
    </row>
    <row r="1522" spans="1:9" x14ac:dyDescent="0.3">
      <c r="A1522" t="str">
        <f t="shared" si="23"/>
        <v>CASE-1521</v>
      </c>
      <c r="B1522" s="1">
        <v>45570</v>
      </c>
      <c r="C1522" t="s">
        <v>11</v>
      </c>
      <c r="D1522">
        <v>1</v>
      </c>
      <c r="E1522" t="b">
        <v>0</v>
      </c>
      <c r="F1522" s="2">
        <v>26.959456599094747</v>
      </c>
      <c r="G1522" t="b">
        <v>0</v>
      </c>
      <c r="H1522" t="s">
        <v>14</v>
      </c>
      <c r="I1522" t="s">
        <v>33</v>
      </c>
    </row>
    <row r="1523" spans="1:9" x14ac:dyDescent="0.3">
      <c r="A1523" t="str">
        <f t="shared" si="23"/>
        <v>CASE-1522</v>
      </c>
      <c r="B1523" s="1">
        <v>46113</v>
      </c>
      <c r="C1523" t="s">
        <v>10</v>
      </c>
      <c r="D1523">
        <v>4</v>
      </c>
      <c r="E1523" t="b">
        <v>0</v>
      </c>
      <c r="F1523" s="2">
        <v>26.273967867357424</v>
      </c>
      <c r="G1523" t="b">
        <v>0</v>
      </c>
      <c r="H1523" t="s">
        <v>24</v>
      </c>
      <c r="I1523" t="s">
        <v>33</v>
      </c>
    </row>
    <row r="1524" spans="1:9" x14ac:dyDescent="0.3">
      <c r="A1524" t="str">
        <f t="shared" si="23"/>
        <v>CASE-1523</v>
      </c>
      <c r="B1524" s="1">
        <v>45495</v>
      </c>
      <c r="C1524" t="s">
        <v>10</v>
      </c>
      <c r="D1524">
        <v>5</v>
      </c>
      <c r="E1524" t="b">
        <v>0</v>
      </c>
      <c r="F1524" s="2">
        <v>19.939147770017112</v>
      </c>
      <c r="G1524" t="b">
        <v>0</v>
      </c>
      <c r="H1524" t="s">
        <v>26</v>
      </c>
      <c r="I1524" t="s">
        <v>33</v>
      </c>
    </row>
    <row r="1525" spans="1:9" x14ac:dyDescent="0.3">
      <c r="A1525" t="str">
        <f t="shared" si="23"/>
        <v>CASE-1524</v>
      </c>
      <c r="B1525" s="1">
        <v>45495</v>
      </c>
      <c r="C1525" t="s">
        <v>9</v>
      </c>
      <c r="D1525">
        <v>1</v>
      </c>
      <c r="E1525" t="b">
        <v>0</v>
      </c>
      <c r="F1525" s="2">
        <v>17.964621594789158</v>
      </c>
      <c r="G1525" t="b">
        <v>0</v>
      </c>
      <c r="H1525" t="s">
        <v>29</v>
      </c>
      <c r="I1525" t="s">
        <v>33</v>
      </c>
    </row>
    <row r="1526" spans="1:9" x14ac:dyDescent="0.3">
      <c r="A1526" t="str">
        <f t="shared" si="23"/>
        <v>CASE-1525</v>
      </c>
      <c r="B1526" s="1">
        <v>45515</v>
      </c>
      <c r="C1526" t="s">
        <v>11</v>
      </c>
      <c r="D1526">
        <v>1</v>
      </c>
      <c r="E1526" t="b">
        <v>0</v>
      </c>
      <c r="F1526" s="2">
        <v>22.63000590321413</v>
      </c>
      <c r="G1526" t="b">
        <v>0</v>
      </c>
      <c r="H1526" t="s">
        <v>28</v>
      </c>
      <c r="I1526" t="s">
        <v>33</v>
      </c>
    </row>
    <row r="1527" spans="1:9" x14ac:dyDescent="0.3">
      <c r="A1527" t="str">
        <f t="shared" si="23"/>
        <v>CASE-1526</v>
      </c>
      <c r="B1527" s="1">
        <v>46152</v>
      </c>
      <c r="C1527" t="s">
        <v>10</v>
      </c>
      <c r="D1527">
        <v>2</v>
      </c>
      <c r="E1527" t="b">
        <v>1</v>
      </c>
      <c r="F1527" s="2">
        <v>8.3302543705979932</v>
      </c>
      <c r="G1527" t="b">
        <v>0</v>
      </c>
      <c r="H1527" t="s">
        <v>17</v>
      </c>
      <c r="I1527" t="s">
        <v>34</v>
      </c>
    </row>
    <row r="1528" spans="1:9" x14ac:dyDescent="0.3">
      <c r="A1528" t="str">
        <f t="shared" si="23"/>
        <v>CASE-1527</v>
      </c>
      <c r="B1528" s="1">
        <v>45615</v>
      </c>
      <c r="C1528" t="s">
        <v>12</v>
      </c>
      <c r="D1528">
        <v>5</v>
      </c>
      <c r="E1528" t="b">
        <v>0</v>
      </c>
      <c r="F1528" s="2">
        <v>14.917690695618655</v>
      </c>
      <c r="G1528" t="b">
        <v>0</v>
      </c>
      <c r="H1528" t="s">
        <v>20</v>
      </c>
      <c r="I1528" t="s">
        <v>33</v>
      </c>
    </row>
    <row r="1529" spans="1:9" x14ac:dyDescent="0.3">
      <c r="A1529" t="str">
        <f t="shared" si="23"/>
        <v>CASE-1528</v>
      </c>
      <c r="B1529" s="1">
        <v>46141</v>
      </c>
      <c r="C1529" t="s">
        <v>9</v>
      </c>
      <c r="D1529">
        <v>5</v>
      </c>
      <c r="E1529" t="b">
        <v>0</v>
      </c>
      <c r="F1529" s="2">
        <v>20.876517715103137</v>
      </c>
      <c r="G1529" t="b">
        <v>0</v>
      </c>
      <c r="H1529" t="s">
        <v>30</v>
      </c>
      <c r="I1529" t="s">
        <v>33</v>
      </c>
    </row>
    <row r="1530" spans="1:9" x14ac:dyDescent="0.3">
      <c r="A1530" t="str">
        <f t="shared" si="23"/>
        <v>CASE-1529</v>
      </c>
      <c r="B1530" s="1">
        <v>45720</v>
      </c>
      <c r="C1530" t="s">
        <v>9</v>
      </c>
      <c r="D1530">
        <v>2</v>
      </c>
      <c r="E1530" t="b">
        <v>1</v>
      </c>
      <c r="F1530" s="2">
        <v>5.754587319792658</v>
      </c>
      <c r="G1530" t="b">
        <v>0</v>
      </c>
      <c r="H1530" t="s">
        <v>17</v>
      </c>
      <c r="I1530" t="s">
        <v>34</v>
      </c>
    </row>
    <row r="1531" spans="1:9" x14ac:dyDescent="0.3">
      <c r="A1531" t="str">
        <f t="shared" si="23"/>
        <v>CASE-1530</v>
      </c>
      <c r="B1531" s="1">
        <v>45798</v>
      </c>
      <c r="C1531" t="s">
        <v>10</v>
      </c>
      <c r="D1531">
        <v>1</v>
      </c>
      <c r="E1531" t="b">
        <v>1</v>
      </c>
      <c r="F1531" s="2">
        <v>17.209052137111662</v>
      </c>
      <c r="G1531" t="b">
        <v>0</v>
      </c>
      <c r="H1531" t="s">
        <v>25</v>
      </c>
      <c r="I1531" t="s">
        <v>33</v>
      </c>
    </row>
    <row r="1532" spans="1:9" x14ac:dyDescent="0.3">
      <c r="A1532" t="str">
        <f t="shared" si="23"/>
        <v>CASE-1531</v>
      </c>
      <c r="B1532" s="1">
        <v>45587</v>
      </c>
      <c r="C1532" t="s">
        <v>9</v>
      </c>
      <c r="D1532">
        <v>2</v>
      </c>
      <c r="E1532" t="b">
        <v>0</v>
      </c>
      <c r="F1532" s="2">
        <v>20.82028805117702</v>
      </c>
      <c r="G1532" t="b">
        <v>0</v>
      </c>
      <c r="H1532" t="s">
        <v>23</v>
      </c>
      <c r="I1532" t="s">
        <v>33</v>
      </c>
    </row>
    <row r="1533" spans="1:9" x14ac:dyDescent="0.3">
      <c r="A1533" t="str">
        <f t="shared" si="23"/>
        <v>CASE-1532</v>
      </c>
      <c r="B1533" s="1">
        <v>45920</v>
      </c>
      <c r="C1533" t="s">
        <v>9</v>
      </c>
      <c r="D1533">
        <v>1</v>
      </c>
      <c r="E1533" t="b">
        <v>1</v>
      </c>
      <c r="F1533" s="2">
        <v>4.7424639496044465</v>
      </c>
      <c r="G1533" t="b">
        <v>0</v>
      </c>
      <c r="H1533" t="s">
        <v>16</v>
      </c>
      <c r="I1533" t="s">
        <v>34</v>
      </c>
    </row>
    <row r="1534" spans="1:9" x14ac:dyDescent="0.3">
      <c r="A1534" t="str">
        <f t="shared" si="23"/>
        <v>CASE-1533</v>
      </c>
      <c r="B1534" s="1">
        <v>46200</v>
      </c>
      <c r="C1534" t="s">
        <v>10</v>
      </c>
      <c r="D1534">
        <v>5</v>
      </c>
      <c r="E1534" t="b">
        <v>1</v>
      </c>
      <c r="F1534" s="2">
        <v>24.807233565109417</v>
      </c>
      <c r="G1534" t="b">
        <v>0</v>
      </c>
      <c r="H1534" t="s">
        <v>31</v>
      </c>
      <c r="I1534" t="s">
        <v>33</v>
      </c>
    </row>
    <row r="1535" spans="1:9" x14ac:dyDescent="0.3">
      <c r="A1535" t="str">
        <f t="shared" si="23"/>
        <v>CASE-1534</v>
      </c>
      <c r="B1535" s="1">
        <v>45760</v>
      </c>
      <c r="C1535" t="s">
        <v>9</v>
      </c>
      <c r="D1535">
        <v>2</v>
      </c>
      <c r="E1535" t="b">
        <v>0</v>
      </c>
      <c r="F1535" s="2">
        <v>4.4887178641953511</v>
      </c>
      <c r="G1535" t="b">
        <v>0</v>
      </c>
      <c r="H1535" t="s">
        <v>20</v>
      </c>
      <c r="I1535" t="s">
        <v>34</v>
      </c>
    </row>
    <row r="1536" spans="1:9" x14ac:dyDescent="0.3">
      <c r="A1536" t="str">
        <f t="shared" si="23"/>
        <v>CASE-1535</v>
      </c>
      <c r="B1536" s="1">
        <v>45786</v>
      </c>
      <c r="C1536" t="s">
        <v>11</v>
      </c>
      <c r="D1536">
        <v>5</v>
      </c>
      <c r="E1536" t="b">
        <v>1</v>
      </c>
      <c r="F1536" s="2">
        <v>27.166877670715657</v>
      </c>
      <c r="G1536" t="b">
        <v>0</v>
      </c>
      <c r="H1536" t="s">
        <v>31</v>
      </c>
      <c r="I1536" t="s">
        <v>33</v>
      </c>
    </row>
    <row r="1537" spans="1:9" x14ac:dyDescent="0.3">
      <c r="A1537" t="str">
        <f t="shared" si="23"/>
        <v>CASE-1536</v>
      </c>
      <c r="B1537" s="1">
        <v>45908</v>
      </c>
      <c r="C1537" t="s">
        <v>10</v>
      </c>
      <c r="D1537">
        <v>1</v>
      </c>
      <c r="E1537" t="b">
        <v>1</v>
      </c>
      <c r="F1537" s="2">
        <v>5.3880966384058038</v>
      </c>
      <c r="G1537" t="b">
        <v>0</v>
      </c>
      <c r="H1537" t="s">
        <v>15</v>
      </c>
      <c r="I1537" t="s">
        <v>34</v>
      </c>
    </row>
    <row r="1538" spans="1:9" x14ac:dyDescent="0.3">
      <c r="A1538" t="str">
        <f t="shared" si="23"/>
        <v>CASE-1537</v>
      </c>
      <c r="B1538" s="1">
        <v>45925</v>
      </c>
      <c r="C1538" t="s">
        <v>9</v>
      </c>
      <c r="D1538">
        <v>4</v>
      </c>
      <c r="E1538" t="b">
        <v>1</v>
      </c>
      <c r="F1538" s="2">
        <v>7.7945501732858977</v>
      </c>
      <c r="G1538" t="b">
        <v>0</v>
      </c>
      <c r="H1538" t="s">
        <v>27</v>
      </c>
      <c r="I1538" t="s">
        <v>34</v>
      </c>
    </row>
    <row r="1539" spans="1:9" x14ac:dyDescent="0.3">
      <c r="A1539" t="str">
        <f t="shared" ref="A1539:A1602" si="24">"CASE-"&amp;TEXT(ROW()-1,"0000")</f>
        <v>CASE-1538</v>
      </c>
      <c r="B1539" s="1">
        <v>45736</v>
      </c>
      <c r="C1539" t="s">
        <v>9</v>
      </c>
      <c r="D1539">
        <v>4</v>
      </c>
      <c r="E1539" t="b">
        <v>1</v>
      </c>
      <c r="F1539" s="2">
        <v>8.3734870425731831</v>
      </c>
      <c r="G1539" t="b">
        <v>0</v>
      </c>
      <c r="H1539" t="s">
        <v>22</v>
      </c>
      <c r="I1539" t="s">
        <v>34</v>
      </c>
    </row>
    <row r="1540" spans="1:9" x14ac:dyDescent="0.3">
      <c r="A1540" t="str">
        <f t="shared" si="24"/>
        <v>CASE-1539</v>
      </c>
      <c r="B1540" s="1">
        <v>45762</v>
      </c>
      <c r="C1540" t="s">
        <v>11</v>
      </c>
      <c r="D1540">
        <v>1</v>
      </c>
      <c r="E1540" t="b">
        <v>1</v>
      </c>
      <c r="F1540" s="2">
        <v>3.3122388068538764</v>
      </c>
      <c r="G1540" t="b">
        <v>0</v>
      </c>
      <c r="H1540" t="s">
        <v>26</v>
      </c>
      <c r="I1540" t="s">
        <v>34</v>
      </c>
    </row>
    <row r="1541" spans="1:9" x14ac:dyDescent="0.3">
      <c r="A1541" t="str">
        <f t="shared" si="24"/>
        <v>CASE-1540</v>
      </c>
      <c r="B1541" s="1">
        <v>45715</v>
      </c>
      <c r="C1541" t="s">
        <v>12</v>
      </c>
      <c r="D1541">
        <v>4</v>
      </c>
      <c r="E1541" t="b">
        <v>1</v>
      </c>
      <c r="F1541" s="2">
        <v>19.207560083945332</v>
      </c>
      <c r="G1541" t="b">
        <v>0</v>
      </c>
      <c r="H1541" t="s">
        <v>14</v>
      </c>
      <c r="I1541" t="s">
        <v>33</v>
      </c>
    </row>
    <row r="1542" spans="1:9" x14ac:dyDescent="0.3">
      <c r="A1542" t="str">
        <f t="shared" si="24"/>
        <v>CASE-1541</v>
      </c>
      <c r="B1542" s="1">
        <v>45576</v>
      </c>
      <c r="C1542" t="s">
        <v>12</v>
      </c>
      <c r="D1542">
        <v>4</v>
      </c>
      <c r="E1542" t="b">
        <v>0</v>
      </c>
      <c r="F1542" s="2">
        <v>14.517303927122684</v>
      </c>
      <c r="G1542" t="b">
        <v>0</v>
      </c>
      <c r="H1542" t="s">
        <v>17</v>
      </c>
      <c r="I1542" t="s">
        <v>33</v>
      </c>
    </row>
    <row r="1543" spans="1:9" x14ac:dyDescent="0.3">
      <c r="A1543" t="str">
        <f t="shared" si="24"/>
        <v>CASE-1542</v>
      </c>
      <c r="B1543" s="1">
        <v>45739</v>
      </c>
      <c r="C1543" t="s">
        <v>10</v>
      </c>
      <c r="D1543">
        <v>4</v>
      </c>
      <c r="E1543" t="b">
        <v>0</v>
      </c>
      <c r="F1543" s="2">
        <v>23.007887095128552</v>
      </c>
      <c r="G1543" t="b">
        <v>0</v>
      </c>
      <c r="H1543" t="s">
        <v>14</v>
      </c>
      <c r="I1543" t="s">
        <v>33</v>
      </c>
    </row>
    <row r="1544" spans="1:9" x14ac:dyDescent="0.3">
      <c r="A1544" t="str">
        <f t="shared" si="24"/>
        <v>CASE-1543</v>
      </c>
      <c r="B1544" s="1">
        <v>45488</v>
      </c>
      <c r="C1544" t="s">
        <v>9</v>
      </c>
      <c r="D1544">
        <v>4</v>
      </c>
      <c r="E1544" t="b">
        <v>0</v>
      </c>
      <c r="F1544" s="2">
        <v>10.423908150317271</v>
      </c>
      <c r="G1544" t="b">
        <v>0</v>
      </c>
      <c r="H1544" t="s">
        <v>30</v>
      </c>
      <c r="I1544" t="s">
        <v>33</v>
      </c>
    </row>
    <row r="1545" spans="1:9" x14ac:dyDescent="0.3">
      <c r="A1545" t="str">
        <f t="shared" si="24"/>
        <v>CASE-1544</v>
      </c>
      <c r="B1545" s="1">
        <v>45501</v>
      </c>
      <c r="C1545" t="s">
        <v>10</v>
      </c>
      <c r="D1545">
        <v>1</v>
      </c>
      <c r="E1545" t="b">
        <v>0</v>
      </c>
      <c r="F1545" s="2">
        <v>27.802745557325178</v>
      </c>
      <c r="G1545" t="b">
        <v>0</v>
      </c>
      <c r="H1545" t="s">
        <v>31</v>
      </c>
      <c r="I1545" t="s">
        <v>33</v>
      </c>
    </row>
    <row r="1546" spans="1:9" x14ac:dyDescent="0.3">
      <c r="A1546" t="str">
        <f t="shared" si="24"/>
        <v>CASE-1545</v>
      </c>
      <c r="B1546" s="1">
        <v>46007</v>
      </c>
      <c r="C1546" t="s">
        <v>11</v>
      </c>
      <c r="D1546">
        <v>4</v>
      </c>
      <c r="E1546" t="b">
        <v>1</v>
      </c>
      <c r="F1546" s="2">
        <v>5.4949208928456796</v>
      </c>
      <c r="G1546" t="b">
        <v>0</v>
      </c>
      <c r="H1546" t="s">
        <v>17</v>
      </c>
      <c r="I1546" t="s">
        <v>34</v>
      </c>
    </row>
    <row r="1547" spans="1:9" x14ac:dyDescent="0.3">
      <c r="A1547" t="str">
        <f t="shared" si="24"/>
        <v>CASE-1546</v>
      </c>
      <c r="B1547" s="1">
        <v>45857</v>
      </c>
      <c r="C1547" t="s">
        <v>9</v>
      </c>
      <c r="D1547">
        <v>2</v>
      </c>
      <c r="E1547" t="b">
        <v>0</v>
      </c>
      <c r="F1547" s="2">
        <v>6.24171929004806</v>
      </c>
      <c r="G1547" t="b">
        <v>0</v>
      </c>
      <c r="H1547" t="s">
        <v>17</v>
      </c>
      <c r="I1547" t="s">
        <v>34</v>
      </c>
    </row>
    <row r="1548" spans="1:9" x14ac:dyDescent="0.3">
      <c r="A1548" t="str">
        <f t="shared" si="24"/>
        <v>CASE-1547</v>
      </c>
      <c r="B1548" s="1">
        <v>46157</v>
      </c>
      <c r="C1548" t="s">
        <v>10</v>
      </c>
      <c r="D1548">
        <v>3</v>
      </c>
      <c r="E1548" t="b">
        <v>0</v>
      </c>
      <c r="F1548" s="2">
        <v>33.331021786154501</v>
      </c>
      <c r="G1548" t="b">
        <v>0</v>
      </c>
      <c r="H1548" t="s">
        <v>17</v>
      </c>
      <c r="I1548" t="s">
        <v>33</v>
      </c>
    </row>
    <row r="1549" spans="1:9" x14ac:dyDescent="0.3">
      <c r="A1549" t="str">
        <f t="shared" si="24"/>
        <v>CASE-1548</v>
      </c>
      <c r="B1549" s="1">
        <v>45526</v>
      </c>
      <c r="C1549" t="s">
        <v>9</v>
      </c>
      <c r="D1549">
        <v>3</v>
      </c>
      <c r="E1549" t="b">
        <v>0</v>
      </c>
      <c r="F1549" s="2">
        <v>24.629989929027843</v>
      </c>
      <c r="G1549" t="b">
        <v>0</v>
      </c>
      <c r="H1549" t="s">
        <v>26</v>
      </c>
      <c r="I1549" t="s">
        <v>33</v>
      </c>
    </row>
    <row r="1550" spans="1:9" x14ac:dyDescent="0.3">
      <c r="A1550" t="str">
        <f t="shared" si="24"/>
        <v>CASE-1549</v>
      </c>
      <c r="B1550" s="1">
        <v>45969</v>
      </c>
      <c r="C1550" t="s">
        <v>10</v>
      </c>
      <c r="D1550">
        <v>4</v>
      </c>
      <c r="E1550" t="b">
        <v>1</v>
      </c>
      <c r="F1550" s="2">
        <v>6.0477829566886259</v>
      </c>
      <c r="G1550" t="b">
        <v>0</v>
      </c>
      <c r="H1550" t="s">
        <v>19</v>
      </c>
      <c r="I1550" t="s">
        <v>34</v>
      </c>
    </row>
    <row r="1551" spans="1:9" x14ac:dyDescent="0.3">
      <c r="A1551" t="str">
        <f t="shared" si="24"/>
        <v>CASE-1550</v>
      </c>
      <c r="B1551" s="1">
        <v>45540</v>
      </c>
      <c r="C1551" t="s">
        <v>12</v>
      </c>
      <c r="D1551">
        <v>3</v>
      </c>
      <c r="E1551" t="b">
        <v>0</v>
      </c>
      <c r="F1551" s="2">
        <v>23.684870966860455</v>
      </c>
      <c r="G1551" t="b">
        <v>0</v>
      </c>
      <c r="H1551" t="s">
        <v>14</v>
      </c>
      <c r="I1551" t="s">
        <v>33</v>
      </c>
    </row>
    <row r="1552" spans="1:9" x14ac:dyDescent="0.3">
      <c r="A1552" t="str">
        <f t="shared" si="24"/>
        <v>CASE-1551</v>
      </c>
      <c r="B1552" s="1">
        <v>46165</v>
      </c>
      <c r="C1552" t="s">
        <v>10</v>
      </c>
      <c r="D1552">
        <v>2</v>
      </c>
      <c r="E1552" t="b">
        <v>0</v>
      </c>
      <c r="F1552" s="2">
        <v>34.053744218199569</v>
      </c>
      <c r="G1552" t="b">
        <v>0</v>
      </c>
      <c r="H1552" t="s">
        <v>16</v>
      </c>
      <c r="I1552" t="s">
        <v>33</v>
      </c>
    </row>
    <row r="1553" spans="1:9" x14ac:dyDescent="0.3">
      <c r="A1553" t="str">
        <f t="shared" si="24"/>
        <v>CASE-1552</v>
      </c>
      <c r="B1553" s="1">
        <v>46116</v>
      </c>
      <c r="C1553" t="s">
        <v>9</v>
      </c>
      <c r="D1553">
        <v>3</v>
      </c>
      <c r="E1553" t="b">
        <v>1</v>
      </c>
      <c r="F1553" s="2">
        <v>3.5713525272856388</v>
      </c>
      <c r="G1553" t="b">
        <v>0</v>
      </c>
      <c r="H1553" t="s">
        <v>16</v>
      </c>
      <c r="I1553" t="s">
        <v>34</v>
      </c>
    </row>
    <row r="1554" spans="1:9" x14ac:dyDescent="0.3">
      <c r="A1554" t="str">
        <f t="shared" si="24"/>
        <v>CASE-1553</v>
      </c>
      <c r="B1554" s="1">
        <v>45938</v>
      </c>
      <c r="C1554" t="s">
        <v>9</v>
      </c>
      <c r="D1554">
        <v>3</v>
      </c>
      <c r="E1554" t="b">
        <v>1</v>
      </c>
      <c r="F1554" s="2">
        <v>5.8511987499579217</v>
      </c>
      <c r="G1554" t="b">
        <v>0</v>
      </c>
      <c r="H1554" t="s">
        <v>13</v>
      </c>
      <c r="I1554" t="s">
        <v>34</v>
      </c>
    </row>
    <row r="1555" spans="1:9" x14ac:dyDescent="0.3">
      <c r="A1555" t="str">
        <f t="shared" si="24"/>
        <v>CASE-1554</v>
      </c>
      <c r="B1555" s="1">
        <v>45697</v>
      </c>
      <c r="C1555" t="s">
        <v>12</v>
      </c>
      <c r="D1555">
        <v>2</v>
      </c>
      <c r="E1555" t="b">
        <v>1</v>
      </c>
      <c r="F1555" s="2">
        <v>7.0179439037956772</v>
      </c>
      <c r="G1555" t="b">
        <v>0</v>
      </c>
      <c r="H1555" t="s">
        <v>22</v>
      </c>
      <c r="I1555" t="s">
        <v>34</v>
      </c>
    </row>
    <row r="1556" spans="1:9" x14ac:dyDescent="0.3">
      <c r="A1556" t="str">
        <f t="shared" si="24"/>
        <v>CASE-1555</v>
      </c>
      <c r="B1556" s="1">
        <v>45727</v>
      </c>
      <c r="C1556" t="s">
        <v>11</v>
      </c>
      <c r="D1556">
        <v>1</v>
      </c>
      <c r="E1556" t="b">
        <v>0</v>
      </c>
      <c r="F1556" s="2">
        <v>5.0282031807603689</v>
      </c>
      <c r="G1556" t="b">
        <v>0</v>
      </c>
      <c r="H1556" t="s">
        <v>17</v>
      </c>
      <c r="I1556" t="s">
        <v>34</v>
      </c>
    </row>
    <row r="1557" spans="1:9" x14ac:dyDescent="0.3">
      <c r="A1557" t="str">
        <f t="shared" si="24"/>
        <v>CASE-1556</v>
      </c>
      <c r="B1557" s="1">
        <v>45620</v>
      </c>
      <c r="C1557" t="s">
        <v>12</v>
      </c>
      <c r="D1557">
        <v>5</v>
      </c>
      <c r="E1557" t="b">
        <v>0</v>
      </c>
      <c r="F1557" s="2">
        <v>20.992527182107992</v>
      </c>
      <c r="G1557" t="b">
        <v>0</v>
      </c>
      <c r="H1557" t="s">
        <v>27</v>
      </c>
      <c r="I1557" t="s">
        <v>33</v>
      </c>
    </row>
    <row r="1558" spans="1:9" x14ac:dyDescent="0.3">
      <c r="A1558" t="str">
        <f t="shared" si="24"/>
        <v>CASE-1557</v>
      </c>
      <c r="B1558" s="1">
        <v>45586</v>
      </c>
      <c r="C1558" t="s">
        <v>9</v>
      </c>
      <c r="D1558">
        <v>3</v>
      </c>
      <c r="E1558" t="b">
        <v>0</v>
      </c>
      <c r="F1558" s="2">
        <v>17.275044430577118</v>
      </c>
      <c r="G1558" t="b">
        <v>0</v>
      </c>
      <c r="H1558" t="s">
        <v>20</v>
      </c>
      <c r="I1558" t="s">
        <v>33</v>
      </c>
    </row>
    <row r="1559" spans="1:9" x14ac:dyDescent="0.3">
      <c r="A1559" t="str">
        <f t="shared" si="24"/>
        <v>CASE-1558</v>
      </c>
      <c r="B1559" s="1">
        <v>45606</v>
      </c>
      <c r="C1559" t="s">
        <v>11</v>
      </c>
      <c r="D1559">
        <v>1</v>
      </c>
      <c r="E1559" t="b">
        <v>0</v>
      </c>
      <c r="F1559" s="2">
        <v>23.283618563543971</v>
      </c>
      <c r="G1559" t="b">
        <v>0</v>
      </c>
      <c r="H1559" t="s">
        <v>19</v>
      </c>
      <c r="I1559" t="s">
        <v>33</v>
      </c>
    </row>
    <row r="1560" spans="1:9" x14ac:dyDescent="0.3">
      <c r="A1560" t="str">
        <f t="shared" si="24"/>
        <v>CASE-1559</v>
      </c>
      <c r="B1560" s="1">
        <v>45474</v>
      </c>
      <c r="C1560" t="s">
        <v>12</v>
      </c>
      <c r="D1560">
        <v>4</v>
      </c>
      <c r="E1560" t="b">
        <v>0</v>
      </c>
      <c r="F1560" s="2">
        <v>26.327409677887218</v>
      </c>
      <c r="G1560" t="b">
        <v>0</v>
      </c>
      <c r="H1560" t="s">
        <v>17</v>
      </c>
      <c r="I1560" t="s">
        <v>33</v>
      </c>
    </row>
    <row r="1561" spans="1:9" x14ac:dyDescent="0.3">
      <c r="A1561" t="str">
        <f t="shared" si="24"/>
        <v>CASE-1560</v>
      </c>
      <c r="B1561" s="1">
        <v>45711</v>
      </c>
      <c r="C1561" t="s">
        <v>11</v>
      </c>
      <c r="D1561">
        <v>4</v>
      </c>
      <c r="E1561" t="b">
        <v>1</v>
      </c>
      <c r="F1561" s="2">
        <v>5.7615742025645336</v>
      </c>
      <c r="G1561" t="b">
        <v>0</v>
      </c>
      <c r="H1561" t="s">
        <v>29</v>
      </c>
      <c r="I1561" t="s">
        <v>35</v>
      </c>
    </row>
    <row r="1562" spans="1:9" x14ac:dyDescent="0.3">
      <c r="A1562" t="str">
        <f t="shared" si="24"/>
        <v>CASE-1561</v>
      </c>
      <c r="B1562" s="1">
        <v>45613</v>
      </c>
      <c r="C1562" t="s">
        <v>10</v>
      </c>
      <c r="D1562">
        <v>1</v>
      </c>
      <c r="E1562" t="b">
        <v>0</v>
      </c>
      <c r="F1562" s="2">
        <v>23.921144943981194</v>
      </c>
      <c r="G1562" t="b">
        <v>0</v>
      </c>
      <c r="H1562" t="s">
        <v>30</v>
      </c>
      <c r="I1562" t="s">
        <v>33</v>
      </c>
    </row>
    <row r="1563" spans="1:9" x14ac:dyDescent="0.3">
      <c r="A1563" t="str">
        <f t="shared" si="24"/>
        <v>CASE-1562</v>
      </c>
      <c r="B1563" s="1">
        <v>45878</v>
      </c>
      <c r="C1563" t="s">
        <v>10</v>
      </c>
      <c r="D1563">
        <v>1</v>
      </c>
      <c r="E1563" t="b">
        <v>1</v>
      </c>
      <c r="F1563" s="2">
        <v>5.007678287794386</v>
      </c>
      <c r="G1563" t="b">
        <v>0</v>
      </c>
      <c r="H1563" t="s">
        <v>27</v>
      </c>
      <c r="I1563" t="s">
        <v>34</v>
      </c>
    </row>
    <row r="1564" spans="1:9" x14ac:dyDescent="0.3">
      <c r="A1564" t="str">
        <f t="shared" si="24"/>
        <v>CASE-1563</v>
      </c>
      <c r="B1564" s="1">
        <v>46097</v>
      </c>
      <c r="C1564" t="s">
        <v>12</v>
      </c>
      <c r="D1564">
        <v>4</v>
      </c>
      <c r="E1564" t="b">
        <v>1</v>
      </c>
      <c r="F1564" s="2">
        <v>4.5767645166871045</v>
      </c>
      <c r="G1564" t="b">
        <v>0</v>
      </c>
      <c r="H1564" t="s">
        <v>16</v>
      </c>
      <c r="I1564" t="s">
        <v>34</v>
      </c>
    </row>
    <row r="1565" spans="1:9" x14ac:dyDescent="0.3">
      <c r="A1565" t="str">
        <f t="shared" si="24"/>
        <v>CASE-1564</v>
      </c>
      <c r="B1565" s="1">
        <v>45625</v>
      </c>
      <c r="C1565" t="s">
        <v>12</v>
      </c>
      <c r="D1565">
        <v>1</v>
      </c>
      <c r="E1565" t="b">
        <v>0</v>
      </c>
      <c r="F1565" s="2">
        <v>17.641401481391213</v>
      </c>
      <c r="G1565" t="b">
        <v>0</v>
      </c>
      <c r="H1565" t="s">
        <v>16</v>
      </c>
      <c r="I1565" t="s">
        <v>33</v>
      </c>
    </row>
    <row r="1566" spans="1:9" x14ac:dyDescent="0.3">
      <c r="A1566" t="str">
        <f t="shared" si="24"/>
        <v>CASE-1565</v>
      </c>
      <c r="B1566" s="1">
        <v>45943</v>
      </c>
      <c r="C1566" t="s">
        <v>9</v>
      </c>
      <c r="D1566">
        <v>1</v>
      </c>
      <c r="E1566" t="b">
        <v>1</v>
      </c>
      <c r="F1566" s="2">
        <v>24.504459305022863</v>
      </c>
      <c r="G1566" t="b">
        <v>0</v>
      </c>
      <c r="H1566" t="s">
        <v>32</v>
      </c>
      <c r="I1566" t="s">
        <v>33</v>
      </c>
    </row>
    <row r="1567" spans="1:9" x14ac:dyDescent="0.3">
      <c r="A1567" t="str">
        <f t="shared" si="24"/>
        <v>CASE-1566</v>
      </c>
      <c r="B1567" s="1">
        <v>46097</v>
      </c>
      <c r="C1567" t="s">
        <v>11</v>
      </c>
      <c r="D1567">
        <v>1</v>
      </c>
      <c r="E1567" t="b">
        <v>1</v>
      </c>
      <c r="F1567" s="2">
        <v>6.246849893246079</v>
      </c>
      <c r="G1567" t="b">
        <v>0</v>
      </c>
      <c r="H1567" t="s">
        <v>13</v>
      </c>
      <c r="I1567" t="s">
        <v>34</v>
      </c>
    </row>
    <row r="1568" spans="1:9" x14ac:dyDescent="0.3">
      <c r="A1568" t="str">
        <f t="shared" si="24"/>
        <v>CASE-1567</v>
      </c>
      <c r="B1568" s="1">
        <v>45948</v>
      </c>
      <c r="C1568" t="s">
        <v>11</v>
      </c>
      <c r="D1568">
        <v>1</v>
      </c>
      <c r="E1568" t="b">
        <v>1</v>
      </c>
      <c r="F1568" s="2">
        <v>8.1248517270228557</v>
      </c>
      <c r="G1568" t="b">
        <v>0</v>
      </c>
      <c r="H1568" t="s">
        <v>30</v>
      </c>
      <c r="I1568" t="s">
        <v>34</v>
      </c>
    </row>
    <row r="1569" spans="1:9" x14ac:dyDescent="0.3">
      <c r="A1569" t="str">
        <f t="shared" si="24"/>
        <v>CASE-1568</v>
      </c>
      <c r="B1569" s="1">
        <v>45657</v>
      </c>
      <c r="C1569" t="s">
        <v>12</v>
      </c>
      <c r="D1569">
        <v>2</v>
      </c>
      <c r="E1569" t="b">
        <v>0</v>
      </c>
      <c r="F1569" s="2">
        <v>20.897558719002351</v>
      </c>
      <c r="G1569" t="b">
        <v>0</v>
      </c>
      <c r="H1569" t="s">
        <v>26</v>
      </c>
      <c r="I1569" t="s">
        <v>33</v>
      </c>
    </row>
    <row r="1570" spans="1:9" x14ac:dyDescent="0.3">
      <c r="A1570" t="str">
        <f t="shared" si="24"/>
        <v>CASE-1569</v>
      </c>
      <c r="B1570" s="1">
        <v>46083</v>
      </c>
      <c r="C1570" t="s">
        <v>10</v>
      </c>
      <c r="D1570">
        <v>1</v>
      </c>
      <c r="E1570" t="b">
        <v>1</v>
      </c>
      <c r="F1570" s="2">
        <v>27.418244789845279</v>
      </c>
      <c r="G1570" t="b">
        <v>0</v>
      </c>
      <c r="H1570" t="s">
        <v>17</v>
      </c>
      <c r="I1570" t="s">
        <v>33</v>
      </c>
    </row>
    <row r="1571" spans="1:9" x14ac:dyDescent="0.3">
      <c r="A1571" t="str">
        <f t="shared" si="24"/>
        <v>CASE-1570</v>
      </c>
      <c r="B1571" s="1">
        <v>45866</v>
      </c>
      <c r="C1571" t="s">
        <v>12</v>
      </c>
      <c r="D1571">
        <v>1</v>
      </c>
      <c r="E1571" t="b">
        <v>1</v>
      </c>
      <c r="F1571" s="2">
        <v>6.9241674223296794</v>
      </c>
      <c r="G1571" t="b">
        <v>0</v>
      </c>
      <c r="H1571" t="s">
        <v>22</v>
      </c>
      <c r="I1571" t="s">
        <v>34</v>
      </c>
    </row>
    <row r="1572" spans="1:9" x14ac:dyDescent="0.3">
      <c r="A1572" t="str">
        <f t="shared" si="24"/>
        <v>CASE-1571</v>
      </c>
      <c r="B1572" s="1">
        <v>46123</v>
      </c>
      <c r="C1572" t="s">
        <v>11</v>
      </c>
      <c r="D1572">
        <v>1</v>
      </c>
      <c r="E1572" t="b">
        <v>0</v>
      </c>
      <c r="F1572" s="2">
        <v>28.189118582540885</v>
      </c>
      <c r="G1572" t="b">
        <v>0</v>
      </c>
      <c r="H1572" t="s">
        <v>16</v>
      </c>
      <c r="I1572" t="s">
        <v>33</v>
      </c>
    </row>
    <row r="1573" spans="1:9" x14ac:dyDescent="0.3">
      <c r="A1573" t="str">
        <f t="shared" si="24"/>
        <v>CASE-1572</v>
      </c>
      <c r="B1573" s="1">
        <v>45526</v>
      </c>
      <c r="C1573" t="s">
        <v>10</v>
      </c>
      <c r="D1573">
        <v>2</v>
      </c>
      <c r="E1573" t="b">
        <v>0</v>
      </c>
      <c r="F1573" s="2">
        <v>15.649440312543151</v>
      </c>
      <c r="G1573" t="b">
        <v>0</v>
      </c>
      <c r="H1573" t="s">
        <v>28</v>
      </c>
      <c r="I1573" t="s">
        <v>33</v>
      </c>
    </row>
    <row r="1574" spans="1:9" x14ac:dyDescent="0.3">
      <c r="A1574" t="str">
        <f t="shared" si="24"/>
        <v>CASE-1573</v>
      </c>
      <c r="B1574" s="1">
        <v>45893</v>
      </c>
      <c r="C1574" t="s">
        <v>11</v>
      </c>
      <c r="D1574">
        <v>1</v>
      </c>
      <c r="E1574" t="b">
        <v>1</v>
      </c>
      <c r="F1574" s="2">
        <v>6.6593203618185894</v>
      </c>
      <c r="G1574" t="b">
        <v>0</v>
      </c>
      <c r="H1574" t="s">
        <v>14</v>
      </c>
      <c r="I1574" t="s">
        <v>34</v>
      </c>
    </row>
    <row r="1575" spans="1:9" x14ac:dyDescent="0.3">
      <c r="A1575" t="str">
        <f t="shared" si="24"/>
        <v>CASE-1574</v>
      </c>
      <c r="B1575" s="1">
        <v>45538</v>
      </c>
      <c r="C1575" t="s">
        <v>9</v>
      </c>
      <c r="D1575">
        <v>3</v>
      </c>
      <c r="E1575" t="b">
        <v>0</v>
      </c>
      <c r="F1575" s="2">
        <v>29.931265382004383</v>
      </c>
      <c r="G1575" t="b">
        <v>0</v>
      </c>
      <c r="H1575" t="s">
        <v>14</v>
      </c>
      <c r="I1575" t="s">
        <v>33</v>
      </c>
    </row>
    <row r="1576" spans="1:9" x14ac:dyDescent="0.3">
      <c r="A1576" t="str">
        <f t="shared" si="24"/>
        <v>CASE-1575</v>
      </c>
      <c r="B1576" s="1">
        <v>45603</v>
      </c>
      <c r="C1576" t="s">
        <v>9</v>
      </c>
      <c r="D1576">
        <v>5</v>
      </c>
      <c r="E1576" t="b">
        <v>0</v>
      </c>
      <c r="F1576" s="2">
        <v>26.134723311618636</v>
      </c>
      <c r="G1576" t="b">
        <v>0</v>
      </c>
      <c r="H1576" t="s">
        <v>15</v>
      </c>
      <c r="I1576" t="s">
        <v>33</v>
      </c>
    </row>
    <row r="1577" spans="1:9" x14ac:dyDescent="0.3">
      <c r="A1577" t="str">
        <f t="shared" si="24"/>
        <v>CASE-1576</v>
      </c>
      <c r="B1577" s="1">
        <v>46038</v>
      </c>
      <c r="C1577" t="s">
        <v>12</v>
      </c>
      <c r="D1577">
        <v>3</v>
      </c>
      <c r="E1577" t="b">
        <v>1</v>
      </c>
      <c r="F1577" s="2">
        <v>5.955251234477771</v>
      </c>
      <c r="G1577" t="b">
        <v>0</v>
      </c>
      <c r="H1577" t="s">
        <v>16</v>
      </c>
      <c r="I1577" t="s">
        <v>34</v>
      </c>
    </row>
    <row r="1578" spans="1:9" x14ac:dyDescent="0.3">
      <c r="A1578" t="str">
        <f t="shared" si="24"/>
        <v>CASE-1577</v>
      </c>
      <c r="B1578" s="1">
        <v>45984</v>
      </c>
      <c r="C1578" t="s">
        <v>11</v>
      </c>
      <c r="D1578">
        <v>5</v>
      </c>
      <c r="E1578" t="b">
        <v>1</v>
      </c>
      <c r="F1578" s="2">
        <v>5.728315164500283</v>
      </c>
      <c r="G1578" t="b">
        <v>0</v>
      </c>
      <c r="H1578" t="s">
        <v>23</v>
      </c>
      <c r="I1578" t="s">
        <v>34</v>
      </c>
    </row>
    <row r="1579" spans="1:9" x14ac:dyDescent="0.3">
      <c r="A1579" t="str">
        <f t="shared" si="24"/>
        <v>CASE-1578</v>
      </c>
      <c r="B1579" s="1">
        <v>46118</v>
      </c>
      <c r="C1579" t="s">
        <v>10</v>
      </c>
      <c r="D1579">
        <v>3</v>
      </c>
      <c r="E1579" t="b">
        <v>0</v>
      </c>
      <c r="F1579" s="2">
        <v>7.5297794808221603</v>
      </c>
      <c r="G1579" t="b">
        <v>0</v>
      </c>
      <c r="H1579" t="s">
        <v>32</v>
      </c>
      <c r="I1579" t="s">
        <v>34</v>
      </c>
    </row>
    <row r="1580" spans="1:9" x14ac:dyDescent="0.3">
      <c r="A1580" t="str">
        <f t="shared" si="24"/>
        <v>CASE-1579</v>
      </c>
      <c r="B1580" s="1">
        <v>45516</v>
      </c>
      <c r="C1580" t="s">
        <v>12</v>
      </c>
      <c r="D1580">
        <v>3</v>
      </c>
      <c r="E1580" t="b">
        <v>0</v>
      </c>
      <c r="F1580" s="2">
        <v>26.731698172726926</v>
      </c>
      <c r="G1580" t="b">
        <v>0</v>
      </c>
      <c r="H1580" t="s">
        <v>22</v>
      </c>
      <c r="I1580" t="s">
        <v>33</v>
      </c>
    </row>
    <row r="1581" spans="1:9" x14ac:dyDescent="0.3">
      <c r="A1581" t="str">
        <f t="shared" si="24"/>
        <v>CASE-1580</v>
      </c>
      <c r="B1581" s="1">
        <v>45531</v>
      </c>
      <c r="C1581" t="s">
        <v>11</v>
      </c>
      <c r="D1581">
        <v>2</v>
      </c>
      <c r="E1581" t="b">
        <v>0</v>
      </c>
      <c r="F1581" s="2">
        <v>22.766702051122362</v>
      </c>
      <c r="G1581" t="b">
        <v>0</v>
      </c>
      <c r="H1581" t="s">
        <v>21</v>
      </c>
      <c r="I1581" t="s">
        <v>33</v>
      </c>
    </row>
    <row r="1582" spans="1:9" x14ac:dyDescent="0.3">
      <c r="A1582" t="str">
        <f t="shared" si="24"/>
        <v>CASE-1581</v>
      </c>
      <c r="B1582" s="1">
        <v>45535</v>
      </c>
      <c r="C1582" t="s">
        <v>10</v>
      </c>
      <c r="D1582">
        <v>3</v>
      </c>
      <c r="E1582" t="b">
        <v>0</v>
      </c>
      <c r="F1582" s="2">
        <v>19.635391324040462</v>
      </c>
      <c r="G1582" t="b">
        <v>0</v>
      </c>
      <c r="H1582" t="s">
        <v>17</v>
      </c>
      <c r="I1582" t="s">
        <v>33</v>
      </c>
    </row>
    <row r="1583" spans="1:9" x14ac:dyDescent="0.3">
      <c r="A1583" t="str">
        <f t="shared" si="24"/>
        <v>CASE-1582</v>
      </c>
      <c r="B1583" s="1">
        <v>46170</v>
      </c>
      <c r="C1583" t="s">
        <v>9</v>
      </c>
      <c r="D1583">
        <v>2</v>
      </c>
      <c r="E1583" t="b">
        <v>0</v>
      </c>
      <c r="F1583" s="2">
        <v>8.1909421106307221</v>
      </c>
      <c r="G1583" t="b">
        <v>0</v>
      </c>
      <c r="H1583" t="s">
        <v>25</v>
      </c>
      <c r="I1583" t="s">
        <v>34</v>
      </c>
    </row>
    <row r="1584" spans="1:9" x14ac:dyDescent="0.3">
      <c r="A1584" t="str">
        <f t="shared" si="24"/>
        <v>CASE-1583</v>
      </c>
      <c r="B1584" s="1">
        <v>45775</v>
      </c>
      <c r="C1584" t="s">
        <v>12</v>
      </c>
      <c r="D1584">
        <v>2</v>
      </c>
      <c r="E1584" t="b">
        <v>1</v>
      </c>
      <c r="F1584" s="2">
        <v>6.9562718999274349</v>
      </c>
      <c r="G1584" t="b">
        <v>0</v>
      </c>
      <c r="H1584" t="s">
        <v>13</v>
      </c>
      <c r="I1584" t="s">
        <v>34</v>
      </c>
    </row>
    <row r="1585" spans="1:9" x14ac:dyDescent="0.3">
      <c r="A1585" t="str">
        <f t="shared" si="24"/>
        <v>CASE-1584</v>
      </c>
      <c r="B1585" s="1">
        <v>46027</v>
      </c>
      <c r="C1585" t="s">
        <v>11</v>
      </c>
      <c r="D1585">
        <v>4</v>
      </c>
      <c r="E1585" t="b">
        <v>1</v>
      </c>
      <c r="F1585" s="2">
        <v>21.546913961780049</v>
      </c>
      <c r="G1585" t="b">
        <v>0</v>
      </c>
      <c r="H1585" t="s">
        <v>28</v>
      </c>
      <c r="I1585" t="s">
        <v>33</v>
      </c>
    </row>
    <row r="1586" spans="1:9" x14ac:dyDescent="0.3">
      <c r="A1586" t="str">
        <f t="shared" si="24"/>
        <v>CASE-1585</v>
      </c>
      <c r="B1586" s="1">
        <v>45881</v>
      </c>
      <c r="C1586" t="s">
        <v>10</v>
      </c>
      <c r="D1586">
        <v>4</v>
      </c>
      <c r="E1586" t="b">
        <v>0</v>
      </c>
      <c r="F1586" s="2">
        <v>6.6346284065708279</v>
      </c>
      <c r="G1586" t="b">
        <v>0</v>
      </c>
      <c r="H1586" t="s">
        <v>28</v>
      </c>
      <c r="I1586" t="s">
        <v>34</v>
      </c>
    </row>
    <row r="1587" spans="1:9" x14ac:dyDescent="0.3">
      <c r="A1587" t="str">
        <f t="shared" si="24"/>
        <v>CASE-1586</v>
      </c>
      <c r="B1587" s="1">
        <v>45771</v>
      </c>
      <c r="C1587" t="s">
        <v>9</v>
      </c>
      <c r="D1587">
        <v>1</v>
      </c>
      <c r="E1587" t="b">
        <v>1</v>
      </c>
      <c r="F1587" s="2">
        <v>4.7364150692314455</v>
      </c>
      <c r="G1587" t="b">
        <v>0</v>
      </c>
      <c r="H1587" t="s">
        <v>27</v>
      </c>
      <c r="I1587" t="s">
        <v>35</v>
      </c>
    </row>
    <row r="1588" spans="1:9" x14ac:dyDescent="0.3">
      <c r="A1588" t="str">
        <f t="shared" si="24"/>
        <v>CASE-1587</v>
      </c>
      <c r="B1588" s="1">
        <v>45890</v>
      </c>
      <c r="C1588" t="s">
        <v>9</v>
      </c>
      <c r="D1588">
        <v>2</v>
      </c>
      <c r="E1588" t="b">
        <v>1</v>
      </c>
      <c r="F1588" s="2">
        <v>20.338791001511598</v>
      </c>
      <c r="G1588" t="b">
        <v>0</v>
      </c>
      <c r="H1588" t="s">
        <v>20</v>
      </c>
      <c r="I1588" t="s">
        <v>33</v>
      </c>
    </row>
    <row r="1589" spans="1:9" x14ac:dyDescent="0.3">
      <c r="A1589" t="str">
        <f t="shared" si="24"/>
        <v>CASE-1588</v>
      </c>
      <c r="B1589" s="1">
        <v>45724</v>
      </c>
      <c r="C1589" t="s">
        <v>9</v>
      </c>
      <c r="D1589">
        <v>4</v>
      </c>
      <c r="E1589" t="b">
        <v>1</v>
      </c>
      <c r="F1589" s="2">
        <v>4.2008498632406992</v>
      </c>
      <c r="G1589" t="b">
        <v>0</v>
      </c>
      <c r="H1589" t="s">
        <v>20</v>
      </c>
      <c r="I1589" t="s">
        <v>34</v>
      </c>
    </row>
    <row r="1590" spans="1:9" x14ac:dyDescent="0.3">
      <c r="A1590" t="str">
        <f t="shared" si="24"/>
        <v>CASE-1589</v>
      </c>
      <c r="B1590" s="1">
        <v>45696</v>
      </c>
      <c r="C1590" t="s">
        <v>9</v>
      </c>
      <c r="D1590">
        <v>3</v>
      </c>
      <c r="E1590" t="b">
        <v>1</v>
      </c>
      <c r="F1590" s="2">
        <v>4.5244118034632352</v>
      </c>
      <c r="G1590" t="b">
        <v>0</v>
      </c>
      <c r="H1590" t="s">
        <v>30</v>
      </c>
      <c r="I1590" t="s">
        <v>34</v>
      </c>
    </row>
    <row r="1591" spans="1:9" x14ac:dyDescent="0.3">
      <c r="A1591" t="str">
        <f t="shared" si="24"/>
        <v>CASE-1590</v>
      </c>
      <c r="B1591" s="1">
        <v>45880</v>
      </c>
      <c r="C1591" t="s">
        <v>11</v>
      </c>
      <c r="D1591">
        <v>5</v>
      </c>
      <c r="E1591" t="b">
        <v>0</v>
      </c>
      <c r="F1591" s="2">
        <v>8.6509982187217425</v>
      </c>
      <c r="G1591" t="b">
        <v>0</v>
      </c>
      <c r="H1591" t="s">
        <v>25</v>
      </c>
      <c r="I1591" t="s">
        <v>34</v>
      </c>
    </row>
    <row r="1592" spans="1:9" x14ac:dyDescent="0.3">
      <c r="A1592" t="str">
        <f t="shared" si="24"/>
        <v>CASE-1591</v>
      </c>
      <c r="B1592" s="1">
        <v>45694</v>
      </c>
      <c r="C1592" t="s">
        <v>11</v>
      </c>
      <c r="D1592">
        <v>5</v>
      </c>
      <c r="E1592" t="b">
        <v>1</v>
      </c>
      <c r="F1592" s="2">
        <v>6.8699217567593136</v>
      </c>
      <c r="G1592" t="b">
        <v>0</v>
      </c>
      <c r="H1592" t="s">
        <v>29</v>
      </c>
      <c r="I1592" t="s">
        <v>34</v>
      </c>
    </row>
    <row r="1593" spans="1:9" x14ac:dyDescent="0.3">
      <c r="A1593" t="str">
        <f t="shared" si="24"/>
        <v>CASE-1592</v>
      </c>
      <c r="B1593" s="1">
        <v>45507</v>
      </c>
      <c r="C1593" t="s">
        <v>9</v>
      </c>
      <c r="D1593">
        <v>5</v>
      </c>
      <c r="E1593" t="b">
        <v>0</v>
      </c>
      <c r="F1593" s="2">
        <v>17.967338882594362</v>
      </c>
      <c r="G1593" t="b">
        <v>0</v>
      </c>
      <c r="H1593" t="s">
        <v>25</v>
      </c>
      <c r="I1593" t="s">
        <v>33</v>
      </c>
    </row>
    <row r="1594" spans="1:9" x14ac:dyDescent="0.3">
      <c r="A1594" t="str">
        <f t="shared" si="24"/>
        <v>CASE-1593</v>
      </c>
      <c r="B1594" s="1">
        <v>45855</v>
      </c>
      <c r="C1594" t="s">
        <v>12</v>
      </c>
      <c r="D1594">
        <v>1</v>
      </c>
      <c r="E1594" t="b">
        <v>1</v>
      </c>
      <c r="F1594" s="2">
        <v>8.1907182990120173</v>
      </c>
      <c r="G1594" t="b">
        <v>0</v>
      </c>
      <c r="H1594" t="s">
        <v>25</v>
      </c>
      <c r="I1594" t="s">
        <v>34</v>
      </c>
    </row>
    <row r="1595" spans="1:9" x14ac:dyDescent="0.3">
      <c r="A1595" t="str">
        <f t="shared" si="24"/>
        <v>CASE-1594</v>
      </c>
      <c r="B1595" s="1">
        <v>45947</v>
      </c>
      <c r="C1595" t="s">
        <v>11</v>
      </c>
      <c r="D1595">
        <v>2</v>
      </c>
      <c r="E1595" t="b">
        <v>1</v>
      </c>
      <c r="F1595" s="2">
        <v>4.8858669400568662</v>
      </c>
      <c r="G1595" t="b">
        <v>0</v>
      </c>
      <c r="H1595" t="s">
        <v>26</v>
      </c>
      <c r="I1595" t="s">
        <v>34</v>
      </c>
    </row>
    <row r="1596" spans="1:9" x14ac:dyDescent="0.3">
      <c r="A1596" t="str">
        <f t="shared" si="24"/>
        <v>CASE-1595</v>
      </c>
      <c r="B1596" s="1">
        <v>45501</v>
      </c>
      <c r="C1596" t="s">
        <v>11</v>
      </c>
      <c r="D1596">
        <v>3</v>
      </c>
      <c r="E1596" t="b">
        <v>0</v>
      </c>
      <c r="F1596" s="2">
        <v>37.676331105688448</v>
      </c>
      <c r="G1596" t="b">
        <v>0</v>
      </c>
      <c r="H1596" t="s">
        <v>31</v>
      </c>
      <c r="I1596" t="s">
        <v>33</v>
      </c>
    </row>
    <row r="1597" spans="1:9" x14ac:dyDescent="0.3">
      <c r="A1597" t="str">
        <f t="shared" si="24"/>
        <v>CASE-1596</v>
      </c>
      <c r="B1597" s="1">
        <v>45570</v>
      </c>
      <c r="C1597" t="s">
        <v>9</v>
      </c>
      <c r="D1597">
        <v>4</v>
      </c>
      <c r="E1597" t="b">
        <v>0</v>
      </c>
      <c r="F1597" s="2">
        <v>28.45358608464295</v>
      </c>
      <c r="G1597" t="b">
        <v>0</v>
      </c>
      <c r="H1597" t="s">
        <v>13</v>
      </c>
      <c r="I1597" t="s">
        <v>33</v>
      </c>
    </row>
    <row r="1598" spans="1:9" x14ac:dyDescent="0.3">
      <c r="A1598" t="str">
        <f t="shared" si="24"/>
        <v>CASE-1597</v>
      </c>
      <c r="B1598" s="1">
        <v>45883</v>
      </c>
      <c r="C1598" t="s">
        <v>10</v>
      </c>
      <c r="D1598">
        <v>2</v>
      </c>
      <c r="E1598" t="b">
        <v>1</v>
      </c>
      <c r="F1598" s="2">
        <v>8.3291899119447432</v>
      </c>
      <c r="G1598" t="b">
        <v>0</v>
      </c>
      <c r="H1598" t="s">
        <v>32</v>
      </c>
      <c r="I1598" t="s">
        <v>34</v>
      </c>
    </row>
    <row r="1599" spans="1:9" x14ac:dyDescent="0.3">
      <c r="A1599" t="str">
        <f t="shared" si="24"/>
        <v>CASE-1598</v>
      </c>
      <c r="B1599" s="1">
        <v>45551</v>
      </c>
      <c r="C1599" t="s">
        <v>10</v>
      </c>
      <c r="D1599">
        <v>5</v>
      </c>
      <c r="E1599" t="b">
        <v>0</v>
      </c>
      <c r="F1599" s="2">
        <v>19.010770578350446</v>
      </c>
      <c r="G1599" t="b">
        <v>1</v>
      </c>
      <c r="H1599" t="s">
        <v>26</v>
      </c>
      <c r="I1599" t="s">
        <v>33</v>
      </c>
    </row>
    <row r="1600" spans="1:9" x14ac:dyDescent="0.3">
      <c r="A1600" t="str">
        <f t="shared" si="24"/>
        <v>CASE-1599</v>
      </c>
      <c r="B1600" s="1">
        <v>46198</v>
      </c>
      <c r="C1600" t="s">
        <v>10</v>
      </c>
      <c r="D1600">
        <v>1</v>
      </c>
      <c r="E1600" t="b">
        <v>1</v>
      </c>
      <c r="F1600" s="2">
        <v>6.3666464319839386</v>
      </c>
      <c r="G1600" t="b">
        <v>0</v>
      </c>
      <c r="H1600" t="s">
        <v>25</v>
      </c>
      <c r="I1600" t="s">
        <v>35</v>
      </c>
    </row>
    <row r="1601" spans="1:9" x14ac:dyDescent="0.3">
      <c r="A1601" t="str">
        <f t="shared" si="24"/>
        <v>CASE-1600</v>
      </c>
      <c r="B1601" s="1">
        <v>45622</v>
      </c>
      <c r="C1601" t="s">
        <v>10</v>
      </c>
      <c r="D1601">
        <v>5</v>
      </c>
      <c r="E1601" t="b">
        <v>0</v>
      </c>
      <c r="F1601" s="2">
        <v>29.072694505079024</v>
      </c>
      <c r="G1601" t="b">
        <v>1</v>
      </c>
      <c r="H1601" t="s">
        <v>17</v>
      </c>
      <c r="I1601" t="s">
        <v>33</v>
      </c>
    </row>
    <row r="1602" spans="1:9" x14ac:dyDescent="0.3">
      <c r="A1602" t="str">
        <f t="shared" si="24"/>
        <v>CASE-1601</v>
      </c>
      <c r="B1602" s="1">
        <v>45700</v>
      </c>
      <c r="C1602" t="s">
        <v>10</v>
      </c>
      <c r="D1602">
        <v>3</v>
      </c>
      <c r="E1602" t="b">
        <v>1</v>
      </c>
      <c r="F1602" s="2">
        <v>8.4090850359125788</v>
      </c>
      <c r="G1602" t="b">
        <v>0</v>
      </c>
      <c r="H1602" t="s">
        <v>21</v>
      </c>
      <c r="I1602" t="s">
        <v>34</v>
      </c>
    </row>
    <row r="1603" spans="1:9" x14ac:dyDescent="0.3">
      <c r="A1603" t="str">
        <f t="shared" ref="A1603:A1666" si="25">"CASE-"&amp;TEXT(ROW()-1,"0000")</f>
        <v>CASE-1602</v>
      </c>
      <c r="B1603" s="1">
        <v>46199</v>
      </c>
      <c r="C1603" t="s">
        <v>11</v>
      </c>
      <c r="D1603">
        <v>5</v>
      </c>
      <c r="E1603" t="b">
        <v>1</v>
      </c>
      <c r="F1603" s="2">
        <v>4.1643878838455421</v>
      </c>
      <c r="G1603" t="b">
        <v>0</v>
      </c>
      <c r="H1603" t="s">
        <v>23</v>
      </c>
      <c r="I1603" t="s">
        <v>34</v>
      </c>
    </row>
    <row r="1604" spans="1:9" x14ac:dyDescent="0.3">
      <c r="A1604" t="str">
        <f t="shared" si="25"/>
        <v>CASE-1603</v>
      </c>
      <c r="B1604" s="1">
        <v>46191</v>
      </c>
      <c r="C1604" t="s">
        <v>9</v>
      </c>
      <c r="D1604">
        <v>3</v>
      </c>
      <c r="E1604" t="b">
        <v>1</v>
      </c>
      <c r="F1604" s="2">
        <v>4.8760586248311917</v>
      </c>
      <c r="G1604" t="b">
        <v>0</v>
      </c>
      <c r="H1604" t="s">
        <v>17</v>
      </c>
      <c r="I1604" t="s">
        <v>34</v>
      </c>
    </row>
    <row r="1605" spans="1:9" x14ac:dyDescent="0.3">
      <c r="A1605" t="str">
        <f t="shared" si="25"/>
        <v>CASE-1604</v>
      </c>
      <c r="B1605" s="1">
        <v>46203</v>
      </c>
      <c r="C1605" t="s">
        <v>10</v>
      </c>
      <c r="D1605">
        <v>4</v>
      </c>
      <c r="E1605" t="b">
        <v>0</v>
      </c>
      <c r="F1605" s="2">
        <v>6.7976946997404912</v>
      </c>
      <c r="G1605" t="b">
        <v>0</v>
      </c>
      <c r="H1605" t="s">
        <v>21</v>
      </c>
      <c r="I1605" t="s">
        <v>34</v>
      </c>
    </row>
    <row r="1606" spans="1:9" x14ac:dyDescent="0.3">
      <c r="A1606" t="str">
        <f t="shared" si="25"/>
        <v>CASE-1605</v>
      </c>
      <c r="B1606" s="1">
        <v>45633</v>
      </c>
      <c r="C1606" t="s">
        <v>12</v>
      </c>
      <c r="D1606">
        <v>3</v>
      </c>
      <c r="E1606" t="b">
        <v>0</v>
      </c>
      <c r="F1606" s="2">
        <v>38.658294358659781</v>
      </c>
      <c r="G1606" t="b">
        <v>0</v>
      </c>
      <c r="H1606" t="s">
        <v>22</v>
      </c>
      <c r="I1606" t="s">
        <v>33</v>
      </c>
    </row>
    <row r="1607" spans="1:9" x14ac:dyDescent="0.3">
      <c r="A1607" t="str">
        <f t="shared" si="25"/>
        <v>CASE-1606</v>
      </c>
      <c r="B1607" s="1">
        <v>45634</v>
      </c>
      <c r="C1607" t="s">
        <v>11</v>
      </c>
      <c r="D1607">
        <v>1</v>
      </c>
      <c r="E1607" t="b">
        <v>0</v>
      </c>
      <c r="F1607" s="2">
        <v>24.283543950731595</v>
      </c>
      <c r="G1607" t="b">
        <v>0</v>
      </c>
      <c r="H1607" t="s">
        <v>17</v>
      </c>
      <c r="I1607" t="s">
        <v>33</v>
      </c>
    </row>
    <row r="1608" spans="1:9" x14ac:dyDescent="0.3">
      <c r="A1608" t="str">
        <f t="shared" si="25"/>
        <v>CASE-1607</v>
      </c>
      <c r="B1608" s="1">
        <v>45926</v>
      </c>
      <c r="C1608" t="s">
        <v>11</v>
      </c>
      <c r="D1608">
        <v>5</v>
      </c>
      <c r="E1608" t="b">
        <v>1</v>
      </c>
      <c r="F1608" s="2">
        <v>31.060780102782505</v>
      </c>
      <c r="G1608" t="b">
        <v>0</v>
      </c>
      <c r="H1608" t="s">
        <v>13</v>
      </c>
      <c r="I1608" t="s">
        <v>33</v>
      </c>
    </row>
    <row r="1609" spans="1:9" x14ac:dyDescent="0.3">
      <c r="A1609" t="str">
        <f t="shared" si="25"/>
        <v>CASE-1608</v>
      </c>
      <c r="B1609" s="1">
        <v>45596</v>
      </c>
      <c r="C1609" t="s">
        <v>12</v>
      </c>
      <c r="D1609">
        <v>4</v>
      </c>
      <c r="E1609" t="b">
        <v>0</v>
      </c>
      <c r="F1609" s="2">
        <v>35.923802843774546</v>
      </c>
      <c r="G1609" t="b">
        <v>0</v>
      </c>
      <c r="H1609" t="s">
        <v>28</v>
      </c>
      <c r="I1609" t="s">
        <v>33</v>
      </c>
    </row>
    <row r="1610" spans="1:9" x14ac:dyDescent="0.3">
      <c r="A1610" t="str">
        <f t="shared" si="25"/>
        <v>CASE-1609</v>
      </c>
      <c r="B1610" s="1">
        <v>45864</v>
      </c>
      <c r="C1610" t="s">
        <v>12</v>
      </c>
      <c r="D1610">
        <v>5</v>
      </c>
      <c r="E1610" t="b">
        <v>1</v>
      </c>
      <c r="F1610" s="2">
        <v>7.1191110276919076</v>
      </c>
      <c r="G1610" t="b">
        <v>0</v>
      </c>
      <c r="H1610" t="s">
        <v>17</v>
      </c>
      <c r="I1610" t="s">
        <v>34</v>
      </c>
    </row>
    <row r="1611" spans="1:9" x14ac:dyDescent="0.3">
      <c r="A1611" t="str">
        <f t="shared" si="25"/>
        <v>CASE-1610</v>
      </c>
      <c r="B1611" s="1">
        <v>45636</v>
      </c>
      <c r="C1611" t="s">
        <v>11</v>
      </c>
      <c r="D1611">
        <v>4</v>
      </c>
      <c r="E1611" t="b">
        <v>0</v>
      </c>
      <c r="F1611" s="2">
        <v>29.413072520054357</v>
      </c>
      <c r="G1611" t="b">
        <v>0</v>
      </c>
      <c r="H1611" t="s">
        <v>15</v>
      </c>
      <c r="I1611" t="s">
        <v>33</v>
      </c>
    </row>
    <row r="1612" spans="1:9" x14ac:dyDescent="0.3">
      <c r="A1612" t="str">
        <f t="shared" si="25"/>
        <v>CASE-1611</v>
      </c>
      <c r="B1612" s="1">
        <v>46070</v>
      </c>
      <c r="C1612" t="s">
        <v>11</v>
      </c>
      <c r="D1612">
        <v>1</v>
      </c>
      <c r="E1612" t="b">
        <v>1</v>
      </c>
      <c r="F1612" s="2">
        <v>5.5333042435098578</v>
      </c>
      <c r="G1612" t="b">
        <v>0</v>
      </c>
      <c r="H1612" t="s">
        <v>16</v>
      </c>
      <c r="I1612" t="s">
        <v>34</v>
      </c>
    </row>
    <row r="1613" spans="1:9" x14ac:dyDescent="0.3">
      <c r="A1613" t="str">
        <f t="shared" si="25"/>
        <v>CASE-1612</v>
      </c>
      <c r="B1613" s="1">
        <v>45724</v>
      </c>
      <c r="C1613" t="s">
        <v>12</v>
      </c>
      <c r="D1613">
        <v>1</v>
      </c>
      <c r="E1613" t="b">
        <v>0</v>
      </c>
      <c r="F1613" s="2">
        <v>4.2580111751974297</v>
      </c>
      <c r="G1613" t="b">
        <v>0</v>
      </c>
      <c r="H1613" t="s">
        <v>26</v>
      </c>
      <c r="I1613" t="s">
        <v>35</v>
      </c>
    </row>
    <row r="1614" spans="1:9" x14ac:dyDescent="0.3">
      <c r="A1614" t="str">
        <f t="shared" si="25"/>
        <v>CASE-1613</v>
      </c>
      <c r="B1614" s="1">
        <v>46101</v>
      </c>
      <c r="C1614" t="s">
        <v>12</v>
      </c>
      <c r="D1614">
        <v>3</v>
      </c>
      <c r="E1614" t="b">
        <v>1</v>
      </c>
      <c r="F1614" s="2">
        <v>4.0849728539712808</v>
      </c>
      <c r="G1614" t="b">
        <v>0</v>
      </c>
      <c r="H1614" t="s">
        <v>19</v>
      </c>
      <c r="I1614" t="s">
        <v>34</v>
      </c>
    </row>
    <row r="1615" spans="1:9" x14ac:dyDescent="0.3">
      <c r="A1615" t="str">
        <f t="shared" si="25"/>
        <v>CASE-1614</v>
      </c>
      <c r="B1615" s="1">
        <v>46184</v>
      </c>
      <c r="C1615" t="s">
        <v>12</v>
      </c>
      <c r="D1615">
        <v>3</v>
      </c>
      <c r="E1615" t="b">
        <v>0</v>
      </c>
      <c r="F1615" s="2">
        <v>4.0901297452322556</v>
      </c>
      <c r="G1615" t="b">
        <v>0</v>
      </c>
      <c r="H1615" t="s">
        <v>21</v>
      </c>
      <c r="I1615" t="s">
        <v>34</v>
      </c>
    </row>
    <row r="1616" spans="1:9" x14ac:dyDescent="0.3">
      <c r="A1616" t="str">
        <f t="shared" si="25"/>
        <v>CASE-1615</v>
      </c>
      <c r="B1616" s="1">
        <v>45954</v>
      </c>
      <c r="C1616" t="s">
        <v>9</v>
      </c>
      <c r="D1616">
        <v>2</v>
      </c>
      <c r="E1616" t="b">
        <v>0</v>
      </c>
      <c r="F1616" s="2">
        <v>11.671259179349256</v>
      </c>
      <c r="G1616" t="b">
        <v>0</v>
      </c>
      <c r="H1616" t="s">
        <v>22</v>
      </c>
      <c r="I1616" t="s">
        <v>33</v>
      </c>
    </row>
    <row r="1617" spans="1:9" x14ac:dyDescent="0.3">
      <c r="A1617" t="str">
        <f t="shared" si="25"/>
        <v>CASE-1616</v>
      </c>
      <c r="B1617" s="1">
        <v>45912</v>
      </c>
      <c r="C1617" t="s">
        <v>10</v>
      </c>
      <c r="D1617">
        <v>5</v>
      </c>
      <c r="E1617" t="b">
        <v>1</v>
      </c>
      <c r="F1617" s="2">
        <v>5.0986384129480582</v>
      </c>
      <c r="G1617" t="b">
        <v>0</v>
      </c>
      <c r="H1617" t="s">
        <v>27</v>
      </c>
      <c r="I1617" t="s">
        <v>34</v>
      </c>
    </row>
    <row r="1618" spans="1:9" x14ac:dyDescent="0.3">
      <c r="A1618" t="str">
        <f t="shared" si="25"/>
        <v>CASE-1617</v>
      </c>
      <c r="B1618" s="1">
        <v>45702</v>
      </c>
      <c r="C1618" t="s">
        <v>12</v>
      </c>
      <c r="D1618">
        <v>4</v>
      </c>
      <c r="E1618" t="b">
        <v>1</v>
      </c>
      <c r="F1618" s="2">
        <v>5.3517700842225402</v>
      </c>
      <c r="G1618" t="b">
        <v>0</v>
      </c>
      <c r="H1618" t="s">
        <v>25</v>
      </c>
      <c r="I1618" t="s">
        <v>34</v>
      </c>
    </row>
    <row r="1619" spans="1:9" x14ac:dyDescent="0.3">
      <c r="A1619" t="str">
        <f t="shared" si="25"/>
        <v>CASE-1618</v>
      </c>
      <c r="B1619" s="1">
        <v>45914</v>
      </c>
      <c r="C1619" t="s">
        <v>10</v>
      </c>
      <c r="D1619">
        <v>2</v>
      </c>
      <c r="E1619" t="b">
        <v>1</v>
      </c>
      <c r="F1619" s="2">
        <v>19.482919291192822</v>
      </c>
      <c r="G1619" t="b">
        <v>0</v>
      </c>
      <c r="H1619" t="s">
        <v>20</v>
      </c>
      <c r="I1619" t="s">
        <v>33</v>
      </c>
    </row>
    <row r="1620" spans="1:9" x14ac:dyDescent="0.3">
      <c r="A1620" t="str">
        <f t="shared" si="25"/>
        <v>CASE-1619</v>
      </c>
      <c r="B1620" s="1">
        <v>45746</v>
      </c>
      <c r="C1620" t="s">
        <v>11</v>
      </c>
      <c r="D1620">
        <v>4</v>
      </c>
      <c r="E1620" t="b">
        <v>0</v>
      </c>
      <c r="F1620" s="2">
        <v>26.996829506580468</v>
      </c>
      <c r="G1620" t="b">
        <v>0</v>
      </c>
      <c r="H1620" t="s">
        <v>25</v>
      </c>
      <c r="I1620" t="s">
        <v>33</v>
      </c>
    </row>
    <row r="1621" spans="1:9" x14ac:dyDescent="0.3">
      <c r="A1621" t="str">
        <f t="shared" si="25"/>
        <v>CASE-1620</v>
      </c>
      <c r="B1621" s="1">
        <v>45900</v>
      </c>
      <c r="C1621" t="s">
        <v>11</v>
      </c>
      <c r="D1621">
        <v>4</v>
      </c>
      <c r="E1621" t="b">
        <v>1</v>
      </c>
      <c r="F1621" s="2">
        <v>3.0075476700182362</v>
      </c>
      <c r="G1621" t="b">
        <v>0</v>
      </c>
      <c r="H1621" t="s">
        <v>26</v>
      </c>
      <c r="I1621" t="s">
        <v>34</v>
      </c>
    </row>
    <row r="1622" spans="1:9" x14ac:dyDescent="0.3">
      <c r="A1622" t="str">
        <f t="shared" si="25"/>
        <v>CASE-1621</v>
      </c>
      <c r="B1622" s="1">
        <v>45932</v>
      </c>
      <c r="C1622" t="s">
        <v>10</v>
      </c>
      <c r="D1622">
        <v>2</v>
      </c>
      <c r="E1622" t="b">
        <v>1</v>
      </c>
      <c r="F1622" s="2">
        <v>8.7528789004759027</v>
      </c>
      <c r="G1622" t="b">
        <v>0</v>
      </c>
      <c r="H1622" t="s">
        <v>25</v>
      </c>
      <c r="I1622" t="s">
        <v>34</v>
      </c>
    </row>
    <row r="1623" spans="1:9" x14ac:dyDescent="0.3">
      <c r="A1623" t="str">
        <f t="shared" si="25"/>
        <v>CASE-1622</v>
      </c>
      <c r="B1623" s="1">
        <v>45491</v>
      </c>
      <c r="C1623" t="s">
        <v>9</v>
      </c>
      <c r="D1623">
        <v>2</v>
      </c>
      <c r="E1623" t="b">
        <v>0</v>
      </c>
      <c r="F1623" s="2">
        <v>27.403949669480991</v>
      </c>
      <c r="G1623" t="b">
        <v>0</v>
      </c>
      <c r="H1623" t="s">
        <v>32</v>
      </c>
      <c r="I1623" t="s">
        <v>33</v>
      </c>
    </row>
    <row r="1624" spans="1:9" x14ac:dyDescent="0.3">
      <c r="A1624" t="str">
        <f t="shared" si="25"/>
        <v>CASE-1623</v>
      </c>
      <c r="B1624" s="1">
        <v>45866</v>
      </c>
      <c r="C1624" t="s">
        <v>9</v>
      </c>
      <c r="D1624">
        <v>3</v>
      </c>
      <c r="E1624" t="b">
        <v>1</v>
      </c>
      <c r="F1624" s="2">
        <v>15.651700146182259</v>
      </c>
      <c r="G1624" t="b">
        <v>0</v>
      </c>
      <c r="H1624" t="s">
        <v>30</v>
      </c>
      <c r="I1624" t="s">
        <v>33</v>
      </c>
    </row>
    <row r="1625" spans="1:9" x14ac:dyDescent="0.3">
      <c r="A1625" t="str">
        <f t="shared" si="25"/>
        <v>CASE-1624</v>
      </c>
      <c r="B1625" s="1">
        <v>45993</v>
      </c>
      <c r="C1625" t="s">
        <v>9</v>
      </c>
      <c r="D1625">
        <v>3</v>
      </c>
      <c r="E1625" t="b">
        <v>1</v>
      </c>
      <c r="F1625" s="2">
        <v>7.249503695417971</v>
      </c>
      <c r="G1625" t="b">
        <v>0</v>
      </c>
      <c r="H1625" t="s">
        <v>27</v>
      </c>
      <c r="I1625" t="s">
        <v>34</v>
      </c>
    </row>
    <row r="1626" spans="1:9" x14ac:dyDescent="0.3">
      <c r="A1626" t="str">
        <f t="shared" si="25"/>
        <v>CASE-1625</v>
      </c>
      <c r="B1626" s="1">
        <v>45968</v>
      </c>
      <c r="C1626" t="s">
        <v>10</v>
      </c>
      <c r="D1626">
        <v>4</v>
      </c>
      <c r="E1626" t="b">
        <v>1</v>
      </c>
      <c r="F1626" s="2">
        <v>4.3519769979874017</v>
      </c>
      <c r="G1626" t="b">
        <v>0</v>
      </c>
      <c r="H1626" t="s">
        <v>16</v>
      </c>
      <c r="I1626" t="s">
        <v>34</v>
      </c>
    </row>
    <row r="1627" spans="1:9" x14ac:dyDescent="0.3">
      <c r="A1627" t="str">
        <f t="shared" si="25"/>
        <v>CASE-1626</v>
      </c>
      <c r="B1627" s="1">
        <v>46076</v>
      </c>
      <c r="C1627" t="s">
        <v>9</v>
      </c>
      <c r="D1627">
        <v>1</v>
      </c>
      <c r="E1627" t="b">
        <v>0</v>
      </c>
      <c r="F1627" s="2">
        <v>4.0363845656188122</v>
      </c>
      <c r="G1627" t="b">
        <v>0</v>
      </c>
      <c r="H1627" t="s">
        <v>21</v>
      </c>
      <c r="I1627" t="s">
        <v>34</v>
      </c>
    </row>
    <row r="1628" spans="1:9" x14ac:dyDescent="0.3">
      <c r="A1628" t="str">
        <f t="shared" si="25"/>
        <v>CASE-1627</v>
      </c>
      <c r="B1628" s="1">
        <v>45586</v>
      </c>
      <c r="C1628" t="s">
        <v>11</v>
      </c>
      <c r="D1628">
        <v>2</v>
      </c>
      <c r="E1628" t="b">
        <v>0</v>
      </c>
      <c r="F1628" s="2">
        <v>27.301667429970941</v>
      </c>
      <c r="G1628" t="b">
        <v>0</v>
      </c>
      <c r="H1628" t="s">
        <v>32</v>
      </c>
      <c r="I1628" t="s">
        <v>33</v>
      </c>
    </row>
    <row r="1629" spans="1:9" x14ac:dyDescent="0.3">
      <c r="A1629" t="str">
        <f t="shared" si="25"/>
        <v>CASE-1628</v>
      </c>
      <c r="B1629" s="1">
        <v>45728</v>
      </c>
      <c r="C1629" t="s">
        <v>9</v>
      </c>
      <c r="D1629">
        <v>3</v>
      </c>
      <c r="E1629" t="b">
        <v>1</v>
      </c>
      <c r="F1629" s="2">
        <v>6.0525654364181367</v>
      </c>
      <c r="G1629" t="b">
        <v>0</v>
      </c>
      <c r="H1629" t="s">
        <v>15</v>
      </c>
      <c r="I1629" t="s">
        <v>34</v>
      </c>
    </row>
    <row r="1630" spans="1:9" x14ac:dyDescent="0.3">
      <c r="A1630" t="str">
        <f t="shared" si="25"/>
        <v>CASE-1629</v>
      </c>
      <c r="B1630" s="1">
        <v>46079</v>
      </c>
      <c r="C1630" t="s">
        <v>9</v>
      </c>
      <c r="D1630">
        <v>1</v>
      </c>
      <c r="E1630" t="b">
        <v>0</v>
      </c>
      <c r="F1630" s="2">
        <v>3.0083426695120732</v>
      </c>
      <c r="G1630" t="b">
        <v>0</v>
      </c>
      <c r="H1630" t="s">
        <v>17</v>
      </c>
      <c r="I1630" t="s">
        <v>34</v>
      </c>
    </row>
    <row r="1631" spans="1:9" x14ac:dyDescent="0.3">
      <c r="A1631" t="str">
        <f t="shared" si="25"/>
        <v>CASE-1630</v>
      </c>
      <c r="B1631" s="1">
        <v>46093</v>
      </c>
      <c r="C1631" t="s">
        <v>10</v>
      </c>
      <c r="D1631">
        <v>1</v>
      </c>
      <c r="E1631" t="b">
        <v>0</v>
      </c>
      <c r="F1631" s="2">
        <v>4.8394333336569035</v>
      </c>
      <c r="G1631" t="b">
        <v>0</v>
      </c>
      <c r="H1631" t="s">
        <v>24</v>
      </c>
      <c r="I1631" t="s">
        <v>34</v>
      </c>
    </row>
    <row r="1632" spans="1:9" x14ac:dyDescent="0.3">
      <c r="A1632" t="str">
        <f t="shared" si="25"/>
        <v>CASE-1631</v>
      </c>
      <c r="B1632" s="1">
        <v>45539</v>
      </c>
      <c r="C1632" t="s">
        <v>11</v>
      </c>
      <c r="D1632">
        <v>5</v>
      </c>
      <c r="E1632" t="b">
        <v>0</v>
      </c>
      <c r="F1632" s="2">
        <v>11.355262610090007</v>
      </c>
      <c r="G1632" t="b">
        <v>0</v>
      </c>
      <c r="H1632" t="s">
        <v>31</v>
      </c>
      <c r="I1632" t="s">
        <v>33</v>
      </c>
    </row>
    <row r="1633" spans="1:9" x14ac:dyDescent="0.3">
      <c r="A1633" t="str">
        <f t="shared" si="25"/>
        <v>CASE-1632</v>
      </c>
      <c r="B1633" s="1">
        <v>45494</v>
      </c>
      <c r="C1633" t="s">
        <v>10</v>
      </c>
      <c r="D1633">
        <v>4</v>
      </c>
      <c r="E1633" t="b">
        <v>0</v>
      </c>
      <c r="F1633" s="2">
        <v>29.261949960278649</v>
      </c>
      <c r="G1633" t="b">
        <v>0</v>
      </c>
      <c r="H1633" t="s">
        <v>21</v>
      </c>
      <c r="I1633" t="s">
        <v>33</v>
      </c>
    </row>
    <row r="1634" spans="1:9" x14ac:dyDescent="0.3">
      <c r="A1634" t="str">
        <f t="shared" si="25"/>
        <v>CASE-1633</v>
      </c>
      <c r="B1634" s="1">
        <v>45552</v>
      </c>
      <c r="C1634" t="s">
        <v>10</v>
      </c>
      <c r="D1634">
        <v>1</v>
      </c>
      <c r="E1634" t="b">
        <v>0</v>
      </c>
      <c r="F1634" s="2">
        <v>31.030904064965036</v>
      </c>
      <c r="G1634" t="b">
        <v>0</v>
      </c>
      <c r="H1634" t="s">
        <v>16</v>
      </c>
      <c r="I1634" t="s">
        <v>33</v>
      </c>
    </row>
    <row r="1635" spans="1:9" x14ac:dyDescent="0.3">
      <c r="A1635" t="str">
        <f t="shared" si="25"/>
        <v>CASE-1634</v>
      </c>
      <c r="B1635" s="1">
        <v>45573</v>
      </c>
      <c r="C1635" t="s">
        <v>10</v>
      </c>
      <c r="D1635">
        <v>5</v>
      </c>
      <c r="E1635" t="b">
        <v>0</v>
      </c>
      <c r="F1635" s="2">
        <v>19.432026626270645</v>
      </c>
      <c r="G1635" t="b">
        <v>0</v>
      </c>
      <c r="H1635" t="s">
        <v>26</v>
      </c>
      <c r="I1635" t="s">
        <v>33</v>
      </c>
    </row>
    <row r="1636" spans="1:9" x14ac:dyDescent="0.3">
      <c r="A1636" t="str">
        <f t="shared" si="25"/>
        <v>CASE-1635</v>
      </c>
      <c r="B1636" s="1">
        <v>46050</v>
      </c>
      <c r="C1636" t="s">
        <v>10</v>
      </c>
      <c r="D1636">
        <v>1</v>
      </c>
      <c r="E1636" t="b">
        <v>0</v>
      </c>
      <c r="F1636" s="2">
        <v>11.305995233544369</v>
      </c>
      <c r="G1636" t="b">
        <v>0</v>
      </c>
      <c r="H1636" t="s">
        <v>29</v>
      </c>
      <c r="I1636" t="s">
        <v>34</v>
      </c>
    </row>
    <row r="1637" spans="1:9" x14ac:dyDescent="0.3">
      <c r="A1637" t="str">
        <f t="shared" si="25"/>
        <v>CASE-1636</v>
      </c>
      <c r="B1637" s="1">
        <v>45657</v>
      </c>
      <c r="C1637" t="s">
        <v>10</v>
      </c>
      <c r="D1637">
        <v>1</v>
      </c>
      <c r="E1637" t="b">
        <v>0</v>
      </c>
      <c r="F1637" s="2">
        <v>32.17877485363497</v>
      </c>
      <c r="G1637" t="b">
        <v>0</v>
      </c>
      <c r="H1637" t="s">
        <v>14</v>
      </c>
      <c r="I1637" t="s">
        <v>33</v>
      </c>
    </row>
    <row r="1638" spans="1:9" x14ac:dyDescent="0.3">
      <c r="A1638" t="str">
        <f t="shared" si="25"/>
        <v>CASE-1637</v>
      </c>
      <c r="B1638" s="1">
        <v>45485</v>
      </c>
      <c r="C1638" t="s">
        <v>10</v>
      </c>
      <c r="D1638">
        <v>4</v>
      </c>
      <c r="E1638" t="b">
        <v>0</v>
      </c>
      <c r="F1638" s="2">
        <v>24.774622161818645</v>
      </c>
      <c r="G1638" t="b">
        <v>0</v>
      </c>
      <c r="H1638" t="s">
        <v>24</v>
      </c>
      <c r="I1638" t="s">
        <v>33</v>
      </c>
    </row>
    <row r="1639" spans="1:9" x14ac:dyDescent="0.3">
      <c r="A1639" t="str">
        <f t="shared" si="25"/>
        <v>CASE-1638</v>
      </c>
      <c r="B1639" s="1">
        <v>45861</v>
      </c>
      <c r="C1639" t="s">
        <v>9</v>
      </c>
      <c r="D1639">
        <v>2</v>
      </c>
      <c r="E1639" t="b">
        <v>0</v>
      </c>
      <c r="F1639" s="2">
        <v>6.1843200885625507</v>
      </c>
      <c r="G1639" t="b">
        <v>0</v>
      </c>
      <c r="H1639" t="s">
        <v>23</v>
      </c>
      <c r="I1639" t="s">
        <v>34</v>
      </c>
    </row>
    <row r="1640" spans="1:9" x14ac:dyDescent="0.3">
      <c r="A1640" t="str">
        <f t="shared" si="25"/>
        <v>CASE-1639</v>
      </c>
      <c r="B1640" s="1">
        <v>45811</v>
      </c>
      <c r="C1640" t="s">
        <v>12</v>
      </c>
      <c r="D1640">
        <v>5</v>
      </c>
      <c r="E1640" t="b">
        <v>1</v>
      </c>
      <c r="F1640" s="2">
        <v>7.2426537970250271</v>
      </c>
      <c r="G1640" t="b">
        <v>0</v>
      </c>
      <c r="H1640" t="s">
        <v>25</v>
      </c>
      <c r="I1640" t="s">
        <v>34</v>
      </c>
    </row>
    <row r="1641" spans="1:9" x14ac:dyDescent="0.3">
      <c r="A1641" t="str">
        <f t="shared" si="25"/>
        <v>CASE-1640</v>
      </c>
      <c r="B1641" s="1">
        <v>46074</v>
      </c>
      <c r="C1641" t="s">
        <v>11</v>
      </c>
      <c r="D1641">
        <v>3</v>
      </c>
      <c r="E1641" t="b">
        <v>1</v>
      </c>
      <c r="F1641" s="2">
        <v>2.6712987716708607</v>
      </c>
      <c r="G1641" t="b">
        <v>0</v>
      </c>
      <c r="H1641" t="s">
        <v>19</v>
      </c>
      <c r="I1641" t="s">
        <v>34</v>
      </c>
    </row>
    <row r="1642" spans="1:9" x14ac:dyDescent="0.3">
      <c r="A1642" t="str">
        <f t="shared" si="25"/>
        <v>CASE-1641</v>
      </c>
      <c r="B1642" s="1">
        <v>45688</v>
      </c>
      <c r="C1642" t="s">
        <v>11</v>
      </c>
      <c r="D1642">
        <v>5</v>
      </c>
      <c r="E1642" t="b">
        <v>1</v>
      </c>
      <c r="F1642" s="2">
        <v>6.09769334913394</v>
      </c>
      <c r="G1642" t="b">
        <v>0</v>
      </c>
      <c r="H1642" t="s">
        <v>15</v>
      </c>
      <c r="I1642" t="s">
        <v>34</v>
      </c>
    </row>
    <row r="1643" spans="1:9" x14ac:dyDescent="0.3">
      <c r="A1643" t="str">
        <f t="shared" si="25"/>
        <v>CASE-1642</v>
      </c>
      <c r="B1643" s="1">
        <v>45544</v>
      </c>
      <c r="C1643" t="s">
        <v>11</v>
      </c>
      <c r="D1643">
        <v>5</v>
      </c>
      <c r="E1643" t="b">
        <v>0</v>
      </c>
      <c r="F1643" s="2">
        <v>14.247494520997027</v>
      </c>
      <c r="G1643" t="b">
        <v>0</v>
      </c>
      <c r="H1643" t="s">
        <v>27</v>
      </c>
      <c r="I1643" t="s">
        <v>33</v>
      </c>
    </row>
    <row r="1644" spans="1:9" x14ac:dyDescent="0.3">
      <c r="A1644" t="str">
        <f t="shared" si="25"/>
        <v>CASE-1643</v>
      </c>
      <c r="B1644" s="1">
        <v>45947</v>
      </c>
      <c r="C1644" t="s">
        <v>10</v>
      </c>
      <c r="D1644">
        <v>3</v>
      </c>
      <c r="E1644" t="b">
        <v>0</v>
      </c>
      <c r="F1644" s="2">
        <v>26.851660143802167</v>
      </c>
      <c r="G1644" t="b">
        <v>0</v>
      </c>
      <c r="H1644" t="s">
        <v>24</v>
      </c>
      <c r="I1644" t="s">
        <v>33</v>
      </c>
    </row>
    <row r="1645" spans="1:9" x14ac:dyDescent="0.3">
      <c r="A1645" t="str">
        <f t="shared" si="25"/>
        <v>CASE-1644</v>
      </c>
      <c r="B1645" s="1">
        <v>45678</v>
      </c>
      <c r="C1645" t="s">
        <v>10</v>
      </c>
      <c r="D1645">
        <v>1</v>
      </c>
      <c r="E1645" t="b">
        <v>1</v>
      </c>
      <c r="F1645" s="2">
        <v>8.8866026650415968</v>
      </c>
      <c r="G1645" t="b">
        <v>0</v>
      </c>
      <c r="H1645" t="s">
        <v>28</v>
      </c>
      <c r="I1645" t="s">
        <v>34</v>
      </c>
    </row>
    <row r="1646" spans="1:9" x14ac:dyDescent="0.3">
      <c r="A1646" t="str">
        <f t="shared" si="25"/>
        <v>CASE-1645</v>
      </c>
      <c r="B1646" s="1">
        <v>45621</v>
      </c>
      <c r="C1646" t="s">
        <v>12</v>
      </c>
      <c r="D1646">
        <v>4</v>
      </c>
      <c r="E1646" t="b">
        <v>0</v>
      </c>
      <c r="F1646" s="2">
        <v>20.55722521910317</v>
      </c>
      <c r="G1646" t="b">
        <v>0</v>
      </c>
      <c r="H1646" t="s">
        <v>30</v>
      </c>
      <c r="I1646" t="s">
        <v>33</v>
      </c>
    </row>
    <row r="1647" spans="1:9" x14ac:dyDescent="0.3">
      <c r="A1647" t="str">
        <f t="shared" si="25"/>
        <v>CASE-1646</v>
      </c>
      <c r="B1647" s="1">
        <v>46099</v>
      </c>
      <c r="C1647" t="s">
        <v>11</v>
      </c>
      <c r="D1647">
        <v>3</v>
      </c>
      <c r="E1647" t="b">
        <v>1</v>
      </c>
      <c r="F1647" s="2">
        <v>1.5571538379178333</v>
      </c>
      <c r="G1647" t="b">
        <v>0</v>
      </c>
      <c r="H1647" t="s">
        <v>22</v>
      </c>
      <c r="I1647" t="s">
        <v>35</v>
      </c>
    </row>
    <row r="1648" spans="1:9" x14ac:dyDescent="0.3">
      <c r="A1648" t="str">
        <f t="shared" si="25"/>
        <v>CASE-1647</v>
      </c>
      <c r="B1648" s="1">
        <v>46165</v>
      </c>
      <c r="C1648" t="s">
        <v>11</v>
      </c>
      <c r="D1648">
        <v>2</v>
      </c>
      <c r="E1648" t="b">
        <v>0</v>
      </c>
      <c r="F1648" s="2">
        <v>3.4306546761982148</v>
      </c>
      <c r="G1648" t="b">
        <v>0</v>
      </c>
      <c r="H1648" t="s">
        <v>27</v>
      </c>
      <c r="I1648" t="s">
        <v>35</v>
      </c>
    </row>
    <row r="1649" spans="1:9" x14ac:dyDescent="0.3">
      <c r="A1649" t="str">
        <f t="shared" si="25"/>
        <v>CASE-1648</v>
      </c>
      <c r="B1649" s="1">
        <v>45926</v>
      </c>
      <c r="C1649" t="s">
        <v>12</v>
      </c>
      <c r="D1649">
        <v>3</v>
      </c>
      <c r="E1649" t="b">
        <v>0</v>
      </c>
      <c r="F1649" s="2">
        <v>21.994724082760264</v>
      </c>
      <c r="G1649" t="b">
        <v>0</v>
      </c>
      <c r="H1649" t="s">
        <v>32</v>
      </c>
      <c r="I1649" t="s">
        <v>33</v>
      </c>
    </row>
    <row r="1650" spans="1:9" x14ac:dyDescent="0.3">
      <c r="A1650" t="str">
        <f t="shared" si="25"/>
        <v>CASE-1649</v>
      </c>
      <c r="B1650" s="1">
        <v>45638</v>
      </c>
      <c r="C1650" t="s">
        <v>12</v>
      </c>
      <c r="D1650">
        <v>5</v>
      </c>
      <c r="E1650" t="b">
        <v>0</v>
      </c>
      <c r="F1650" s="2">
        <v>18.242023661790142</v>
      </c>
      <c r="G1650" t="b">
        <v>0</v>
      </c>
      <c r="H1650" t="s">
        <v>23</v>
      </c>
      <c r="I1650" t="s">
        <v>33</v>
      </c>
    </row>
    <row r="1651" spans="1:9" x14ac:dyDescent="0.3">
      <c r="A1651" t="str">
        <f t="shared" si="25"/>
        <v>CASE-1650</v>
      </c>
      <c r="B1651" s="1">
        <v>45557</v>
      </c>
      <c r="C1651" t="s">
        <v>12</v>
      </c>
      <c r="D1651">
        <v>1</v>
      </c>
      <c r="E1651" t="b">
        <v>0</v>
      </c>
      <c r="F1651" s="2">
        <v>43.099364179555749</v>
      </c>
      <c r="G1651" t="b">
        <v>0</v>
      </c>
      <c r="H1651" t="s">
        <v>15</v>
      </c>
      <c r="I1651" t="s">
        <v>33</v>
      </c>
    </row>
    <row r="1652" spans="1:9" x14ac:dyDescent="0.3">
      <c r="A1652" t="str">
        <f t="shared" si="25"/>
        <v>CASE-1651</v>
      </c>
      <c r="B1652" s="1">
        <v>45759</v>
      </c>
      <c r="C1652" t="s">
        <v>9</v>
      </c>
      <c r="D1652">
        <v>3</v>
      </c>
      <c r="E1652" t="b">
        <v>1</v>
      </c>
      <c r="F1652" s="2">
        <v>20.253560263969437</v>
      </c>
      <c r="G1652" t="b">
        <v>0</v>
      </c>
      <c r="H1652" t="s">
        <v>15</v>
      </c>
      <c r="I1652" t="s">
        <v>33</v>
      </c>
    </row>
    <row r="1653" spans="1:9" x14ac:dyDescent="0.3">
      <c r="A1653" t="str">
        <f t="shared" si="25"/>
        <v>CASE-1652</v>
      </c>
      <c r="B1653" s="1">
        <v>46125</v>
      </c>
      <c r="C1653" t="s">
        <v>9</v>
      </c>
      <c r="D1653">
        <v>1</v>
      </c>
      <c r="E1653" t="b">
        <v>1</v>
      </c>
      <c r="F1653" s="2">
        <v>13.12346901668799</v>
      </c>
      <c r="G1653" t="b">
        <v>0</v>
      </c>
      <c r="H1653" t="s">
        <v>25</v>
      </c>
      <c r="I1653" t="s">
        <v>33</v>
      </c>
    </row>
    <row r="1654" spans="1:9" x14ac:dyDescent="0.3">
      <c r="A1654" t="str">
        <f t="shared" si="25"/>
        <v>CASE-1653</v>
      </c>
      <c r="B1654" s="1">
        <v>46064</v>
      </c>
      <c r="C1654" t="s">
        <v>12</v>
      </c>
      <c r="D1654">
        <v>1</v>
      </c>
      <c r="E1654" t="b">
        <v>1</v>
      </c>
      <c r="F1654" s="2">
        <v>6.5875546193962196</v>
      </c>
      <c r="G1654" t="b">
        <v>0</v>
      </c>
      <c r="H1654" t="s">
        <v>18</v>
      </c>
      <c r="I1654" t="s">
        <v>34</v>
      </c>
    </row>
    <row r="1655" spans="1:9" x14ac:dyDescent="0.3">
      <c r="A1655" t="str">
        <f t="shared" si="25"/>
        <v>CASE-1654</v>
      </c>
      <c r="B1655" s="1">
        <v>45600</v>
      </c>
      <c r="C1655" t="s">
        <v>11</v>
      </c>
      <c r="D1655">
        <v>2</v>
      </c>
      <c r="E1655" t="b">
        <v>0</v>
      </c>
      <c r="F1655" s="2">
        <v>31.486661823500206</v>
      </c>
      <c r="G1655" t="b">
        <v>0</v>
      </c>
      <c r="H1655" t="s">
        <v>17</v>
      </c>
      <c r="I1655" t="s">
        <v>33</v>
      </c>
    </row>
    <row r="1656" spans="1:9" x14ac:dyDescent="0.3">
      <c r="A1656" t="str">
        <f t="shared" si="25"/>
        <v>CASE-1655</v>
      </c>
      <c r="B1656" s="1">
        <v>45962</v>
      </c>
      <c r="C1656" t="s">
        <v>12</v>
      </c>
      <c r="D1656">
        <v>1</v>
      </c>
      <c r="E1656" t="b">
        <v>1</v>
      </c>
      <c r="F1656" s="2">
        <v>8.9020295810161656</v>
      </c>
      <c r="G1656" t="b">
        <v>0</v>
      </c>
      <c r="H1656" t="s">
        <v>17</v>
      </c>
      <c r="I1656" t="s">
        <v>34</v>
      </c>
    </row>
    <row r="1657" spans="1:9" x14ac:dyDescent="0.3">
      <c r="A1657" t="str">
        <f t="shared" si="25"/>
        <v>CASE-1656</v>
      </c>
      <c r="B1657" s="1">
        <v>45780</v>
      </c>
      <c r="C1657" t="s">
        <v>9</v>
      </c>
      <c r="D1657">
        <v>3</v>
      </c>
      <c r="E1657" t="b">
        <v>0</v>
      </c>
      <c r="F1657" s="2">
        <v>3.7965990138493066</v>
      </c>
      <c r="G1657" t="b">
        <v>0</v>
      </c>
      <c r="H1657" t="s">
        <v>32</v>
      </c>
      <c r="I1657" t="s">
        <v>34</v>
      </c>
    </row>
    <row r="1658" spans="1:9" x14ac:dyDescent="0.3">
      <c r="A1658" t="str">
        <f t="shared" si="25"/>
        <v>CASE-1657</v>
      </c>
      <c r="B1658" s="1">
        <v>45496</v>
      </c>
      <c r="C1658" t="s">
        <v>10</v>
      </c>
      <c r="D1658">
        <v>2</v>
      </c>
      <c r="E1658" t="b">
        <v>0</v>
      </c>
      <c r="F1658" s="2">
        <v>12.541035386001766</v>
      </c>
      <c r="G1658" t="b">
        <v>0</v>
      </c>
      <c r="H1658" t="s">
        <v>30</v>
      </c>
      <c r="I1658" t="s">
        <v>33</v>
      </c>
    </row>
    <row r="1659" spans="1:9" x14ac:dyDescent="0.3">
      <c r="A1659" t="str">
        <f t="shared" si="25"/>
        <v>CASE-1658</v>
      </c>
      <c r="B1659" s="1">
        <v>46076</v>
      </c>
      <c r="C1659" t="s">
        <v>12</v>
      </c>
      <c r="D1659">
        <v>1</v>
      </c>
      <c r="E1659" t="b">
        <v>1</v>
      </c>
      <c r="F1659" s="2">
        <v>22.162946869125477</v>
      </c>
      <c r="G1659" t="b">
        <v>0</v>
      </c>
      <c r="H1659" t="s">
        <v>19</v>
      </c>
      <c r="I1659" t="s">
        <v>33</v>
      </c>
    </row>
    <row r="1660" spans="1:9" x14ac:dyDescent="0.3">
      <c r="A1660" t="str">
        <f t="shared" si="25"/>
        <v>CASE-1659</v>
      </c>
      <c r="B1660" s="1">
        <v>45835</v>
      </c>
      <c r="C1660" t="s">
        <v>10</v>
      </c>
      <c r="D1660">
        <v>4</v>
      </c>
      <c r="E1660" t="b">
        <v>1</v>
      </c>
      <c r="F1660" s="2">
        <v>7.283008997532769</v>
      </c>
      <c r="G1660" t="b">
        <v>0</v>
      </c>
      <c r="H1660" t="s">
        <v>32</v>
      </c>
      <c r="I1660" t="s">
        <v>34</v>
      </c>
    </row>
    <row r="1661" spans="1:9" x14ac:dyDescent="0.3">
      <c r="A1661" t="str">
        <f t="shared" si="25"/>
        <v>CASE-1660</v>
      </c>
      <c r="B1661" s="1">
        <v>45532</v>
      </c>
      <c r="C1661" t="s">
        <v>10</v>
      </c>
      <c r="D1661">
        <v>5</v>
      </c>
      <c r="E1661" t="b">
        <v>0</v>
      </c>
      <c r="F1661" s="2">
        <v>31.265481399155828</v>
      </c>
      <c r="G1661" t="b">
        <v>0</v>
      </c>
      <c r="H1661" t="s">
        <v>32</v>
      </c>
      <c r="I1661" t="s">
        <v>33</v>
      </c>
    </row>
    <row r="1662" spans="1:9" x14ac:dyDescent="0.3">
      <c r="A1662" t="str">
        <f t="shared" si="25"/>
        <v>CASE-1661</v>
      </c>
      <c r="B1662" s="1">
        <v>45920</v>
      </c>
      <c r="C1662" t="s">
        <v>11</v>
      </c>
      <c r="D1662">
        <v>2</v>
      </c>
      <c r="E1662" t="b">
        <v>1</v>
      </c>
      <c r="F1662" s="2">
        <v>3.9895505417655075</v>
      </c>
      <c r="G1662" t="b">
        <v>0</v>
      </c>
      <c r="H1662" t="s">
        <v>29</v>
      </c>
      <c r="I1662" t="s">
        <v>34</v>
      </c>
    </row>
    <row r="1663" spans="1:9" x14ac:dyDescent="0.3">
      <c r="A1663" t="str">
        <f t="shared" si="25"/>
        <v>CASE-1662</v>
      </c>
      <c r="B1663" s="1">
        <v>45904</v>
      </c>
      <c r="C1663" t="s">
        <v>10</v>
      </c>
      <c r="D1663">
        <v>1</v>
      </c>
      <c r="E1663" t="b">
        <v>1</v>
      </c>
      <c r="F1663" s="2">
        <v>4.4378628902859809</v>
      </c>
      <c r="G1663" t="b">
        <v>0</v>
      </c>
      <c r="H1663" t="s">
        <v>15</v>
      </c>
      <c r="I1663" t="s">
        <v>34</v>
      </c>
    </row>
    <row r="1664" spans="1:9" x14ac:dyDescent="0.3">
      <c r="A1664" t="str">
        <f t="shared" si="25"/>
        <v>CASE-1663</v>
      </c>
      <c r="B1664" s="1">
        <v>45481</v>
      </c>
      <c r="C1664" t="s">
        <v>11</v>
      </c>
      <c r="D1664">
        <v>1</v>
      </c>
      <c r="E1664" t="b">
        <v>0</v>
      </c>
      <c r="F1664" s="2">
        <v>38.709037096234802</v>
      </c>
      <c r="G1664" t="b">
        <v>0</v>
      </c>
      <c r="H1664" t="s">
        <v>18</v>
      </c>
      <c r="I1664" t="s">
        <v>33</v>
      </c>
    </row>
    <row r="1665" spans="1:9" x14ac:dyDescent="0.3">
      <c r="A1665" t="str">
        <f t="shared" si="25"/>
        <v>CASE-1664</v>
      </c>
      <c r="B1665" s="1">
        <v>46189</v>
      </c>
      <c r="C1665" t="s">
        <v>11</v>
      </c>
      <c r="D1665">
        <v>1</v>
      </c>
      <c r="E1665" t="b">
        <v>1</v>
      </c>
      <c r="F1665" s="2">
        <v>5.659804625412808</v>
      </c>
      <c r="G1665" t="b">
        <v>0</v>
      </c>
      <c r="H1665" t="s">
        <v>26</v>
      </c>
      <c r="I1665" t="s">
        <v>34</v>
      </c>
    </row>
    <row r="1666" spans="1:9" x14ac:dyDescent="0.3">
      <c r="A1666" t="str">
        <f t="shared" si="25"/>
        <v>CASE-1665</v>
      </c>
      <c r="B1666" s="1">
        <v>45793</v>
      </c>
      <c r="C1666" t="s">
        <v>11</v>
      </c>
      <c r="D1666">
        <v>5</v>
      </c>
      <c r="E1666" t="b">
        <v>0</v>
      </c>
      <c r="F1666" s="2">
        <v>10.076951666505497</v>
      </c>
      <c r="G1666" t="b">
        <v>0</v>
      </c>
      <c r="H1666" t="s">
        <v>31</v>
      </c>
      <c r="I1666" t="s">
        <v>34</v>
      </c>
    </row>
    <row r="1667" spans="1:9" x14ac:dyDescent="0.3">
      <c r="A1667" t="str">
        <f t="shared" ref="A1667:A1730" si="26">"CASE-"&amp;TEXT(ROW()-1,"0000")</f>
        <v>CASE-1666</v>
      </c>
      <c r="B1667" s="1">
        <v>46181</v>
      </c>
      <c r="C1667" t="s">
        <v>11</v>
      </c>
      <c r="D1667">
        <v>2</v>
      </c>
      <c r="E1667" t="b">
        <v>1</v>
      </c>
      <c r="F1667" s="2">
        <v>6.5349742078111577</v>
      </c>
      <c r="G1667" t="b">
        <v>0</v>
      </c>
      <c r="H1667" t="s">
        <v>13</v>
      </c>
      <c r="I1667" t="s">
        <v>34</v>
      </c>
    </row>
    <row r="1668" spans="1:9" x14ac:dyDescent="0.3">
      <c r="A1668" t="str">
        <f t="shared" si="26"/>
        <v>CASE-1667</v>
      </c>
      <c r="B1668" s="1">
        <v>45859</v>
      </c>
      <c r="C1668" t="s">
        <v>11</v>
      </c>
      <c r="D1668">
        <v>3</v>
      </c>
      <c r="E1668" t="b">
        <v>1</v>
      </c>
      <c r="F1668" s="2">
        <v>7.0515305364279213</v>
      </c>
      <c r="G1668" t="b">
        <v>0</v>
      </c>
      <c r="H1668" t="s">
        <v>16</v>
      </c>
      <c r="I1668" t="s">
        <v>34</v>
      </c>
    </row>
    <row r="1669" spans="1:9" x14ac:dyDescent="0.3">
      <c r="A1669" t="str">
        <f t="shared" si="26"/>
        <v>CASE-1668</v>
      </c>
      <c r="B1669" s="1">
        <v>45932</v>
      </c>
      <c r="C1669" t="s">
        <v>9</v>
      </c>
      <c r="D1669">
        <v>1</v>
      </c>
      <c r="E1669" t="b">
        <v>0</v>
      </c>
      <c r="F1669" s="2">
        <v>26.162317320681336</v>
      </c>
      <c r="G1669" t="b">
        <v>0</v>
      </c>
      <c r="H1669" t="s">
        <v>29</v>
      </c>
      <c r="I1669" t="s">
        <v>33</v>
      </c>
    </row>
    <row r="1670" spans="1:9" x14ac:dyDescent="0.3">
      <c r="A1670" t="str">
        <f t="shared" si="26"/>
        <v>CASE-1669</v>
      </c>
      <c r="B1670" s="1">
        <v>45606</v>
      </c>
      <c r="C1670" t="s">
        <v>12</v>
      </c>
      <c r="D1670">
        <v>4</v>
      </c>
      <c r="E1670" t="b">
        <v>0</v>
      </c>
      <c r="F1670" s="2">
        <v>18.82182869251298</v>
      </c>
      <c r="G1670" t="b">
        <v>0</v>
      </c>
      <c r="H1670" t="s">
        <v>14</v>
      </c>
      <c r="I1670" t="s">
        <v>33</v>
      </c>
    </row>
    <row r="1671" spans="1:9" x14ac:dyDescent="0.3">
      <c r="A1671" t="str">
        <f t="shared" si="26"/>
        <v>CASE-1670</v>
      </c>
      <c r="B1671" s="1">
        <v>46173</v>
      </c>
      <c r="C1671" t="s">
        <v>12</v>
      </c>
      <c r="D1671">
        <v>2</v>
      </c>
      <c r="E1671" t="b">
        <v>1</v>
      </c>
      <c r="F1671" s="2">
        <v>4.4820092215230716</v>
      </c>
      <c r="G1671" t="b">
        <v>0</v>
      </c>
      <c r="H1671" t="s">
        <v>16</v>
      </c>
      <c r="I1671" t="s">
        <v>34</v>
      </c>
    </row>
    <row r="1672" spans="1:9" x14ac:dyDescent="0.3">
      <c r="A1672" t="str">
        <f t="shared" si="26"/>
        <v>CASE-1671</v>
      </c>
      <c r="B1672" s="1">
        <v>46048</v>
      </c>
      <c r="C1672" t="s">
        <v>9</v>
      </c>
      <c r="D1672">
        <v>2</v>
      </c>
      <c r="E1672" t="b">
        <v>1</v>
      </c>
      <c r="F1672" s="2">
        <v>6.1073463886124966</v>
      </c>
      <c r="G1672" t="b">
        <v>0</v>
      </c>
      <c r="H1672" t="s">
        <v>29</v>
      </c>
      <c r="I1672" t="s">
        <v>34</v>
      </c>
    </row>
    <row r="1673" spans="1:9" x14ac:dyDescent="0.3">
      <c r="A1673" t="str">
        <f t="shared" si="26"/>
        <v>CASE-1672</v>
      </c>
      <c r="B1673" s="1">
        <v>45638</v>
      </c>
      <c r="C1673" t="s">
        <v>12</v>
      </c>
      <c r="D1673">
        <v>1</v>
      </c>
      <c r="E1673" t="b">
        <v>0</v>
      </c>
      <c r="F1673" s="2">
        <v>14.219592017874369</v>
      </c>
      <c r="G1673" t="b">
        <v>0</v>
      </c>
      <c r="H1673" t="s">
        <v>22</v>
      </c>
      <c r="I1673" t="s">
        <v>33</v>
      </c>
    </row>
    <row r="1674" spans="1:9" x14ac:dyDescent="0.3">
      <c r="A1674" t="str">
        <f t="shared" si="26"/>
        <v>CASE-1673</v>
      </c>
      <c r="B1674" s="1">
        <v>46200</v>
      </c>
      <c r="C1674" t="s">
        <v>9</v>
      </c>
      <c r="D1674">
        <v>3</v>
      </c>
      <c r="E1674" t="b">
        <v>0</v>
      </c>
      <c r="F1674" s="2">
        <v>4.9370881050799582</v>
      </c>
      <c r="G1674" t="b">
        <v>0</v>
      </c>
      <c r="H1674" t="s">
        <v>22</v>
      </c>
      <c r="I1674" t="s">
        <v>35</v>
      </c>
    </row>
    <row r="1675" spans="1:9" x14ac:dyDescent="0.3">
      <c r="A1675" t="str">
        <f t="shared" si="26"/>
        <v>CASE-1674</v>
      </c>
      <c r="B1675" s="1">
        <v>45549</v>
      </c>
      <c r="C1675" t="s">
        <v>12</v>
      </c>
      <c r="D1675">
        <v>2</v>
      </c>
      <c r="E1675" t="b">
        <v>0</v>
      </c>
      <c r="F1675" s="2">
        <v>19.372053795373002</v>
      </c>
      <c r="G1675" t="b">
        <v>0</v>
      </c>
      <c r="H1675" t="s">
        <v>31</v>
      </c>
      <c r="I1675" t="s">
        <v>33</v>
      </c>
    </row>
    <row r="1676" spans="1:9" x14ac:dyDescent="0.3">
      <c r="A1676" t="str">
        <f t="shared" si="26"/>
        <v>CASE-1675</v>
      </c>
      <c r="B1676" s="1">
        <v>45929</v>
      </c>
      <c r="C1676" t="s">
        <v>10</v>
      </c>
      <c r="D1676">
        <v>1</v>
      </c>
      <c r="E1676" t="b">
        <v>1</v>
      </c>
      <c r="F1676" s="2">
        <v>6.3849673977807528</v>
      </c>
      <c r="G1676" t="b">
        <v>0</v>
      </c>
      <c r="H1676" t="s">
        <v>17</v>
      </c>
      <c r="I1676" t="s">
        <v>35</v>
      </c>
    </row>
    <row r="1677" spans="1:9" x14ac:dyDescent="0.3">
      <c r="A1677" t="str">
        <f t="shared" si="26"/>
        <v>CASE-1676</v>
      </c>
      <c r="B1677" s="1">
        <v>46140</v>
      </c>
      <c r="C1677" t="s">
        <v>11</v>
      </c>
      <c r="D1677">
        <v>4</v>
      </c>
      <c r="E1677" t="b">
        <v>1</v>
      </c>
      <c r="F1677" s="2">
        <v>31.707076230216035</v>
      </c>
      <c r="G1677" t="b">
        <v>0</v>
      </c>
      <c r="H1677" t="s">
        <v>22</v>
      </c>
      <c r="I1677" t="s">
        <v>33</v>
      </c>
    </row>
    <row r="1678" spans="1:9" x14ac:dyDescent="0.3">
      <c r="A1678" t="str">
        <f t="shared" si="26"/>
        <v>CASE-1677</v>
      </c>
      <c r="B1678" s="1">
        <v>45759</v>
      </c>
      <c r="C1678" t="s">
        <v>12</v>
      </c>
      <c r="D1678">
        <v>1</v>
      </c>
      <c r="E1678" t="b">
        <v>1</v>
      </c>
      <c r="F1678" s="2">
        <v>5.719763994279444</v>
      </c>
      <c r="G1678" t="b">
        <v>0</v>
      </c>
      <c r="H1678" t="s">
        <v>29</v>
      </c>
      <c r="I1678" t="s">
        <v>34</v>
      </c>
    </row>
    <row r="1679" spans="1:9" x14ac:dyDescent="0.3">
      <c r="A1679" t="str">
        <f t="shared" si="26"/>
        <v>CASE-1678</v>
      </c>
      <c r="B1679" s="1">
        <v>45974</v>
      </c>
      <c r="C1679" t="s">
        <v>10</v>
      </c>
      <c r="D1679">
        <v>4</v>
      </c>
      <c r="E1679" t="b">
        <v>0</v>
      </c>
      <c r="F1679" s="2">
        <v>4.8246373358185179</v>
      </c>
      <c r="G1679" t="b">
        <v>0</v>
      </c>
      <c r="H1679" t="s">
        <v>27</v>
      </c>
      <c r="I1679" t="s">
        <v>34</v>
      </c>
    </row>
    <row r="1680" spans="1:9" x14ac:dyDescent="0.3">
      <c r="A1680" t="str">
        <f t="shared" si="26"/>
        <v>CASE-1679</v>
      </c>
      <c r="B1680" s="1">
        <v>45894</v>
      </c>
      <c r="C1680" t="s">
        <v>9</v>
      </c>
      <c r="D1680">
        <v>3</v>
      </c>
      <c r="E1680" t="b">
        <v>0</v>
      </c>
      <c r="F1680" s="2">
        <v>6.3803496615578954</v>
      </c>
      <c r="G1680" t="b">
        <v>1</v>
      </c>
      <c r="H1680" t="s">
        <v>19</v>
      </c>
      <c r="I1680" t="s">
        <v>34</v>
      </c>
    </row>
    <row r="1681" spans="1:9" x14ac:dyDescent="0.3">
      <c r="A1681" t="str">
        <f t="shared" si="26"/>
        <v>CASE-1680</v>
      </c>
      <c r="B1681" s="1">
        <v>46145</v>
      </c>
      <c r="C1681" t="s">
        <v>11</v>
      </c>
      <c r="D1681">
        <v>2</v>
      </c>
      <c r="E1681" t="b">
        <v>1</v>
      </c>
      <c r="F1681" s="2">
        <v>6.4023535191015428</v>
      </c>
      <c r="G1681" t="b">
        <v>0</v>
      </c>
      <c r="H1681" t="s">
        <v>13</v>
      </c>
      <c r="I1681" t="s">
        <v>34</v>
      </c>
    </row>
    <row r="1682" spans="1:9" x14ac:dyDescent="0.3">
      <c r="A1682" t="str">
        <f t="shared" si="26"/>
        <v>CASE-1681</v>
      </c>
      <c r="B1682" s="1">
        <v>45617</v>
      </c>
      <c r="C1682" t="s">
        <v>12</v>
      </c>
      <c r="D1682">
        <v>4</v>
      </c>
      <c r="E1682" t="b">
        <v>0</v>
      </c>
      <c r="F1682" s="2">
        <v>25.800970238921778</v>
      </c>
      <c r="G1682" t="b">
        <v>0</v>
      </c>
      <c r="H1682" t="s">
        <v>18</v>
      </c>
      <c r="I1682" t="s">
        <v>33</v>
      </c>
    </row>
    <row r="1683" spans="1:9" x14ac:dyDescent="0.3">
      <c r="A1683" t="str">
        <f t="shared" si="26"/>
        <v>CASE-1682</v>
      </c>
      <c r="B1683" s="1">
        <v>45990</v>
      </c>
      <c r="C1683" t="s">
        <v>11</v>
      </c>
      <c r="D1683">
        <v>4</v>
      </c>
      <c r="E1683" t="b">
        <v>1</v>
      </c>
      <c r="F1683" s="2">
        <v>4.8603412925731488</v>
      </c>
      <c r="G1683" t="b">
        <v>0</v>
      </c>
      <c r="H1683" t="s">
        <v>21</v>
      </c>
      <c r="I1683" t="s">
        <v>34</v>
      </c>
    </row>
    <row r="1684" spans="1:9" x14ac:dyDescent="0.3">
      <c r="A1684" t="str">
        <f t="shared" si="26"/>
        <v>CASE-1683</v>
      </c>
      <c r="B1684" s="1">
        <v>45695</v>
      </c>
      <c r="C1684" t="s">
        <v>12</v>
      </c>
      <c r="D1684">
        <v>4</v>
      </c>
      <c r="E1684" t="b">
        <v>1</v>
      </c>
      <c r="F1684" s="2">
        <v>6.1902504575231392</v>
      </c>
      <c r="G1684" t="b">
        <v>0</v>
      </c>
      <c r="H1684" t="s">
        <v>22</v>
      </c>
      <c r="I1684" t="s">
        <v>34</v>
      </c>
    </row>
    <row r="1685" spans="1:9" x14ac:dyDescent="0.3">
      <c r="A1685" t="str">
        <f t="shared" si="26"/>
        <v>CASE-1684</v>
      </c>
      <c r="B1685" s="1">
        <v>46203</v>
      </c>
      <c r="C1685" t="s">
        <v>12</v>
      </c>
      <c r="D1685">
        <v>2</v>
      </c>
      <c r="E1685" t="b">
        <v>1</v>
      </c>
      <c r="F1685" s="2">
        <v>4.24562117548159</v>
      </c>
      <c r="G1685" t="b">
        <v>0</v>
      </c>
      <c r="H1685" t="s">
        <v>29</v>
      </c>
      <c r="I1685" t="s">
        <v>34</v>
      </c>
    </row>
    <row r="1686" spans="1:9" x14ac:dyDescent="0.3">
      <c r="A1686" t="str">
        <f t="shared" si="26"/>
        <v>CASE-1685</v>
      </c>
      <c r="B1686" s="1">
        <v>45652</v>
      </c>
      <c r="C1686" t="s">
        <v>10</v>
      </c>
      <c r="D1686">
        <v>3</v>
      </c>
      <c r="E1686" t="b">
        <v>0</v>
      </c>
      <c r="F1686" s="2">
        <v>26.474615017444119</v>
      </c>
      <c r="G1686" t="b">
        <v>0</v>
      </c>
      <c r="H1686" t="s">
        <v>28</v>
      </c>
      <c r="I1686" t="s">
        <v>33</v>
      </c>
    </row>
    <row r="1687" spans="1:9" x14ac:dyDescent="0.3">
      <c r="A1687" t="str">
        <f t="shared" si="26"/>
        <v>CASE-1686</v>
      </c>
      <c r="B1687" s="1">
        <v>45648</v>
      </c>
      <c r="C1687" t="s">
        <v>11</v>
      </c>
      <c r="D1687">
        <v>2</v>
      </c>
      <c r="E1687" t="b">
        <v>0</v>
      </c>
      <c r="F1687" s="2">
        <v>22.516211578958302</v>
      </c>
      <c r="G1687" t="b">
        <v>0</v>
      </c>
      <c r="H1687" t="s">
        <v>16</v>
      </c>
      <c r="I1687" t="s">
        <v>33</v>
      </c>
    </row>
    <row r="1688" spans="1:9" x14ac:dyDescent="0.3">
      <c r="A1688" t="str">
        <f t="shared" si="26"/>
        <v>CASE-1687</v>
      </c>
      <c r="B1688" s="1">
        <v>45556</v>
      </c>
      <c r="C1688" t="s">
        <v>12</v>
      </c>
      <c r="D1688">
        <v>3</v>
      </c>
      <c r="E1688" t="b">
        <v>0</v>
      </c>
      <c r="F1688" s="2">
        <v>15.542238311451651</v>
      </c>
      <c r="G1688" t="b">
        <v>0</v>
      </c>
      <c r="H1688" t="s">
        <v>13</v>
      </c>
      <c r="I1688" t="s">
        <v>33</v>
      </c>
    </row>
    <row r="1689" spans="1:9" x14ac:dyDescent="0.3">
      <c r="A1689" t="str">
        <f t="shared" si="26"/>
        <v>CASE-1688</v>
      </c>
      <c r="B1689" s="1">
        <v>45681</v>
      </c>
      <c r="C1689" t="s">
        <v>10</v>
      </c>
      <c r="D1689">
        <v>4</v>
      </c>
      <c r="E1689" t="b">
        <v>1</v>
      </c>
      <c r="F1689" s="2">
        <v>5.9720505898010252</v>
      </c>
      <c r="G1689" t="b">
        <v>0</v>
      </c>
      <c r="H1689" t="s">
        <v>27</v>
      </c>
      <c r="I1689" t="s">
        <v>34</v>
      </c>
    </row>
    <row r="1690" spans="1:9" x14ac:dyDescent="0.3">
      <c r="A1690" t="str">
        <f t="shared" si="26"/>
        <v>CASE-1689</v>
      </c>
      <c r="B1690" s="1">
        <v>45920</v>
      </c>
      <c r="C1690" t="s">
        <v>9</v>
      </c>
      <c r="D1690">
        <v>3</v>
      </c>
      <c r="E1690" t="b">
        <v>1</v>
      </c>
      <c r="F1690" s="2">
        <v>5.0884148113496126</v>
      </c>
      <c r="G1690" t="b">
        <v>0</v>
      </c>
      <c r="H1690" t="s">
        <v>13</v>
      </c>
      <c r="I1690" t="s">
        <v>34</v>
      </c>
    </row>
    <row r="1691" spans="1:9" x14ac:dyDescent="0.3">
      <c r="A1691" t="str">
        <f t="shared" si="26"/>
        <v>CASE-1690</v>
      </c>
      <c r="B1691" s="1">
        <v>46120</v>
      </c>
      <c r="C1691" t="s">
        <v>12</v>
      </c>
      <c r="D1691">
        <v>2</v>
      </c>
      <c r="E1691" t="b">
        <v>1</v>
      </c>
      <c r="F1691" s="2">
        <v>5.0219699267113507</v>
      </c>
      <c r="G1691" t="b">
        <v>0</v>
      </c>
      <c r="H1691" t="s">
        <v>18</v>
      </c>
      <c r="I1691" t="s">
        <v>34</v>
      </c>
    </row>
    <row r="1692" spans="1:9" x14ac:dyDescent="0.3">
      <c r="A1692" t="str">
        <f t="shared" si="26"/>
        <v>CASE-1691</v>
      </c>
      <c r="B1692" s="1">
        <v>45820</v>
      </c>
      <c r="C1692" t="s">
        <v>9</v>
      </c>
      <c r="D1692">
        <v>4</v>
      </c>
      <c r="E1692" t="b">
        <v>0</v>
      </c>
      <c r="F1692" s="2">
        <v>2.3346004721689244</v>
      </c>
      <c r="G1692" t="b">
        <v>0</v>
      </c>
      <c r="H1692" t="s">
        <v>21</v>
      </c>
      <c r="I1692" t="s">
        <v>34</v>
      </c>
    </row>
    <row r="1693" spans="1:9" x14ac:dyDescent="0.3">
      <c r="A1693" t="str">
        <f t="shared" si="26"/>
        <v>CASE-1692</v>
      </c>
      <c r="B1693" s="1">
        <v>46051</v>
      </c>
      <c r="C1693" t="s">
        <v>9</v>
      </c>
      <c r="D1693">
        <v>3</v>
      </c>
      <c r="E1693" t="b">
        <v>1</v>
      </c>
      <c r="F1693" s="2">
        <v>5.9559411630730734</v>
      </c>
      <c r="G1693" t="b">
        <v>0</v>
      </c>
      <c r="H1693" t="s">
        <v>21</v>
      </c>
      <c r="I1693" t="s">
        <v>34</v>
      </c>
    </row>
    <row r="1694" spans="1:9" x14ac:dyDescent="0.3">
      <c r="A1694" t="str">
        <f t="shared" si="26"/>
        <v>CASE-1693</v>
      </c>
      <c r="B1694" s="1">
        <v>45942</v>
      </c>
      <c r="C1694" t="s">
        <v>12</v>
      </c>
      <c r="D1694">
        <v>5</v>
      </c>
      <c r="E1694" t="b">
        <v>1</v>
      </c>
      <c r="F1694" s="2">
        <v>4.258623389678462</v>
      </c>
      <c r="G1694" t="b">
        <v>0</v>
      </c>
      <c r="H1694" t="s">
        <v>27</v>
      </c>
      <c r="I1694" t="s">
        <v>34</v>
      </c>
    </row>
    <row r="1695" spans="1:9" x14ac:dyDescent="0.3">
      <c r="A1695" t="str">
        <f t="shared" si="26"/>
        <v>CASE-1694</v>
      </c>
      <c r="B1695" s="1">
        <v>45607</v>
      </c>
      <c r="C1695" t="s">
        <v>11</v>
      </c>
      <c r="D1695">
        <v>5</v>
      </c>
      <c r="E1695" t="b">
        <v>0</v>
      </c>
      <c r="F1695" s="2">
        <v>34.151037239146817</v>
      </c>
      <c r="G1695" t="b">
        <v>0</v>
      </c>
      <c r="H1695" t="s">
        <v>24</v>
      </c>
      <c r="I1695" t="s">
        <v>33</v>
      </c>
    </row>
    <row r="1696" spans="1:9" x14ac:dyDescent="0.3">
      <c r="A1696" t="str">
        <f t="shared" si="26"/>
        <v>CASE-1695</v>
      </c>
      <c r="B1696" s="1">
        <v>46124</v>
      </c>
      <c r="C1696" t="s">
        <v>11</v>
      </c>
      <c r="D1696">
        <v>5</v>
      </c>
      <c r="E1696" t="b">
        <v>1</v>
      </c>
      <c r="F1696" s="2">
        <v>29.453973802694144</v>
      </c>
      <c r="G1696" t="b">
        <v>0</v>
      </c>
      <c r="H1696" t="s">
        <v>19</v>
      </c>
      <c r="I1696" t="s">
        <v>33</v>
      </c>
    </row>
    <row r="1697" spans="1:9" x14ac:dyDescent="0.3">
      <c r="A1697" t="str">
        <f t="shared" si="26"/>
        <v>CASE-1696</v>
      </c>
      <c r="B1697" s="1">
        <v>45787</v>
      </c>
      <c r="C1697" t="s">
        <v>11</v>
      </c>
      <c r="D1697">
        <v>2</v>
      </c>
      <c r="E1697" t="b">
        <v>0</v>
      </c>
      <c r="F1697" s="2">
        <v>4.3596089791956487</v>
      </c>
      <c r="G1697" t="b">
        <v>0</v>
      </c>
      <c r="H1697" t="s">
        <v>16</v>
      </c>
      <c r="I1697" t="s">
        <v>34</v>
      </c>
    </row>
    <row r="1698" spans="1:9" x14ac:dyDescent="0.3">
      <c r="A1698" t="str">
        <f t="shared" si="26"/>
        <v>CASE-1697</v>
      </c>
      <c r="B1698" s="1">
        <v>45629</v>
      </c>
      <c r="C1698" t="s">
        <v>9</v>
      </c>
      <c r="D1698">
        <v>5</v>
      </c>
      <c r="E1698" t="b">
        <v>0</v>
      </c>
      <c r="F1698" s="2">
        <v>21.219524992084356</v>
      </c>
      <c r="G1698" t="b">
        <v>0</v>
      </c>
      <c r="H1698" t="s">
        <v>22</v>
      </c>
      <c r="I1698" t="s">
        <v>33</v>
      </c>
    </row>
    <row r="1699" spans="1:9" x14ac:dyDescent="0.3">
      <c r="A1699" t="str">
        <f t="shared" si="26"/>
        <v>CASE-1698</v>
      </c>
      <c r="B1699" s="1">
        <v>45849</v>
      </c>
      <c r="C1699" t="s">
        <v>10</v>
      </c>
      <c r="D1699">
        <v>3</v>
      </c>
      <c r="E1699" t="b">
        <v>1</v>
      </c>
      <c r="F1699" s="2">
        <v>9.4751836308985578</v>
      </c>
      <c r="G1699" t="b">
        <v>0</v>
      </c>
      <c r="H1699" t="s">
        <v>23</v>
      </c>
      <c r="I1699" t="s">
        <v>34</v>
      </c>
    </row>
    <row r="1700" spans="1:9" x14ac:dyDescent="0.3">
      <c r="A1700" t="str">
        <f t="shared" si="26"/>
        <v>CASE-1699</v>
      </c>
      <c r="B1700" s="1">
        <v>46170</v>
      </c>
      <c r="C1700" t="s">
        <v>12</v>
      </c>
      <c r="D1700">
        <v>3</v>
      </c>
      <c r="E1700" t="b">
        <v>1</v>
      </c>
      <c r="F1700" s="2">
        <v>1.1503994656660472</v>
      </c>
      <c r="G1700" t="b">
        <v>0</v>
      </c>
      <c r="H1700" t="s">
        <v>32</v>
      </c>
      <c r="I1700" t="s">
        <v>34</v>
      </c>
    </row>
    <row r="1701" spans="1:9" x14ac:dyDescent="0.3">
      <c r="A1701" t="str">
        <f t="shared" si="26"/>
        <v>CASE-1700</v>
      </c>
      <c r="B1701" s="1">
        <v>46017</v>
      </c>
      <c r="C1701" t="s">
        <v>11</v>
      </c>
      <c r="D1701">
        <v>5</v>
      </c>
      <c r="E1701" t="b">
        <v>1</v>
      </c>
      <c r="F1701" s="2">
        <v>3.8807578034149026</v>
      </c>
      <c r="G1701" t="b">
        <v>0</v>
      </c>
      <c r="H1701" t="s">
        <v>23</v>
      </c>
      <c r="I1701" t="s">
        <v>34</v>
      </c>
    </row>
    <row r="1702" spans="1:9" x14ac:dyDescent="0.3">
      <c r="A1702" t="str">
        <f t="shared" si="26"/>
        <v>CASE-1701</v>
      </c>
      <c r="B1702" s="1">
        <v>45496</v>
      </c>
      <c r="C1702" t="s">
        <v>11</v>
      </c>
      <c r="D1702">
        <v>4</v>
      </c>
      <c r="E1702" t="b">
        <v>0</v>
      </c>
      <c r="F1702" s="2">
        <v>16.868749512978528</v>
      </c>
      <c r="G1702" t="b">
        <v>0</v>
      </c>
      <c r="H1702" t="s">
        <v>18</v>
      </c>
      <c r="I1702" t="s">
        <v>33</v>
      </c>
    </row>
    <row r="1703" spans="1:9" x14ac:dyDescent="0.3">
      <c r="A1703" t="str">
        <f t="shared" si="26"/>
        <v>CASE-1702</v>
      </c>
      <c r="B1703" s="1">
        <v>46066</v>
      </c>
      <c r="C1703" t="s">
        <v>10</v>
      </c>
      <c r="D1703">
        <v>4</v>
      </c>
      <c r="E1703" t="b">
        <v>0</v>
      </c>
      <c r="F1703" s="2">
        <v>6.0356150398714545</v>
      </c>
      <c r="G1703" t="b">
        <v>0</v>
      </c>
      <c r="H1703" t="s">
        <v>24</v>
      </c>
      <c r="I1703" t="s">
        <v>34</v>
      </c>
    </row>
    <row r="1704" spans="1:9" x14ac:dyDescent="0.3">
      <c r="A1704" t="str">
        <f t="shared" si="26"/>
        <v>CASE-1703</v>
      </c>
      <c r="B1704" s="1">
        <v>45758</v>
      </c>
      <c r="C1704" t="s">
        <v>9</v>
      </c>
      <c r="D1704">
        <v>2</v>
      </c>
      <c r="E1704" t="b">
        <v>1</v>
      </c>
      <c r="F1704" s="2">
        <v>7.669155258961819</v>
      </c>
      <c r="G1704" t="b">
        <v>0</v>
      </c>
      <c r="H1704" t="s">
        <v>20</v>
      </c>
      <c r="I1704" t="s">
        <v>34</v>
      </c>
    </row>
    <row r="1705" spans="1:9" x14ac:dyDescent="0.3">
      <c r="A1705" t="str">
        <f t="shared" si="26"/>
        <v>CASE-1704</v>
      </c>
      <c r="B1705" s="1">
        <v>45807</v>
      </c>
      <c r="C1705" t="s">
        <v>12</v>
      </c>
      <c r="D1705">
        <v>1</v>
      </c>
      <c r="E1705" t="b">
        <v>1</v>
      </c>
      <c r="F1705" s="2">
        <v>4.2606791127686794</v>
      </c>
      <c r="G1705" t="b">
        <v>0</v>
      </c>
      <c r="H1705" t="s">
        <v>20</v>
      </c>
      <c r="I1705" t="s">
        <v>34</v>
      </c>
    </row>
    <row r="1706" spans="1:9" x14ac:dyDescent="0.3">
      <c r="A1706" t="str">
        <f t="shared" si="26"/>
        <v>CASE-1705</v>
      </c>
      <c r="B1706" s="1">
        <v>45992</v>
      </c>
      <c r="C1706" t="s">
        <v>9</v>
      </c>
      <c r="D1706">
        <v>5</v>
      </c>
      <c r="E1706" t="b">
        <v>0</v>
      </c>
      <c r="F1706" s="2">
        <v>17.024049982806865</v>
      </c>
      <c r="G1706" t="b">
        <v>0</v>
      </c>
      <c r="H1706" t="s">
        <v>21</v>
      </c>
      <c r="I1706" t="s">
        <v>33</v>
      </c>
    </row>
    <row r="1707" spans="1:9" x14ac:dyDescent="0.3">
      <c r="A1707" t="str">
        <f t="shared" si="26"/>
        <v>CASE-1706</v>
      </c>
      <c r="B1707" s="1">
        <v>46074</v>
      </c>
      <c r="C1707" t="s">
        <v>11</v>
      </c>
      <c r="D1707">
        <v>4</v>
      </c>
      <c r="E1707" t="b">
        <v>1</v>
      </c>
      <c r="F1707" s="2">
        <v>7.3354031398871342</v>
      </c>
      <c r="G1707" t="b">
        <v>0</v>
      </c>
      <c r="H1707" t="s">
        <v>29</v>
      </c>
      <c r="I1707" t="s">
        <v>34</v>
      </c>
    </row>
    <row r="1708" spans="1:9" x14ac:dyDescent="0.3">
      <c r="A1708" t="str">
        <f t="shared" si="26"/>
        <v>CASE-1707</v>
      </c>
      <c r="B1708" s="1">
        <v>45557</v>
      </c>
      <c r="C1708" t="s">
        <v>10</v>
      </c>
      <c r="D1708">
        <v>5</v>
      </c>
      <c r="E1708" t="b">
        <v>0</v>
      </c>
      <c r="F1708" s="2">
        <v>16.096397160688007</v>
      </c>
      <c r="G1708" t="b">
        <v>0</v>
      </c>
      <c r="H1708" t="s">
        <v>24</v>
      </c>
      <c r="I1708" t="s">
        <v>33</v>
      </c>
    </row>
    <row r="1709" spans="1:9" x14ac:dyDescent="0.3">
      <c r="A1709" t="str">
        <f t="shared" si="26"/>
        <v>CASE-1708</v>
      </c>
      <c r="B1709" s="1">
        <v>45620</v>
      </c>
      <c r="C1709" t="s">
        <v>12</v>
      </c>
      <c r="D1709">
        <v>3</v>
      </c>
      <c r="E1709" t="b">
        <v>0</v>
      </c>
      <c r="F1709" s="2">
        <v>8.305653141678853</v>
      </c>
      <c r="G1709" t="b">
        <v>0</v>
      </c>
      <c r="H1709" t="s">
        <v>29</v>
      </c>
      <c r="I1709" t="s">
        <v>33</v>
      </c>
    </row>
    <row r="1710" spans="1:9" x14ac:dyDescent="0.3">
      <c r="A1710" t="str">
        <f t="shared" si="26"/>
        <v>CASE-1709</v>
      </c>
      <c r="B1710" s="1">
        <v>46196</v>
      </c>
      <c r="C1710" t="s">
        <v>9</v>
      </c>
      <c r="D1710">
        <v>1</v>
      </c>
      <c r="E1710" t="b">
        <v>1</v>
      </c>
      <c r="F1710" s="2">
        <v>11.22183386309962</v>
      </c>
      <c r="G1710" t="b">
        <v>0</v>
      </c>
      <c r="H1710" t="s">
        <v>30</v>
      </c>
      <c r="I1710" t="s">
        <v>33</v>
      </c>
    </row>
    <row r="1711" spans="1:9" x14ac:dyDescent="0.3">
      <c r="A1711" t="str">
        <f t="shared" si="26"/>
        <v>CASE-1710</v>
      </c>
      <c r="B1711" s="1">
        <v>46168</v>
      </c>
      <c r="C1711" t="s">
        <v>11</v>
      </c>
      <c r="D1711">
        <v>5</v>
      </c>
      <c r="E1711" t="b">
        <v>1</v>
      </c>
      <c r="F1711" s="2">
        <v>4.8901685985229042</v>
      </c>
      <c r="G1711" t="b">
        <v>0</v>
      </c>
      <c r="H1711" t="s">
        <v>28</v>
      </c>
      <c r="I1711" t="s">
        <v>34</v>
      </c>
    </row>
    <row r="1712" spans="1:9" x14ac:dyDescent="0.3">
      <c r="A1712" t="str">
        <f t="shared" si="26"/>
        <v>CASE-1711</v>
      </c>
      <c r="B1712" s="1">
        <v>45896</v>
      </c>
      <c r="C1712" t="s">
        <v>10</v>
      </c>
      <c r="D1712">
        <v>1</v>
      </c>
      <c r="E1712" t="b">
        <v>1</v>
      </c>
      <c r="F1712" s="2">
        <v>29.308582130295964</v>
      </c>
      <c r="G1712" t="b">
        <v>0</v>
      </c>
      <c r="H1712" t="s">
        <v>28</v>
      </c>
      <c r="I1712" t="s">
        <v>33</v>
      </c>
    </row>
    <row r="1713" spans="1:9" x14ac:dyDescent="0.3">
      <c r="A1713" t="str">
        <f t="shared" si="26"/>
        <v>CASE-1712</v>
      </c>
      <c r="B1713" s="1">
        <v>45881</v>
      </c>
      <c r="C1713" t="s">
        <v>9</v>
      </c>
      <c r="D1713">
        <v>3</v>
      </c>
      <c r="E1713" t="b">
        <v>1</v>
      </c>
      <c r="F1713" s="2">
        <v>32.295456494399183</v>
      </c>
      <c r="G1713" t="b">
        <v>0</v>
      </c>
      <c r="H1713" t="s">
        <v>16</v>
      </c>
      <c r="I1713" t="s">
        <v>33</v>
      </c>
    </row>
    <row r="1714" spans="1:9" x14ac:dyDescent="0.3">
      <c r="A1714" t="str">
        <f t="shared" si="26"/>
        <v>CASE-1713</v>
      </c>
      <c r="B1714" s="1">
        <v>45731</v>
      </c>
      <c r="C1714" t="s">
        <v>12</v>
      </c>
      <c r="D1714">
        <v>2</v>
      </c>
      <c r="E1714" t="b">
        <v>1</v>
      </c>
      <c r="F1714" s="2">
        <v>5.1290407312241024</v>
      </c>
      <c r="G1714" t="b">
        <v>0</v>
      </c>
      <c r="H1714" t="s">
        <v>25</v>
      </c>
      <c r="I1714" t="s">
        <v>34</v>
      </c>
    </row>
    <row r="1715" spans="1:9" x14ac:dyDescent="0.3">
      <c r="A1715" t="str">
        <f t="shared" si="26"/>
        <v>CASE-1714</v>
      </c>
      <c r="B1715" s="1">
        <v>45510</v>
      </c>
      <c r="C1715" t="s">
        <v>11</v>
      </c>
      <c r="D1715">
        <v>5</v>
      </c>
      <c r="E1715" t="b">
        <v>0</v>
      </c>
      <c r="F1715" s="2">
        <v>23.793478622973261</v>
      </c>
      <c r="G1715" t="b">
        <v>0</v>
      </c>
      <c r="H1715" t="s">
        <v>16</v>
      </c>
      <c r="I1715" t="s">
        <v>33</v>
      </c>
    </row>
    <row r="1716" spans="1:9" x14ac:dyDescent="0.3">
      <c r="A1716" t="str">
        <f t="shared" si="26"/>
        <v>CASE-1715</v>
      </c>
      <c r="B1716" s="1">
        <v>45918</v>
      </c>
      <c r="C1716" t="s">
        <v>12</v>
      </c>
      <c r="D1716">
        <v>4</v>
      </c>
      <c r="E1716" t="b">
        <v>1</v>
      </c>
      <c r="F1716" s="2">
        <v>7.8783962020992515</v>
      </c>
      <c r="G1716" t="b">
        <v>0</v>
      </c>
      <c r="H1716" t="s">
        <v>23</v>
      </c>
      <c r="I1716" t="s">
        <v>34</v>
      </c>
    </row>
    <row r="1717" spans="1:9" x14ac:dyDescent="0.3">
      <c r="A1717" t="str">
        <f t="shared" si="26"/>
        <v>CASE-1716</v>
      </c>
      <c r="B1717" s="1">
        <v>45950</v>
      </c>
      <c r="C1717" t="s">
        <v>11</v>
      </c>
      <c r="D1717">
        <v>1</v>
      </c>
      <c r="E1717" t="b">
        <v>0</v>
      </c>
      <c r="F1717" s="2">
        <v>4.2492212488507768</v>
      </c>
      <c r="G1717" t="b">
        <v>0</v>
      </c>
      <c r="H1717" t="s">
        <v>16</v>
      </c>
      <c r="I1717" t="s">
        <v>34</v>
      </c>
    </row>
    <row r="1718" spans="1:9" x14ac:dyDescent="0.3">
      <c r="A1718" t="str">
        <f t="shared" si="26"/>
        <v>CASE-1717</v>
      </c>
      <c r="B1718" s="1">
        <v>45812</v>
      </c>
      <c r="C1718" t="s">
        <v>10</v>
      </c>
      <c r="D1718">
        <v>5</v>
      </c>
      <c r="E1718" t="b">
        <v>1</v>
      </c>
      <c r="F1718" s="2">
        <v>7.0323086209529091</v>
      </c>
      <c r="G1718" t="b">
        <v>0</v>
      </c>
      <c r="H1718" t="s">
        <v>24</v>
      </c>
      <c r="I1718" t="s">
        <v>34</v>
      </c>
    </row>
    <row r="1719" spans="1:9" x14ac:dyDescent="0.3">
      <c r="A1719" t="str">
        <f t="shared" si="26"/>
        <v>CASE-1718</v>
      </c>
      <c r="B1719" s="1">
        <v>45705</v>
      </c>
      <c r="C1719" t="s">
        <v>11</v>
      </c>
      <c r="D1719">
        <v>4</v>
      </c>
      <c r="E1719" t="b">
        <v>1</v>
      </c>
      <c r="F1719" s="2">
        <v>24.091635510458911</v>
      </c>
      <c r="G1719" t="b">
        <v>0</v>
      </c>
      <c r="H1719" t="s">
        <v>23</v>
      </c>
      <c r="I1719" t="s">
        <v>33</v>
      </c>
    </row>
    <row r="1720" spans="1:9" x14ac:dyDescent="0.3">
      <c r="A1720" t="str">
        <f t="shared" si="26"/>
        <v>CASE-1719</v>
      </c>
      <c r="B1720" s="1">
        <v>45894</v>
      </c>
      <c r="C1720" t="s">
        <v>12</v>
      </c>
      <c r="D1720">
        <v>2</v>
      </c>
      <c r="E1720" t="b">
        <v>1</v>
      </c>
      <c r="F1720" s="2">
        <v>5.2091408282027727</v>
      </c>
      <c r="G1720" t="b">
        <v>0</v>
      </c>
      <c r="H1720" t="s">
        <v>16</v>
      </c>
      <c r="I1720" t="s">
        <v>34</v>
      </c>
    </row>
    <row r="1721" spans="1:9" x14ac:dyDescent="0.3">
      <c r="A1721" t="str">
        <f t="shared" si="26"/>
        <v>CASE-1720</v>
      </c>
      <c r="B1721" s="1">
        <v>45504</v>
      </c>
      <c r="C1721" t="s">
        <v>10</v>
      </c>
      <c r="D1721">
        <v>5</v>
      </c>
      <c r="E1721" t="b">
        <v>0</v>
      </c>
      <c r="F1721" s="2">
        <v>29.859174742602566</v>
      </c>
      <c r="G1721" t="b">
        <v>0</v>
      </c>
      <c r="H1721" t="s">
        <v>23</v>
      </c>
      <c r="I1721" t="s">
        <v>33</v>
      </c>
    </row>
    <row r="1722" spans="1:9" x14ac:dyDescent="0.3">
      <c r="A1722" t="str">
        <f t="shared" si="26"/>
        <v>CASE-1721</v>
      </c>
      <c r="B1722" s="1">
        <v>45713</v>
      </c>
      <c r="C1722" t="s">
        <v>10</v>
      </c>
      <c r="D1722">
        <v>5</v>
      </c>
      <c r="E1722" t="b">
        <v>0</v>
      </c>
      <c r="F1722" s="2">
        <v>6.8341863353083507</v>
      </c>
      <c r="G1722" t="b">
        <v>0</v>
      </c>
      <c r="H1722" t="s">
        <v>23</v>
      </c>
      <c r="I1722" t="s">
        <v>34</v>
      </c>
    </row>
    <row r="1723" spans="1:9" x14ac:dyDescent="0.3">
      <c r="A1723" t="str">
        <f t="shared" si="26"/>
        <v>CASE-1722</v>
      </c>
      <c r="B1723" s="1">
        <v>45968</v>
      </c>
      <c r="C1723" t="s">
        <v>11</v>
      </c>
      <c r="D1723">
        <v>3</v>
      </c>
      <c r="E1723" t="b">
        <v>1</v>
      </c>
      <c r="F1723" s="2">
        <v>16.943210004821513</v>
      </c>
      <c r="G1723" t="b">
        <v>0</v>
      </c>
      <c r="H1723" t="s">
        <v>14</v>
      </c>
      <c r="I1723" t="s">
        <v>33</v>
      </c>
    </row>
    <row r="1724" spans="1:9" x14ac:dyDescent="0.3">
      <c r="A1724" t="str">
        <f t="shared" si="26"/>
        <v>CASE-1723</v>
      </c>
      <c r="B1724" s="1">
        <v>46035</v>
      </c>
      <c r="C1724" t="s">
        <v>11</v>
      </c>
      <c r="D1724">
        <v>3</v>
      </c>
      <c r="E1724" t="b">
        <v>1</v>
      </c>
      <c r="F1724" s="2">
        <v>16.29195142319697</v>
      </c>
      <c r="G1724" t="b">
        <v>0</v>
      </c>
      <c r="H1724" t="s">
        <v>16</v>
      </c>
      <c r="I1724" t="s">
        <v>33</v>
      </c>
    </row>
    <row r="1725" spans="1:9" x14ac:dyDescent="0.3">
      <c r="A1725" t="str">
        <f t="shared" si="26"/>
        <v>CASE-1724</v>
      </c>
      <c r="B1725" s="1">
        <v>45749</v>
      </c>
      <c r="C1725" t="s">
        <v>9</v>
      </c>
      <c r="D1725">
        <v>3</v>
      </c>
      <c r="E1725" t="b">
        <v>1</v>
      </c>
      <c r="F1725" s="2">
        <v>15.992826399217202</v>
      </c>
      <c r="G1725" t="b">
        <v>0</v>
      </c>
      <c r="H1725" t="s">
        <v>26</v>
      </c>
      <c r="I1725" t="s">
        <v>33</v>
      </c>
    </row>
    <row r="1726" spans="1:9" x14ac:dyDescent="0.3">
      <c r="A1726" t="str">
        <f t="shared" si="26"/>
        <v>CASE-1725</v>
      </c>
      <c r="B1726" s="1">
        <v>45663</v>
      </c>
      <c r="C1726" t="s">
        <v>9</v>
      </c>
      <c r="D1726">
        <v>5</v>
      </c>
      <c r="E1726" t="b">
        <v>1</v>
      </c>
      <c r="F1726" s="2">
        <v>16.746779473314806</v>
      </c>
      <c r="G1726" t="b">
        <v>0</v>
      </c>
      <c r="H1726" t="s">
        <v>17</v>
      </c>
      <c r="I1726" t="s">
        <v>33</v>
      </c>
    </row>
    <row r="1727" spans="1:9" x14ac:dyDescent="0.3">
      <c r="A1727" t="str">
        <f t="shared" si="26"/>
        <v>CASE-1726</v>
      </c>
      <c r="B1727" s="1">
        <v>45614</v>
      </c>
      <c r="C1727" t="s">
        <v>10</v>
      </c>
      <c r="D1727">
        <v>1</v>
      </c>
      <c r="E1727" t="b">
        <v>0</v>
      </c>
      <c r="F1727" s="2">
        <v>18.229313121520143</v>
      </c>
      <c r="G1727" t="b">
        <v>0</v>
      </c>
      <c r="H1727" t="s">
        <v>17</v>
      </c>
      <c r="I1727" t="s">
        <v>33</v>
      </c>
    </row>
    <row r="1728" spans="1:9" x14ac:dyDescent="0.3">
      <c r="A1728" t="str">
        <f t="shared" si="26"/>
        <v>CASE-1727</v>
      </c>
      <c r="B1728" s="1">
        <v>45944</v>
      </c>
      <c r="C1728" t="s">
        <v>10</v>
      </c>
      <c r="D1728">
        <v>1</v>
      </c>
      <c r="E1728" t="b">
        <v>0</v>
      </c>
      <c r="F1728" s="2">
        <v>5.4129833663698719</v>
      </c>
      <c r="G1728" t="b">
        <v>0</v>
      </c>
      <c r="H1728" t="s">
        <v>15</v>
      </c>
      <c r="I1728" t="s">
        <v>34</v>
      </c>
    </row>
    <row r="1729" spans="1:9" x14ac:dyDescent="0.3">
      <c r="A1729" t="str">
        <f t="shared" si="26"/>
        <v>CASE-1728</v>
      </c>
      <c r="B1729" s="1">
        <v>45942</v>
      </c>
      <c r="C1729" t="s">
        <v>10</v>
      </c>
      <c r="D1729">
        <v>1</v>
      </c>
      <c r="E1729" t="b">
        <v>1</v>
      </c>
      <c r="F1729" s="2">
        <v>1.1124714519313939</v>
      </c>
      <c r="G1729" t="b">
        <v>0</v>
      </c>
      <c r="H1729" t="s">
        <v>32</v>
      </c>
      <c r="I1729" t="s">
        <v>34</v>
      </c>
    </row>
    <row r="1730" spans="1:9" x14ac:dyDescent="0.3">
      <c r="A1730" t="str">
        <f t="shared" si="26"/>
        <v>CASE-1729</v>
      </c>
      <c r="B1730" s="1">
        <v>45938</v>
      </c>
      <c r="C1730" t="s">
        <v>12</v>
      </c>
      <c r="D1730">
        <v>1</v>
      </c>
      <c r="E1730" t="b">
        <v>0</v>
      </c>
      <c r="F1730" s="2">
        <v>7.1611480556178684</v>
      </c>
      <c r="G1730" t="b">
        <v>0</v>
      </c>
      <c r="H1730" t="s">
        <v>13</v>
      </c>
      <c r="I1730" t="s">
        <v>34</v>
      </c>
    </row>
    <row r="1731" spans="1:9" x14ac:dyDescent="0.3">
      <c r="A1731" t="str">
        <f t="shared" ref="A1731:A1794" si="27">"CASE-"&amp;TEXT(ROW()-1,"0000")</f>
        <v>CASE-1730</v>
      </c>
      <c r="B1731" s="1">
        <v>45565</v>
      </c>
      <c r="C1731" t="s">
        <v>12</v>
      </c>
      <c r="D1731">
        <v>2</v>
      </c>
      <c r="E1731" t="b">
        <v>0</v>
      </c>
      <c r="F1731" s="2">
        <v>16.239380938264755</v>
      </c>
      <c r="G1731" t="b">
        <v>0</v>
      </c>
      <c r="H1731" t="s">
        <v>26</v>
      </c>
      <c r="I1731" t="s">
        <v>33</v>
      </c>
    </row>
    <row r="1732" spans="1:9" x14ac:dyDescent="0.3">
      <c r="A1732" t="str">
        <f t="shared" si="27"/>
        <v>CASE-1731</v>
      </c>
      <c r="B1732" s="1">
        <v>45839</v>
      </c>
      <c r="C1732" t="s">
        <v>9</v>
      </c>
      <c r="D1732">
        <v>4</v>
      </c>
      <c r="E1732" t="b">
        <v>0</v>
      </c>
      <c r="F1732" s="2">
        <v>5.6778290772629463</v>
      </c>
      <c r="G1732" t="b">
        <v>0</v>
      </c>
      <c r="H1732" t="s">
        <v>23</v>
      </c>
      <c r="I1732" t="s">
        <v>34</v>
      </c>
    </row>
    <row r="1733" spans="1:9" x14ac:dyDescent="0.3">
      <c r="A1733" t="str">
        <f t="shared" si="27"/>
        <v>CASE-1732</v>
      </c>
      <c r="B1733" s="1">
        <v>45521</v>
      </c>
      <c r="C1733" t="s">
        <v>10</v>
      </c>
      <c r="D1733">
        <v>2</v>
      </c>
      <c r="E1733" t="b">
        <v>0</v>
      </c>
      <c r="F1733" s="2">
        <v>2.0189928125563306</v>
      </c>
      <c r="G1733" t="b">
        <v>0</v>
      </c>
      <c r="H1733" t="s">
        <v>28</v>
      </c>
      <c r="I1733" t="s">
        <v>33</v>
      </c>
    </row>
    <row r="1734" spans="1:9" x14ac:dyDescent="0.3">
      <c r="A1734" t="str">
        <f t="shared" si="27"/>
        <v>CASE-1733</v>
      </c>
      <c r="B1734" s="1">
        <v>46189</v>
      </c>
      <c r="C1734" t="s">
        <v>9</v>
      </c>
      <c r="D1734">
        <v>1</v>
      </c>
      <c r="E1734" t="b">
        <v>1</v>
      </c>
      <c r="F1734" s="2">
        <v>5.2532316213164796</v>
      </c>
      <c r="G1734" t="b">
        <v>0</v>
      </c>
      <c r="H1734" t="s">
        <v>32</v>
      </c>
      <c r="I1734" t="s">
        <v>34</v>
      </c>
    </row>
    <row r="1735" spans="1:9" x14ac:dyDescent="0.3">
      <c r="A1735" t="str">
        <f t="shared" si="27"/>
        <v>CASE-1734</v>
      </c>
      <c r="B1735" s="1">
        <v>45675</v>
      </c>
      <c r="C1735" t="s">
        <v>12</v>
      </c>
      <c r="D1735">
        <v>3</v>
      </c>
      <c r="E1735" t="b">
        <v>1</v>
      </c>
      <c r="F1735" s="2">
        <v>7.3871112067065745</v>
      </c>
      <c r="G1735" t="b">
        <v>0</v>
      </c>
      <c r="H1735" t="s">
        <v>28</v>
      </c>
      <c r="I1735" t="s">
        <v>34</v>
      </c>
    </row>
    <row r="1736" spans="1:9" x14ac:dyDescent="0.3">
      <c r="A1736" t="str">
        <f t="shared" si="27"/>
        <v>CASE-1735</v>
      </c>
      <c r="B1736" s="1">
        <v>45590</v>
      </c>
      <c r="C1736" t="s">
        <v>12</v>
      </c>
      <c r="D1736">
        <v>2</v>
      </c>
      <c r="E1736" t="b">
        <v>0</v>
      </c>
      <c r="F1736" s="2">
        <v>18.50233734852651</v>
      </c>
      <c r="G1736" t="b">
        <v>0</v>
      </c>
      <c r="H1736" t="s">
        <v>21</v>
      </c>
      <c r="I1736" t="s">
        <v>33</v>
      </c>
    </row>
    <row r="1737" spans="1:9" x14ac:dyDescent="0.3">
      <c r="A1737" t="str">
        <f t="shared" si="27"/>
        <v>CASE-1736</v>
      </c>
      <c r="B1737" s="1">
        <v>45682</v>
      </c>
      <c r="C1737" t="s">
        <v>9</v>
      </c>
      <c r="D1737">
        <v>4</v>
      </c>
      <c r="E1737" t="b">
        <v>1</v>
      </c>
      <c r="F1737" s="2">
        <v>4.6523032026192377</v>
      </c>
      <c r="G1737" t="b">
        <v>0</v>
      </c>
      <c r="H1737" t="s">
        <v>32</v>
      </c>
      <c r="I1737" t="s">
        <v>34</v>
      </c>
    </row>
    <row r="1738" spans="1:9" x14ac:dyDescent="0.3">
      <c r="A1738" t="str">
        <f t="shared" si="27"/>
        <v>CASE-1737</v>
      </c>
      <c r="B1738" s="1">
        <v>45746</v>
      </c>
      <c r="C1738" t="s">
        <v>12</v>
      </c>
      <c r="D1738">
        <v>5</v>
      </c>
      <c r="E1738" t="b">
        <v>1</v>
      </c>
      <c r="F1738" s="2">
        <v>13.380622597445587</v>
      </c>
      <c r="G1738" t="b">
        <v>0</v>
      </c>
      <c r="H1738" t="s">
        <v>13</v>
      </c>
      <c r="I1738" t="s">
        <v>33</v>
      </c>
    </row>
    <row r="1739" spans="1:9" x14ac:dyDescent="0.3">
      <c r="A1739" t="str">
        <f t="shared" si="27"/>
        <v>CASE-1738</v>
      </c>
      <c r="B1739" s="1">
        <v>46127</v>
      </c>
      <c r="C1739" t="s">
        <v>10</v>
      </c>
      <c r="D1739">
        <v>2</v>
      </c>
      <c r="E1739" t="b">
        <v>1</v>
      </c>
      <c r="F1739" s="2">
        <v>2.568685541847584</v>
      </c>
      <c r="G1739" t="b">
        <v>0</v>
      </c>
      <c r="H1739" t="s">
        <v>28</v>
      </c>
      <c r="I1739" t="s">
        <v>34</v>
      </c>
    </row>
    <row r="1740" spans="1:9" x14ac:dyDescent="0.3">
      <c r="A1740" t="str">
        <f t="shared" si="27"/>
        <v>CASE-1739</v>
      </c>
      <c r="B1740" s="1">
        <v>45480</v>
      </c>
      <c r="C1740" t="s">
        <v>11</v>
      </c>
      <c r="D1740">
        <v>2</v>
      </c>
      <c r="E1740" t="b">
        <v>0</v>
      </c>
      <c r="F1740" s="2">
        <v>17.595313963052028</v>
      </c>
      <c r="G1740" t="b">
        <v>0</v>
      </c>
      <c r="H1740" t="s">
        <v>32</v>
      </c>
      <c r="I1740" t="s">
        <v>33</v>
      </c>
    </row>
    <row r="1741" spans="1:9" x14ac:dyDescent="0.3">
      <c r="A1741" t="str">
        <f t="shared" si="27"/>
        <v>CASE-1740</v>
      </c>
      <c r="B1741" s="1">
        <v>46138</v>
      </c>
      <c r="C1741" t="s">
        <v>10</v>
      </c>
      <c r="D1741">
        <v>4</v>
      </c>
      <c r="E1741" t="b">
        <v>1</v>
      </c>
      <c r="F1741" s="2">
        <v>26.187077574008256</v>
      </c>
      <c r="G1741" t="b">
        <v>0</v>
      </c>
      <c r="H1741" t="s">
        <v>30</v>
      </c>
      <c r="I1741" t="s">
        <v>33</v>
      </c>
    </row>
    <row r="1742" spans="1:9" x14ac:dyDescent="0.3">
      <c r="A1742" t="str">
        <f t="shared" si="27"/>
        <v>CASE-1741</v>
      </c>
      <c r="B1742" s="1">
        <v>45521</v>
      </c>
      <c r="C1742" t="s">
        <v>12</v>
      </c>
      <c r="D1742">
        <v>3</v>
      </c>
      <c r="E1742" t="b">
        <v>0</v>
      </c>
      <c r="F1742" s="2">
        <v>25.512872203201017</v>
      </c>
      <c r="G1742" t="b">
        <v>0</v>
      </c>
      <c r="H1742" t="s">
        <v>21</v>
      </c>
      <c r="I1742" t="s">
        <v>33</v>
      </c>
    </row>
    <row r="1743" spans="1:9" x14ac:dyDescent="0.3">
      <c r="A1743" t="str">
        <f t="shared" si="27"/>
        <v>CASE-1742</v>
      </c>
      <c r="B1743" s="1">
        <v>45506</v>
      </c>
      <c r="C1743" t="s">
        <v>12</v>
      </c>
      <c r="D1743">
        <v>5</v>
      </c>
      <c r="E1743" t="b">
        <v>0</v>
      </c>
      <c r="F1743" s="2">
        <v>22.78593513781524</v>
      </c>
      <c r="G1743" t="b">
        <v>0</v>
      </c>
      <c r="H1743" t="s">
        <v>19</v>
      </c>
      <c r="I1743" t="s">
        <v>33</v>
      </c>
    </row>
    <row r="1744" spans="1:9" x14ac:dyDescent="0.3">
      <c r="A1744" t="str">
        <f t="shared" si="27"/>
        <v>CASE-1743</v>
      </c>
      <c r="B1744" s="1">
        <v>45784</v>
      </c>
      <c r="C1744" t="s">
        <v>11</v>
      </c>
      <c r="D1744">
        <v>4</v>
      </c>
      <c r="E1744" t="b">
        <v>1</v>
      </c>
      <c r="F1744" s="2">
        <v>20.922675864517771</v>
      </c>
      <c r="G1744" t="b">
        <v>0</v>
      </c>
      <c r="H1744" t="s">
        <v>18</v>
      </c>
      <c r="I1744" t="s">
        <v>33</v>
      </c>
    </row>
    <row r="1745" spans="1:9" x14ac:dyDescent="0.3">
      <c r="A1745" t="str">
        <f t="shared" si="27"/>
        <v>CASE-1744</v>
      </c>
      <c r="B1745" s="1">
        <v>45781</v>
      </c>
      <c r="C1745" t="s">
        <v>12</v>
      </c>
      <c r="D1745">
        <v>1</v>
      </c>
      <c r="E1745" t="b">
        <v>1</v>
      </c>
      <c r="F1745" s="2">
        <v>6.0620384767879028</v>
      </c>
      <c r="G1745" t="b">
        <v>0</v>
      </c>
      <c r="H1745" t="s">
        <v>21</v>
      </c>
      <c r="I1745" t="s">
        <v>34</v>
      </c>
    </row>
    <row r="1746" spans="1:9" x14ac:dyDescent="0.3">
      <c r="A1746" t="str">
        <f t="shared" si="27"/>
        <v>CASE-1745</v>
      </c>
      <c r="B1746" s="1">
        <v>45838</v>
      </c>
      <c r="C1746" t="s">
        <v>9</v>
      </c>
      <c r="D1746">
        <v>1</v>
      </c>
      <c r="E1746" t="b">
        <v>1</v>
      </c>
      <c r="F1746" s="2">
        <v>8.753160385905991</v>
      </c>
      <c r="G1746" t="b">
        <v>0</v>
      </c>
      <c r="H1746" t="s">
        <v>29</v>
      </c>
      <c r="I1746" t="s">
        <v>34</v>
      </c>
    </row>
    <row r="1747" spans="1:9" x14ac:dyDescent="0.3">
      <c r="A1747" t="str">
        <f t="shared" si="27"/>
        <v>CASE-1746</v>
      </c>
      <c r="B1747" s="1">
        <v>45622</v>
      </c>
      <c r="C1747" t="s">
        <v>11</v>
      </c>
      <c r="D1747">
        <v>2</v>
      </c>
      <c r="E1747" t="b">
        <v>0</v>
      </c>
      <c r="F1747" s="2">
        <v>31.919365157676136</v>
      </c>
      <c r="G1747" t="b">
        <v>0</v>
      </c>
      <c r="H1747" t="s">
        <v>25</v>
      </c>
      <c r="I1747" t="s">
        <v>33</v>
      </c>
    </row>
    <row r="1748" spans="1:9" x14ac:dyDescent="0.3">
      <c r="A1748" t="str">
        <f t="shared" si="27"/>
        <v>CASE-1747</v>
      </c>
      <c r="B1748" s="1">
        <v>45651</v>
      </c>
      <c r="C1748" t="s">
        <v>12</v>
      </c>
      <c r="D1748">
        <v>1</v>
      </c>
      <c r="E1748" t="b">
        <v>0</v>
      </c>
      <c r="F1748" s="2">
        <v>27.442381665984882</v>
      </c>
      <c r="G1748" t="b">
        <v>0</v>
      </c>
      <c r="H1748" t="s">
        <v>19</v>
      </c>
      <c r="I1748" t="s">
        <v>33</v>
      </c>
    </row>
    <row r="1749" spans="1:9" x14ac:dyDescent="0.3">
      <c r="A1749" t="str">
        <f t="shared" si="27"/>
        <v>CASE-1748</v>
      </c>
      <c r="B1749" s="1">
        <v>46090</v>
      </c>
      <c r="C1749" t="s">
        <v>9</v>
      </c>
      <c r="D1749">
        <v>3</v>
      </c>
      <c r="E1749" t="b">
        <v>1</v>
      </c>
      <c r="F1749" s="2">
        <v>1.9983377355603329</v>
      </c>
      <c r="G1749" t="b">
        <v>0</v>
      </c>
      <c r="H1749" t="s">
        <v>26</v>
      </c>
      <c r="I1749" t="s">
        <v>34</v>
      </c>
    </row>
    <row r="1750" spans="1:9" x14ac:dyDescent="0.3">
      <c r="A1750" t="str">
        <f t="shared" si="27"/>
        <v>CASE-1749</v>
      </c>
      <c r="B1750" s="1">
        <v>45688</v>
      </c>
      <c r="C1750" t="s">
        <v>11</v>
      </c>
      <c r="D1750">
        <v>5</v>
      </c>
      <c r="E1750" t="b">
        <v>1</v>
      </c>
      <c r="F1750" s="2">
        <v>8.9467555966155885</v>
      </c>
      <c r="G1750" t="b">
        <v>0</v>
      </c>
      <c r="H1750" t="s">
        <v>19</v>
      </c>
      <c r="I1750" t="s">
        <v>34</v>
      </c>
    </row>
    <row r="1751" spans="1:9" x14ac:dyDescent="0.3">
      <c r="A1751" t="str">
        <f t="shared" si="27"/>
        <v>CASE-1750</v>
      </c>
      <c r="B1751" s="1">
        <v>46073</v>
      </c>
      <c r="C1751" t="s">
        <v>10</v>
      </c>
      <c r="D1751">
        <v>2</v>
      </c>
      <c r="E1751" t="b">
        <v>1</v>
      </c>
      <c r="F1751" s="2">
        <v>17.553597516614659</v>
      </c>
      <c r="G1751" t="b">
        <v>0</v>
      </c>
      <c r="H1751" t="s">
        <v>18</v>
      </c>
      <c r="I1751" t="s">
        <v>33</v>
      </c>
    </row>
    <row r="1752" spans="1:9" x14ac:dyDescent="0.3">
      <c r="A1752" t="str">
        <f t="shared" si="27"/>
        <v>CASE-1751</v>
      </c>
      <c r="B1752" s="1">
        <v>45629</v>
      </c>
      <c r="C1752" t="s">
        <v>12</v>
      </c>
      <c r="D1752">
        <v>3</v>
      </c>
      <c r="E1752" t="b">
        <v>0</v>
      </c>
      <c r="F1752" s="2">
        <v>9.706376143353749</v>
      </c>
      <c r="G1752" t="b">
        <v>0</v>
      </c>
      <c r="H1752" t="s">
        <v>27</v>
      </c>
      <c r="I1752" t="s">
        <v>33</v>
      </c>
    </row>
    <row r="1753" spans="1:9" x14ac:dyDescent="0.3">
      <c r="A1753" t="str">
        <f t="shared" si="27"/>
        <v>CASE-1752</v>
      </c>
      <c r="B1753" s="1">
        <v>45918</v>
      </c>
      <c r="C1753" t="s">
        <v>9</v>
      </c>
      <c r="D1753">
        <v>4</v>
      </c>
      <c r="E1753" t="b">
        <v>1</v>
      </c>
      <c r="F1753" s="2">
        <v>3.2216216575381647</v>
      </c>
      <c r="G1753" t="b">
        <v>0</v>
      </c>
      <c r="H1753" t="s">
        <v>13</v>
      </c>
      <c r="I1753" t="s">
        <v>34</v>
      </c>
    </row>
    <row r="1754" spans="1:9" x14ac:dyDescent="0.3">
      <c r="A1754" t="str">
        <f t="shared" si="27"/>
        <v>CASE-1753</v>
      </c>
      <c r="B1754" s="1">
        <v>46077</v>
      </c>
      <c r="C1754" t="s">
        <v>11</v>
      </c>
      <c r="D1754">
        <v>5</v>
      </c>
      <c r="E1754" t="b">
        <v>0</v>
      </c>
      <c r="F1754" s="2">
        <v>11.591353242500361</v>
      </c>
      <c r="G1754" t="b">
        <v>0</v>
      </c>
      <c r="H1754" t="s">
        <v>26</v>
      </c>
      <c r="I1754" t="s">
        <v>33</v>
      </c>
    </row>
    <row r="1755" spans="1:9" x14ac:dyDescent="0.3">
      <c r="A1755" t="str">
        <f t="shared" si="27"/>
        <v>CASE-1754</v>
      </c>
      <c r="B1755" s="1">
        <v>45745</v>
      </c>
      <c r="C1755" t="s">
        <v>11</v>
      </c>
      <c r="D1755">
        <v>3</v>
      </c>
      <c r="E1755" t="b">
        <v>1</v>
      </c>
      <c r="F1755" s="2">
        <v>2.2429752914920482</v>
      </c>
      <c r="G1755" t="b">
        <v>0</v>
      </c>
      <c r="H1755" t="s">
        <v>23</v>
      </c>
      <c r="I1755" t="s">
        <v>34</v>
      </c>
    </row>
    <row r="1756" spans="1:9" x14ac:dyDescent="0.3">
      <c r="A1756" t="str">
        <f t="shared" si="27"/>
        <v>CASE-1755</v>
      </c>
      <c r="B1756" s="1">
        <v>46054</v>
      </c>
      <c r="C1756" t="s">
        <v>9</v>
      </c>
      <c r="D1756">
        <v>5</v>
      </c>
      <c r="E1756" t="b">
        <v>1</v>
      </c>
      <c r="F1756" s="2">
        <v>4.9105535145901813</v>
      </c>
      <c r="G1756" t="b">
        <v>0</v>
      </c>
      <c r="H1756" t="s">
        <v>22</v>
      </c>
      <c r="I1756" t="s">
        <v>34</v>
      </c>
    </row>
    <row r="1757" spans="1:9" x14ac:dyDescent="0.3">
      <c r="A1757" t="str">
        <f t="shared" si="27"/>
        <v>CASE-1756</v>
      </c>
      <c r="B1757" s="1">
        <v>45896</v>
      </c>
      <c r="C1757" t="s">
        <v>12</v>
      </c>
      <c r="D1757">
        <v>3</v>
      </c>
      <c r="E1757" t="b">
        <v>0</v>
      </c>
      <c r="F1757" s="2">
        <v>34.825021381428265</v>
      </c>
      <c r="G1757" t="b">
        <v>0</v>
      </c>
      <c r="H1757" t="s">
        <v>25</v>
      </c>
      <c r="I1757" t="s">
        <v>33</v>
      </c>
    </row>
    <row r="1758" spans="1:9" x14ac:dyDescent="0.3">
      <c r="A1758" t="str">
        <f t="shared" si="27"/>
        <v>CASE-1757</v>
      </c>
      <c r="B1758" s="1">
        <v>45771</v>
      </c>
      <c r="C1758" t="s">
        <v>11</v>
      </c>
      <c r="D1758">
        <v>5</v>
      </c>
      <c r="E1758" t="b">
        <v>0</v>
      </c>
      <c r="F1758" s="2">
        <v>5.176636462756572</v>
      </c>
      <c r="G1758" t="b">
        <v>0</v>
      </c>
      <c r="H1758" t="s">
        <v>20</v>
      </c>
      <c r="I1758" t="s">
        <v>34</v>
      </c>
    </row>
    <row r="1759" spans="1:9" x14ac:dyDescent="0.3">
      <c r="A1759" t="str">
        <f t="shared" si="27"/>
        <v>CASE-1758</v>
      </c>
      <c r="B1759" s="1">
        <v>45831</v>
      </c>
      <c r="C1759" t="s">
        <v>9</v>
      </c>
      <c r="D1759">
        <v>5</v>
      </c>
      <c r="E1759" t="b">
        <v>1</v>
      </c>
      <c r="F1759" s="2">
        <v>22.885582132522195</v>
      </c>
      <c r="G1759" t="b">
        <v>0</v>
      </c>
      <c r="H1759" t="s">
        <v>21</v>
      </c>
      <c r="I1759" t="s">
        <v>33</v>
      </c>
    </row>
    <row r="1760" spans="1:9" x14ac:dyDescent="0.3">
      <c r="A1760" t="str">
        <f t="shared" si="27"/>
        <v>CASE-1759</v>
      </c>
      <c r="B1760" s="1">
        <v>45948</v>
      </c>
      <c r="C1760" t="s">
        <v>10</v>
      </c>
      <c r="D1760">
        <v>2</v>
      </c>
      <c r="E1760" t="b">
        <v>1</v>
      </c>
      <c r="F1760" s="2">
        <v>8.8050217298283222</v>
      </c>
      <c r="G1760" t="b">
        <v>0</v>
      </c>
      <c r="H1760" t="s">
        <v>19</v>
      </c>
      <c r="I1760" t="s">
        <v>34</v>
      </c>
    </row>
    <row r="1761" spans="1:9" x14ac:dyDescent="0.3">
      <c r="A1761" t="str">
        <f t="shared" si="27"/>
        <v>CASE-1760</v>
      </c>
      <c r="B1761" s="1">
        <v>46103</v>
      </c>
      <c r="C1761" t="s">
        <v>10</v>
      </c>
      <c r="D1761">
        <v>5</v>
      </c>
      <c r="E1761" t="b">
        <v>1</v>
      </c>
      <c r="F1761" s="2">
        <v>4.5074388196879536</v>
      </c>
      <c r="G1761" t="b">
        <v>0</v>
      </c>
      <c r="H1761" t="s">
        <v>21</v>
      </c>
      <c r="I1761" t="s">
        <v>34</v>
      </c>
    </row>
    <row r="1762" spans="1:9" x14ac:dyDescent="0.3">
      <c r="A1762" t="str">
        <f t="shared" si="27"/>
        <v>CASE-1761</v>
      </c>
      <c r="B1762" s="1">
        <v>46077</v>
      </c>
      <c r="C1762" t="s">
        <v>11</v>
      </c>
      <c r="D1762">
        <v>5</v>
      </c>
      <c r="E1762" t="b">
        <v>1</v>
      </c>
      <c r="F1762" s="2">
        <v>7.6298156097929013</v>
      </c>
      <c r="G1762" t="b">
        <v>0</v>
      </c>
      <c r="H1762" t="s">
        <v>18</v>
      </c>
      <c r="I1762" t="s">
        <v>34</v>
      </c>
    </row>
    <row r="1763" spans="1:9" x14ac:dyDescent="0.3">
      <c r="A1763" t="str">
        <f t="shared" si="27"/>
        <v>CASE-1762</v>
      </c>
      <c r="B1763" s="1">
        <v>45767</v>
      </c>
      <c r="C1763" t="s">
        <v>10</v>
      </c>
      <c r="D1763">
        <v>2</v>
      </c>
      <c r="E1763" t="b">
        <v>1</v>
      </c>
      <c r="F1763" s="2">
        <v>23.394143344787093</v>
      </c>
      <c r="G1763" t="b">
        <v>0</v>
      </c>
      <c r="H1763" t="s">
        <v>26</v>
      </c>
      <c r="I1763" t="s">
        <v>33</v>
      </c>
    </row>
    <row r="1764" spans="1:9" x14ac:dyDescent="0.3">
      <c r="A1764" t="str">
        <f t="shared" si="27"/>
        <v>CASE-1763</v>
      </c>
      <c r="B1764" s="1">
        <v>45981</v>
      </c>
      <c r="C1764" t="s">
        <v>10</v>
      </c>
      <c r="D1764">
        <v>1</v>
      </c>
      <c r="E1764" t="b">
        <v>0</v>
      </c>
      <c r="F1764" s="2">
        <v>7.1321900532109783</v>
      </c>
      <c r="G1764" t="b">
        <v>0</v>
      </c>
      <c r="H1764" t="s">
        <v>22</v>
      </c>
      <c r="I1764" t="s">
        <v>34</v>
      </c>
    </row>
    <row r="1765" spans="1:9" x14ac:dyDescent="0.3">
      <c r="A1765" t="str">
        <f t="shared" si="27"/>
        <v>CASE-1764</v>
      </c>
      <c r="B1765" s="1">
        <v>45902</v>
      </c>
      <c r="C1765" t="s">
        <v>11</v>
      </c>
      <c r="D1765">
        <v>2</v>
      </c>
      <c r="E1765" t="b">
        <v>1</v>
      </c>
      <c r="F1765" s="2">
        <v>4.2106310044524333</v>
      </c>
      <c r="G1765" t="b">
        <v>0</v>
      </c>
      <c r="H1765" t="s">
        <v>17</v>
      </c>
      <c r="I1765" t="s">
        <v>34</v>
      </c>
    </row>
    <row r="1766" spans="1:9" x14ac:dyDescent="0.3">
      <c r="A1766" t="str">
        <f t="shared" si="27"/>
        <v>CASE-1765</v>
      </c>
      <c r="B1766" s="1">
        <v>46081</v>
      </c>
      <c r="C1766" t="s">
        <v>11</v>
      </c>
      <c r="D1766">
        <v>3</v>
      </c>
      <c r="E1766" t="b">
        <v>1</v>
      </c>
      <c r="F1766" s="2">
        <v>6.0851925579620181</v>
      </c>
      <c r="G1766" t="b">
        <v>0</v>
      </c>
      <c r="H1766" t="s">
        <v>21</v>
      </c>
      <c r="I1766" t="s">
        <v>34</v>
      </c>
    </row>
    <row r="1767" spans="1:9" x14ac:dyDescent="0.3">
      <c r="A1767" t="str">
        <f t="shared" si="27"/>
        <v>CASE-1766</v>
      </c>
      <c r="B1767" s="1">
        <v>45875</v>
      </c>
      <c r="C1767" t="s">
        <v>11</v>
      </c>
      <c r="D1767">
        <v>1</v>
      </c>
      <c r="E1767" t="b">
        <v>1</v>
      </c>
      <c r="F1767" s="2">
        <v>4.1313797195093649E-2</v>
      </c>
      <c r="G1767" t="b">
        <v>0</v>
      </c>
      <c r="H1767" t="s">
        <v>27</v>
      </c>
      <c r="I1767" t="s">
        <v>34</v>
      </c>
    </row>
    <row r="1768" spans="1:9" x14ac:dyDescent="0.3">
      <c r="A1768" t="str">
        <f t="shared" si="27"/>
        <v>CASE-1767</v>
      </c>
      <c r="B1768" s="1">
        <v>45872</v>
      </c>
      <c r="C1768" t="s">
        <v>9</v>
      </c>
      <c r="D1768">
        <v>5</v>
      </c>
      <c r="E1768" t="b">
        <v>1</v>
      </c>
      <c r="F1768" s="2">
        <v>8.5273325731717922</v>
      </c>
      <c r="G1768" t="b">
        <v>0</v>
      </c>
      <c r="H1768" t="s">
        <v>22</v>
      </c>
      <c r="I1768" t="s">
        <v>34</v>
      </c>
    </row>
    <row r="1769" spans="1:9" x14ac:dyDescent="0.3">
      <c r="A1769" t="str">
        <f t="shared" si="27"/>
        <v>CASE-1768</v>
      </c>
      <c r="B1769" s="1">
        <v>45720</v>
      </c>
      <c r="C1769" t="s">
        <v>12</v>
      </c>
      <c r="D1769">
        <v>5</v>
      </c>
      <c r="E1769" t="b">
        <v>1</v>
      </c>
      <c r="F1769" s="2">
        <v>9.0142943275055849</v>
      </c>
      <c r="G1769" t="b">
        <v>0</v>
      </c>
      <c r="H1769" t="s">
        <v>29</v>
      </c>
      <c r="I1769" t="s">
        <v>34</v>
      </c>
    </row>
    <row r="1770" spans="1:9" x14ac:dyDescent="0.3">
      <c r="A1770" t="str">
        <f t="shared" si="27"/>
        <v>CASE-1769</v>
      </c>
      <c r="B1770" s="1">
        <v>45880</v>
      </c>
      <c r="C1770" t="s">
        <v>10</v>
      </c>
      <c r="D1770">
        <v>4</v>
      </c>
      <c r="E1770" t="b">
        <v>1</v>
      </c>
      <c r="F1770" s="2">
        <v>7.1279436138911478</v>
      </c>
      <c r="G1770" t="b">
        <v>0</v>
      </c>
      <c r="H1770" t="s">
        <v>32</v>
      </c>
      <c r="I1770" t="s">
        <v>34</v>
      </c>
    </row>
    <row r="1771" spans="1:9" x14ac:dyDescent="0.3">
      <c r="A1771" t="str">
        <f t="shared" si="27"/>
        <v>CASE-1770</v>
      </c>
      <c r="B1771" s="1">
        <v>45607</v>
      </c>
      <c r="C1771" t="s">
        <v>12</v>
      </c>
      <c r="D1771">
        <v>3</v>
      </c>
      <c r="E1771" t="b">
        <v>0</v>
      </c>
      <c r="F1771" s="2">
        <v>13.630554051574396</v>
      </c>
      <c r="G1771" t="b">
        <v>0</v>
      </c>
      <c r="H1771" t="s">
        <v>23</v>
      </c>
      <c r="I1771" t="s">
        <v>33</v>
      </c>
    </row>
    <row r="1772" spans="1:9" x14ac:dyDescent="0.3">
      <c r="A1772" t="str">
        <f t="shared" si="27"/>
        <v>CASE-1771</v>
      </c>
      <c r="B1772" s="1">
        <v>45655</v>
      </c>
      <c r="C1772" t="s">
        <v>11</v>
      </c>
      <c r="D1772">
        <v>1</v>
      </c>
      <c r="E1772" t="b">
        <v>0</v>
      </c>
      <c r="F1772" s="2">
        <v>20.189136864693751</v>
      </c>
      <c r="G1772" t="b">
        <v>0</v>
      </c>
      <c r="H1772" t="s">
        <v>23</v>
      </c>
      <c r="I1772" t="s">
        <v>33</v>
      </c>
    </row>
    <row r="1773" spans="1:9" x14ac:dyDescent="0.3">
      <c r="A1773" t="str">
        <f t="shared" si="27"/>
        <v>CASE-1772</v>
      </c>
      <c r="B1773" s="1">
        <v>45628</v>
      </c>
      <c r="C1773" t="s">
        <v>10</v>
      </c>
      <c r="D1773">
        <v>3</v>
      </c>
      <c r="E1773" t="b">
        <v>0</v>
      </c>
      <c r="F1773" s="2">
        <v>24.606026147113194</v>
      </c>
      <c r="G1773" t="b">
        <v>0</v>
      </c>
      <c r="H1773" t="s">
        <v>23</v>
      </c>
      <c r="I1773" t="s">
        <v>33</v>
      </c>
    </row>
    <row r="1774" spans="1:9" x14ac:dyDescent="0.3">
      <c r="A1774" t="str">
        <f t="shared" si="27"/>
        <v>CASE-1773</v>
      </c>
      <c r="B1774" s="1">
        <v>46066</v>
      </c>
      <c r="C1774" t="s">
        <v>9</v>
      </c>
      <c r="D1774">
        <v>4</v>
      </c>
      <c r="E1774" t="b">
        <v>1</v>
      </c>
      <c r="F1774" s="2">
        <v>11.74531749424996</v>
      </c>
      <c r="G1774" t="b">
        <v>0</v>
      </c>
      <c r="H1774" t="s">
        <v>16</v>
      </c>
      <c r="I1774" t="s">
        <v>34</v>
      </c>
    </row>
    <row r="1775" spans="1:9" x14ac:dyDescent="0.3">
      <c r="A1775" t="str">
        <f t="shared" si="27"/>
        <v>CASE-1774</v>
      </c>
      <c r="B1775" s="1">
        <v>46183</v>
      </c>
      <c r="C1775" t="s">
        <v>11</v>
      </c>
      <c r="D1775">
        <v>4</v>
      </c>
      <c r="E1775" t="b">
        <v>1</v>
      </c>
      <c r="F1775" s="2">
        <v>5.7441951450384794</v>
      </c>
      <c r="G1775" t="b">
        <v>0</v>
      </c>
      <c r="H1775" t="s">
        <v>30</v>
      </c>
      <c r="I1775" t="s">
        <v>34</v>
      </c>
    </row>
    <row r="1776" spans="1:9" x14ac:dyDescent="0.3">
      <c r="A1776" t="str">
        <f t="shared" si="27"/>
        <v>CASE-1775</v>
      </c>
      <c r="B1776" s="1">
        <v>45617</v>
      </c>
      <c r="C1776" t="s">
        <v>12</v>
      </c>
      <c r="D1776">
        <v>3</v>
      </c>
      <c r="E1776" t="b">
        <v>0</v>
      </c>
      <c r="F1776" s="2">
        <v>38.510125166182533</v>
      </c>
      <c r="G1776" t="b">
        <v>0</v>
      </c>
      <c r="H1776" t="s">
        <v>16</v>
      </c>
      <c r="I1776" t="s">
        <v>33</v>
      </c>
    </row>
    <row r="1777" spans="1:9" x14ac:dyDescent="0.3">
      <c r="A1777" t="str">
        <f t="shared" si="27"/>
        <v>CASE-1776</v>
      </c>
      <c r="B1777" s="1">
        <v>45741</v>
      </c>
      <c r="C1777" t="s">
        <v>10</v>
      </c>
      <c r="D1777">
        <v>4</v>
      </c>
      <c r="E1777" t="b">
        <v>1</v>
      </c>
      <c r="F1777" s="2">
        <v>12.667881173933198</v>
      </c>
      <c r="G1777" t="b">
        <v>0</v>
      </c>
      <c r="H1777" t="s">
        <v>32</v>
      </c>
      <c r="I1777" t="s">
        <v>33</v>
      </c>
    </row>
    <row r="1778" spans="1:9" x14ac:dyDescent="0.3">
      <c r="A1778" t="str">
        <f t="shared" si="27"/>
        <v>CASE-1777</v>
      </c>
      <c r="B1778" s="1">
        <v>45760</v>
      </c>
      <c r="C1778" t="s">
        <v>11</v>
      </c>
      <c r="D1778">
        <v>2</v>
      </c>
      <c r="E1778" t="b">
        <v>1</v>
      </c>
      <c r="F1778" s="2">
        <v>5.9876364387690453</v>
      </c>
      <c r="G1778" t="b">
        <v>0</v>
      </c>
      <c r="H1778" t="s">
        <v>21</v>
      </c>
      <c r="I1778" t="s">
        <v>34</v>
      </c>
    </row>
    <row r="1779" spans="1:9" x14ac:dyDescent="0.3">
      <c r="A1779" t="str">
        <f t="shared" si="27"/>
        <v>CASE-1778</v>
      </c>
      <c r="B1779" s="1">
        <v>45654</v>
      </c>
      <c r="C1779" t="s">
        <v>10</v>
      </c>
      <c r="D1779">
        <v>2</v>
      </c>
      <c r="E1779" t="b">
        <v>0</v>
      </c>
      <c r="F1779" s="2">
        <v>28.209255206489232</v>
      </c>
      <c r="G1779" t="b">
        <v>0</v>
      </c>
      <c r="H1779" t="s">
        <v>18</v>
      </c>
      <c r="I1779" t="s">
        <v>33</v>
      </c>
    </row>
    <row r="1780" spans="1:9" x14ac:dyDescent="0.3">
      <c r="A1780" t="str">
        <f t="shared" si="27"/>
        <v>CASE-1779</v>
      </c>
      <c r="B1780" s="1">
        <v>45798</v>
      </c>
      <c r="C1780" t="s">
        <v>11</v>
      </c>
      <c r="D1780">
        <v>3</v>
      </c>
      <c r="E1780" t="b">
        <v>0</v>
      </c>
      <c r="F1780" s="2">
        <v>7.0732466479583973</v>
      </c>
      <c r="G1780" t="b">
        <v>0</v>
      </c>
      <c r="H1780" t="s">
        <v>30</v>
      </c>
      <c r="I1780" t="s">
        <v>34</v>
      </c>
    </row>
    <row r="1781" spans="1:9" x14ac:dyDescent="0.3">
      <c r="A1781" t="str">
        <f t="shared" si="27"/>
        <v>CASE-1780</v>
      </c>
      <c r="B1781" s="1">
        <v>45876</v>
      </c>
      <c r="C1781" t="s">
        <v>9</v>
      </c>
      <c r="D1781">
        <v>5</v>
      </c>
      <c r="E1781" t="b">
        <v>1</v>
      </c>
      <c r="F1781" s="2">
        <v>4.2312260786520151</v>
      </c>
      <c r="G1781" t="b">
        <v>0</v>
      </c>
      <c r="H1781" t="s">
        <v>22</v>
      </c>
      <c r="I1781" t="s">
        <v>34</v>
      </c>
    </row>
    <row r="1782" spans="1:9" x14ac:dyDescent="0.3">
      <c r="A1782" t="str">
        <f t="shared" si="27"/>
        <v>CASE-1781</v>
      </c>
      <c r="B1782" s="1">
        <v>46134</v>
      </c>
      <c r="C1782" t="s">
        <v>11</v>
      </c>
      <c r="D1782">
        <v>3</v>
      </c>
      <c r="E1782" t="b">
        <v>1</v>
      </c>
      <c r="F1782" s="2">
        <v>8.1887993325663437</v>
      </c>
      <c r="G1782" t="b">
        <v>0</v>
      </c>
      <c r="H1782" t="s">
        <v>19</v>
      </c>
      <c r="I1782" t="s">
        <v>34</v>
      </c>
    </row>
    <row r="1783" spans="1:9" x14ac:dyDescent="0.3">
      <c r="A1783" t="str">
        <f t="shared" si="27"/>
        <v>CASE-1782</v>
      </c>
      <c r="B1783" s="1">
        <v>46201</v>
      </c>
      <c r="C1783" t="s">
        <v>12</v>
      </c>
      <c r="D1783">
        <v>4</v>
      </c>
      <c r="E1783" t="b">
        <v>1</v>
      </c>
      <c r="F1783" s="2">
        <v>28.351274343981057</v>
      </c>
      <c r="G1783" t="b">
        <v>0</v>
      </c>
      <c r="H1783" t="s">
        <v>25</v>
      </c>
      <c r="I1783" t="s">
        <v>33</v>
      </c>
    </row>
    <row r="1784" spans="1:9" x14ac:dyDescent="0.3">
      <c r="A1784" t="str">
        <f t="shared" si="27"/>
        <v>CASE-1783</v>
      </c>
      <c r="B1784" s="1">
        <v>45482</v>
      </c>
      <c r="C1784" t="s">
        <v>12</v>
      </c>
      <c r="D1784">
        <v>1</v>
      </c>
      <c r="E1784" t="b">
        <v>0</v>
      </c>
      <c r="F1784" s="2">
        <v>23.257867184599629</v>
      </c>
      <c r="G1784" t="b">
        <v>1</v>
      </c>
      <c r="H1784" t="s">
        <v>31</v>
      </c>
      <c r="I1784" t="s">
        <v>33</v>
      </c>
    </row>
    <row r="1785" spans="1:9" x14ac:dyDescent="0.3">
      <c r="A1785" t="str">
        <f t="shared" si="27"/>
        <v>CASE-1784</v>
      </c>
      <c r="B1785" s="1">
        <v>46187</v>
      </c>
      <c r="C1785" t="s">
        <v>12</v>
      </c>
      <c r="D1785">
        <v>5</v>
      </c>
      <c r="E1785" t="b">
        <v>0</v>
      </c>
      <c r="F1785" s="2">
        <v>5.6362323487889769</v>
      </c>
      <c r="G1785" t="b">
        <v>0</v>
      </c>
      <c r="H1785" t="s">
        <v>27</v>
      </c>
      <c r="I1785" t="s">
        <v>34</v>
      </c>
    </row>
    <row r="1786" spans="1:9" x14ac:dyDescent="0.3">
      <c r="A1786" t="str">
        <f t="shared" si="27"/>
        <v>CASE-1785</v>
      </c>
      <c r="B1786" s="1">
        <v>46044</v>
      </c>
      <c r="C1786" t="s">
        <v>9</v>
      </c>
      <c r="D1786">
        <v>4</v>
      </c>
      <c r="E1786" t="b">
        <v>0</v>
      </c>
      <c r="F1786" s="2">
        <v>6.8173506821204839</v>
      </c>
      <c r="G1786" t="b">
        <v>0</v>
      </c>
      <c r="H1786" t="s">
        <v>18</v>
      </c>
      <c r="I1786" t="s">
        <v>34</v>
      </c>
    </row>
    <row r="1787" spans="1:9" x14ac:dyDescent="0.3">
      <c r="A1787" t="str">
        <f t="shared" si="27"/>
        <v>CASE-1786</v>
      </c>
      <c r="B1787" s="1">
        <v>45905</v>
      </c>
      <c r="C1787" t="s">
        <v>9</v>
      </c>
      <c r="D1787">
        <v>4</v>
      </c>
      <c r="E1787" t="b">
        <v>0</v>
      </c>
      <c r="F1787" s="2">
        <v>23.929660623950458</v>
      </c>
      <c r="G1787" t="b">
        <v>0</v>
      </c>
      <c r="H1787" t="s">
        <v>27</v>
      </c>
      <c r="I1787" t="s">
        <v>33</v>
      </c>
    </row>
    <row r="1788" spans="1:9" x14ac:dyDescent="0.3">
      <c r="A1788" t="str">
        <f t="shared" si="27"/>
        <v>CASE-1787</v>
      </c>
      <c r="B1788" s="1">
        <v>45907</v>
      </c>
      <c r="C1788" t="s">
        <v>9</v>
      </c>
      <c r="D1788">
        <v>2</v>
      </c>
      <c r="E1788" t="b">
        <v>1</v>
      </c>
      <c r="F1788" s="2">
        <v>5.1351715458709997</v>
      </c>
      <c r="G1788" t="b">
        <v>0</v>
      </c>
      <c r="H1788" t="s">
        <v>25</v>
      </c>
      <c r="I1788" t="s">
        <v>34</v>
      </c>
    </row>
    <row r="1789" spans="1:9" x14ac:dyDescent="0.3">
      <c r="A1789" t="str">
        <f t="shared" si="27"/>
        <v>CASE-1788</v>
      </c>
      <c r="B1789" s="1">
        <v>45775</v>
      </c>
      <c r="C1789" t="s">
        <v>11</v>
      </c>
      <c r="D1789">
        <v>5</v>
      </c>
      <c r="E1789" t="b">
        <v>0</v>
      </c>
      <c r="F1789" s="2">
        <v>6.8115561997366232</v>
      </c>
      <c r="G1789" t="b">
        <v>0</v>
      </c>
      <c r="H1789" t="s">
        <v>21</v>
      </c>
      <c r="I1789" t="s">
        <v>34</v>
      </c>
    </row>
    <row r="1790" spans="1:9" x14ac:dyDescent="0.3">
      <c r="A1790" t="str">
        <f t="shared" si="27"/>
        <v>CASE-1789</v>
      </c>
      <c r="B1790" s="1">
        <v>46104</v>
      </c>
      <c r="C1790" t="s">
        <v>12</v>
      </c>
      <c r="D1790">
        <v>1</v>
      </c>
      <c r="E1790" t="b">
        <v>1</v>
      </c>
      <c r="F1790" s="2">
        <v>9.3753079970887807</v>
      </c>
      <c r="G1790" t="b">
        <v>0</v>
      </c>
      <c r="H1790" t="s">
        <v>31</v>
      </c>
      <c r="I1790" t="s">
        <v>35</v>
      </c>
    </row>
    <row r="1791" spans="1:9" x14ac:dyDescent="0.3">
      <c r="A1791" t="str">
        <f t="shared" si="27"/>
        <v>CASE-1790</v>
      </c>
      <c r="B1791" s="1">
        <v>45545</v>
      </c>
      <c r="C1791" t="s">
        <v>9</v>
      </c>
      <c r="D1791">
        <v>4</v>
      </c>
      <c r="E1791" t="b">
        <v>0</v>
      </c>
      <c r="F1791" s="2">
        <v>23.318529762296848</v>
      </c>
      <c r="G1791" t="b">
        <v>0</v>
      </c>
      <c r="H1791" t="s">
        <v>32</v>
      </c>
      <c r="I1791" t="s">
        <v>33</v>
      </c>
    </row>
    <row r="1792" spans="1:9" x14ac:dyDescent="0.3">
      <c r="A1792" t="str">
        <f t="shared" si="27"/>
        <v>CASE-1791</v>
      </c>
      <c r="B1792" s="1">
        <v>45528</v>
      </c>
      <c r="C1792" t="s">
        <v>11</v>
      </c>
      <c r="D1792">
        <v>5</v>
      </c>
      <c r="E1792" t="b">
        <v>0</v>
      </c>
      <c r="F1792" s="2">
        <v>25.421448787991807</v>
      </c>
      <c r="G1792" t="b">
        <v>0</v>
      </c>
      <c r="H1792" t="s">
        <v>13</v>
      </c>
      <c r="I1792" t="s">
        <v>33</v>
      </c>
    </row>
    <row r="1793" spans="1:9" x14ac:dyDescent="0.3">
      <c r="A1793" t="str">
        <f t="shared" si="27"/>
        <v>CASE-1792</v>
      </c>
      <c r="B1793" s="1">
        <v>46202</v>
      </c>
      <c r="C1793" t="s">
        <v>11</v>
      </c>
      <c r="D1793">
        <v>1</v>
      </c>
      <c r="E1793" t="b">
        <v>1</v>
      </c>
      <c r="F1793" s="2">
        <v>6.4111412793624147</v>
      </c>
      <c r="G1793" t="b">
        <v>0</v>
      </c>
      <c r="H1793" t="s">
        <v>32</v>
      </c>
      <c r="I1793" t="s">
        <v>34</v>
      </c>
    </row>
    <row r="1794" spans="1:9" x14ac:dyDescent="0.3">
      <c r="A1794" t="str">
        <f t="shared" si="27"/>
        <v>CASE-1793</v>
      </c>
      <c r="B1794" s="1">
        <v>45687</v>
      </c>
      <c r="C1794" t="s">
        <v>10</v>
      </c>
      <c r="D1794">
        <v>1</v>
      </c>
      <c r="E1794" t="b">
        <v>1</v>
      </c>
      <c r="F1794" s="2">
        <v>6.6682073186053472</v>
      </c>
      <c r="G1794" t="b">
        <v>0</v>
      </c>
      <c r="H1794" t="s">
        <v>21</v>
      </c>
      <c r="I1794" t="s">
        <v>34</v>
      </c>
    </row>
    <row r="1795" spans="1:9" x14ac:dyDescent="0.3">
      <c r="A1795" t="str">
        <f t="shared" ref="A1795:A1858" si="28">"CASE-"&amp;TEXT(ROW()-1,"0000")</f>
        <v>CASE-1794</v>
      </c>
      <c r="B1795" s="1">
        <v>45580</v>
      </c>
      <c r="C1795" t="s">
        <v>12</v>
      </c>
      <c r="D1795">
        <v>2</v>
      </c>
      <c r="E1795" t="b">
        <v>0</v>
      </c>
      <c r="F1795" s="2">
        <v>32.578736039203946</v>
      </c>
      <c r="G1795" t="b">
        <v>0</v>
      </c>
      <c r="H1795" t="s">
        <v>32</v>
      </c>
      <c r="I1795" t="s">
        <v>33</v>
      </c>
    </row>
    <row r="1796" spans="1:9" x14ac:dyDescent="0.3">
      <c r="A1796" t="str">
        <f t="shared" si="28"/>
        <v>CASE-1795</v>
      </c>
      <c r="B1796" s="1">
        <v>45490</v>
      </c>
      <c r="C1796" t="s">
        <v>12</v>
      </c>
      <c r="D1796">
        <v>1</v>
      </c>
      <c r="E1796" t="b">
        <v>0</v>
      </c>
      <c r="F1796" s="2">
        <v>18.311772358920823</v>
      </c>
      <c r="G1796" t="b">
        <v>0</v>
      </c>
      <c r="H1796" t="s">
        <v>20</v>
      </c>
      <c r="I1796" t="s">
        <v>33</v>
      </c>
    </row>
    <row r="1797" spans="1:9" x14ac:dyDescent="0.3">
      <c r="A1797" t="str">
        <f t="shared" si="28"/>
        <v>CASE-1796</v>
      </c>
      <c r="B1797" s="1">
        <v>46018</v>
      </c>
      <c r="C1797" t="s">
        <v>12</v>
      </c>
      <c r="D1797">
        <v>3</v>
      </c>
      <c r="E1797" t="b">
        <v>1</v>
      </c>
      <c r="F1797" s="2">
        <v>3.558292943593385</v>
      </c>
      <c r="G1797" t="b">
        <v>0</v>
      </c>
      <c r="H1797" t="s">
        <v>19</v>
      </c>
      <c r="I1797" t="s">
        <v>34</v>
      </c>
    </row>
    <row r="1798" spans="1:9" x14ac:dyDescent="0.3">
      <c r="A1798" t="str">
        <f t="shared" si="28"/>
        <v>CASE-1797</v>
      </c>
      <c r="B1798" s="1">
        <v>45851</v>
      </c>
      <c r="C1798" t="s">
        <v>10</v>
      </c>
      <c r="D1798">
        <v>3</v>
      </c>
      <c r="E1798" t="b">
        <v>0</v>
      </c>
      <c r="F1798" s="2">
        <v>21.375698868703587</v>
      </c>
      <c r="G1798" t="b">
        <v>0</v>
      </c>
      <c r="H1798" t="s">
        <v>24</v>
      </c>
      <c r="I1798" t="s">
        <v>33</v>
      </c>
    </row>
    <row r="1799" spans="1:9" x14ac:dyDescent="0.3">
      <c r="A1799" t="str">
        <f t="shared" si="28"/>
        <v>CASE-1798</v>
      </c>
      <c r="B1799" s="1">
        <v>46173</v>
      </c>
      <c r="C1799" t="s">
        <v>11</v>
      </c>
      <c r="D1799">
        <v>3</v>
      </c>
      <c r="E1799" t="b">
        <v>1</v>
      </c>
      <c r="F1799" s="2">
        <v>8.2897687040135963</v>
      </c>
      <c r="G1799" t="b">
        <v>0</v>
      </c>
      <c r="H1799" t="s">
        <v>18</v>
      </c>
      <c r="I1799" t="s">
        <v>34</v>
      </c>
    </row>
    <row r="1800" spans="1:9" x14ac:dyDescent="0.3">
      <c r="A1800" t="str">
        <f t="shared" si="28"/>
        <v>CASE-1799</v>
      </c>
      <c r="B1800" s="1">
        <v>46052</v>
      </c>
      <c r="C1800" t="s">
        <v>12</v>
      </c>
      <c r="D1800">
        <v>2</v>
      </c>
      <c r="E1800" t="b">
        <v>1</v>
      </c>
      <c r="F1800" s="2">
        <v>5.723812281544773</v>
      </c>
      <c r="G1800" t="b">
        <v>0</v>
      </c>
      <c r="H1800" t="s">
        <v>26</v>
      </c>
      <c r="I1800" t="s">
        <v>35</v>
      </c>
    </row>
    <row r="1801" spans="1:9" x14ac:dyDescent="0.3">
      <c r="A1801" t="str">
        <f t="shared" si="28"/>
        <v>CASE-1800</v>
      </c>
      <c r="B1801" s="1">
        <v>45792</v>
      </c>
      <c r="C1801" t="s">
        <v>12</v>
      </c>
      <c r="D1801">
        <v>5</v>
      </c>
      <c r="E1801" t="b">
        <v>1</v>
      </c>
      <c r="F1801" s="2">
        <v>9.7663964405106274</v>
      </c>
      <c r="G1801" t="b">
        <v>0</v>
      </c>
      <c r="H1801" t="s">
        <v>14</v>
      </c>
      <c r="I1801" t="s">
        <v>34</v>
      </c>
    </row>
    <row r="1802" spans="1:9" x14ac:dyDescent="0.3">
      <c r="A1802" t="str">
        <f t="shared" si="28"/>
        <v>CASE-1801</v>
      </c>
      <c r="B1802" s="1">
        <v>45788</v>
      </c>
      <c r="C1802" t="s">
        <v>10</v>
      </c>
      <c r="D1802">
        <v>4</v>
      </c>
      <c r="E1802" t="b">
        <v>1</v>
      </c>
      <c r="F1802" s="2">
        <v>7.9306076072341867</v>
      </c>
      <c r="G1802" t="b">
        <v>0</v>
      </c>
      <c r="H1802" t="s">
        <v>14</v>
      </c>
      <c r="I1802" t="s">
        <v>34</v>
      </c>
    </row>
    <row r="1803" spans="1:9" x14ac:dyDescent="0.3">
      <c r="A1803" t="str">
        <f t="shared" si="28"/>
        <v>CASE-1802</v>
      </c>
      <c r="B1803" s="1">
        <v>45869</v>
      </c>
      <c r="C1803" t="s">
        <v>12</v>
      </c>
      <c r="D1803">
        <v>4</v>
      </c>
      <c r="E1803" t="b">
        <v>0</v>
      </c>
      <c r="F1803" s="2">
        <v>8.1063799778693895</v>
      </c>
      <c r="G1803" t="b">
        <v>0</v>
      </c>
      <c r="H1803" t="s">
        <v>24</v>
      </c>
      <c r="I1803" t="s">
        <v>34</v>
      </c>
    </row>
    <row r="1804" spans="1:9" x14ac:dyDescent="0.3">
      <c r="A1804" t="str">
        <f t="shared" si="28"/>
        <v>CASE-1803</v>
      </c>
      <c r="B1804" s="1">
        <v>45902</v>
      </c>
      <c r="C1804" t="s">
        <v>11</v>
      </c>
      <c r="D1804">
        <v>1</v>
      </c>
      <c r="E1804" t="b">
        <v>0</v>
      </c>
      <c r="F1804" s="2">
        <v>4.5929580188953558</v>
      </c>
      <c r="G1804" t="b">
        <v>0</v>
      </c>
      <c r="H1804" t="s">
        <v>31</v>
      </c>
      <c r="I1804" t="s">
        <v>34</v>
      </c>
    </row>
    <row r="1805" spans="1:9" x14ac:dyDescent="0.3">
      <c r="A1805" t="str">
        <f t="shared" si="28"/>
        <v>CASE-1804</v>
      </c>
      <c r="B1805" s="1">
        <v>45738</v>
      </c>
      <c r="C1805" t="s">
        <v>9</v>
      </c>
      <c r="D1805">
        <v>4</v>
      </c>
      <c r="E1805" t="b">
        <v>1</v>
      </c>
      <c r="F1805" s="2">
        <v>2.4074068347837159</v>
      </c>
      <c r="G1805" t="b">
        <v>0</v>
      </c>
      <c r="H1805" t="s">
        <v>17</v>
      </c>
      <c r="I1805" t="s">
        <v>34</v>
      </c>
    </row>
    <row r="1806" spans="1:9" x14ac:dyDescent="0.3">
      <c r="A1806" t="str">
        <f t="shared" si="28"/>
        <v>CASE-1805</v>
      </c>
      <c r="B1806" s="1">
        <v>45644</v>
      </c>
      <c r="C1806" t="s">
        <v>11</v>
      </c>
      <c r="D1806">
        <v>4</v>
      </c>
      <c r="E1806" t="b">
        <v>0</v>
      </c>
      <c r="F1806" s="2">
        <v>4.9778269429803608</v>
      </c>
      <c r="G1806" t="b">
        <v>0</v>
      </c>
      <c r="H1806" t="s">
        <v>15</v>
      </c>
      <c r="I1806" t="s">
        <v>33</v>
      </c>
    </row>
    <row r="1807" spans="1:9" x14ac:dyDescent="0.3">
      <c r="A1807" t="str">
        <f t="shared" si="28"/>
        <v>CASE-1806</v>
      </c>
      <c r="B1807" s="1">
        <v>46192</v>
      </c>
      <c r="C1807" t="s">
        <v>9</v>
      </c>
      <c r="D1807">
        <v>1</v>
      </c>
      <c r="E1807" t="b">
        <v>1</v>
      </c>
      <c r="F1807" s="2">
        <v>5.2577729938533917</v>
      </c>
      <c r="G1807" t="b">
        <v>0</v>
      </c>
      <c r="H1807" t="s">
        <v>23</v>
      </c>
      <c r="I1807" t="s">
        <v>34</v>
      </c>
    </row>
    <row r="1808" spans="1:9" x14ac:dyDescent="0.3">
      <c r="A1808" t="str">
        <f t="shared" si="28"/>
        <v>CASE-1807</v>
      </c>
      <c r="B1808" s="1">
        <v>46054</v>
      </c>
      <c r="C1808" t="s">
        <v>9</v>
      </c>
      <c r="D1808">
        <v>1</v>
      </c>
      <c r="E1808" t="b">
        <v>1</v>
      </c>
      <c r="F1808" s="2">
        <v>7.8111825227671368</v>
      </c>
      <c r="G1808" t="b">
        <v>0</v>
      </c>
      <c r="H1808" t="s">
        <v>21</v>
      </c>
      <c r="I1808" t="s">
        <v>35</v>
      </c>
    </row>
    <row r="1809" spans="1:9" x14ac:dyDescent="0.3">
      <c r="A1809" t="str">
        <f t="shared" si="28"/>
        <v>CASE-1808</v>
      </c>
      <c r="B1809" s="1">
        <v>45765</v>
      </c>
      <c r="C1809" t="s">
        <v>11</v>
      </c>
      <c r="D1809">
        <v>1</v>
      </c>
      <c r="E1809" t="b">
        <v>1</v>
      </c>
      <c r="F1809" s="2">
        <v>19.083485825979803</v>
      </c>
      <c r="G1809" t="b">
        <v>0</v>
      </c>
      <c r="H1809" t="s">
        <v>32</v>
      </c>
      <c r="I1809" t="s">
        <v>33</v>
      </c>
    </row>
    <row r="1810" spans="1:9" x14ac:dyDescent="0.3">
      <c r="A1810" t="str">
        <f t="shared" si="28"/>
        <v>CASE-1809</v>
      </c>
      <c r="B1810" s="1">
        <v>45530</v>
      </c>
      <c r="C1810" t="s">
        <v>9</v>
      </c>
      <c r="D1810">
        <v>4</v>
      </c>
      <c r="E1810" t="b">
        <v>0</v>
      </c>
      <c r="F1810" s="2">
        <v>21.192756444112746</v>
      </c>
      <c r="G1810" t="b">
        <v>0</v>
      </c>
      <c r="H1810" t="s">
        <v>20</v>
      </c>
      <c r="I1810" t="s">
        <v>33</v>
      </c>
    </row>
    <row r="1811" spans="1:9" x14ac:dyDescent="0.3">
      <c r="A1811" t="str">
        <f t="shared" si="28"/>
        <v>CASE-1810</v>
      </c>
      <c r="B1811" s="1">
        <v>45756</v>
      </c>
      <c r="C1811" t="s">
        <v>10</v>
      </c>
      <c r="D1811">
        <v>5</v>
      </c>
      <c r="E1811" t="b">
        <v>1</v>
      </c>
      <c r="F1811" s="2">
        <v>5.591767515842653</v>
      </c>
      <c r="G1811" t="b">
        <v>0</v>
      </c>
      <c r="H1811" t="s">
        <v>18</v>
      </c>
      <c r="I1811" t="s">
        <v>34</v>
      </c>
    </row>
    <row r="1812" spans="1:9" x14ac:dyDescent="0.3">
      <c r="A1812" t="str">
        <f t="shared" si="28"/>
        <v>CASE-1811</v>
      </c>
      <c r="B1812" s="1">
        <v>45546</v>
      </c>
      <c r="C1812" t="s">
        <v>11</v>
      </c>
      <c r="D1812">
        <v>3</v>
      </c>
      <c r="E1812" t="b">
        <v>0</v>
      </c>
      <c r="F1812" s="2">
        <v>33.44373523770782</v>
      </c>
      <c r="G1812" t="b">
        <v>0</v>
      </c>
      <c r="H1812" t="s">
        <v>13</v>
      </c>
      <c r="I1812" t="s">
        <v>33</v>
      </c>
    </row>
    <row r="1813" spans="1:9" x14ac:dyDescent="0.3">
      <c r="A1813" t="str">
        <f t="shared" si="28"/>
        <v>CASE-1812</v>
      </c>
      <c r="B1813" s="1">
        <v>46038</v>
      </c>
      <c r="C1813" t="s">
        <v>9</v>
      </c>
      <c r="D1813">
        <v>3</v>
      </c>
      <c r="E1813" t="b">
        <v>1</v>
      </c>
      <c r="F1813" s="2">
        <v>5.4249093236593877</v>
      </c>
      <c r="G1813" t="b">
        <v>0</v>
      </c>
      <c r="H1813" t="s">
        <v>13</v>
      </c>
      <c r="I1813" t="s">
        <v>34</v>
      </c>
    </row>
    <row r="1814" spans="1:9" x14ac:dyDescent="0.3">
      <c r="A1814" t="str">
        <f t="shared" si="28"/>
        <v>CASE-1813</v>
      </c>
      <c r="B1814" s="1">
        <v>45639</v>
      </c>
      <c r="C1814" t="s">
        <v>12</v>
      </c>
      <c r="D1814">
        <v>1</v>
      </c>
      <c r="E1814" t="b">
        <v>0</v>
      </c>
      <c r="F1814" s="2">
        <v>21.795624944337739</v>
      </c>
      <c r="G1814" t="b">
        <v>0</v>
      </c>
      <c r="H1814" t="s">
        <v>18</v>
      </c>
      <c r="I1814" t="s">
        <v>33</v>
      </c>
    </row>
    <row r="1815" spans="1:9" x14ac:dyDescent="0.3">
      <c r="A1815" t="str">
        <f t="shared" si="28"/>
        <v>CASE-1814</v>
      </c>
      <c r="B1815" s="1">
        <v>46037</v>
      </c>
      <c r="C1815" t="s">
        <v>12</v>
      </c>
      <c r="D1815">
        <v>3</v>
      </c>
      <c r="E1815" t="b">
        <v>1</v>
      </c>
      <c r="F1815" s="2">
        <v>7.2784953746953143</v>
      </c>
      <c r="G1815" t="b">
        <v>0</v>
      </c>
      <c r="H1815" t="s">
        <v>24</v>
      </c>
      <c r="I1815" t="s">
        <v>34</v>
      </c>
    </row>
    <row r="1816" spans="1:9" x14ac:dyDescent="0.3">
      <c r="A1816" t="str">
        <f t="shared" si="28"/>
        <v>CASE-1815</v>
      </c>
      <c r="B1816" s="1">
        <v>45990</v>
      </c>
      <c r="C1816" t="s">
        <v>11</v>
      </c>
      <c r="D1816">
        <v>2</v>
      </c>
      <c r="E1816" t="b">
        <v>1</v>
      </c>
      <c r="F1816" s="2">
        <v>4.9386749300425192</v>
      </c>
      <c r="G1816" t="b">
        <v>0</v>
      </c>
      <c r="H1816" t="s">
        <v>21</v>
      </c>
      <c r="I1816" t="s">
        <v>34</v>
      </c>
    </row>
    <row r="1817" spans="1:9" x14ac:dyDescent="0.3">
      <c r="A1817" t="str">
        <f t="shared" si="28"/>
        <v>CASE-1816</v>
      </c>
      <c r="B1817" s="1">
        <v>45688</v>
      </c>
      <c r="C1817" t="s">
        <v>12</v>
      </c>
      <c r="D1817">
        <v>1</v>
      </c>
      <c r="E1817" t="b">
        <v>1</v>
      </c>
      <c r="F1817" s="2">
        <v>7.8476629963126925</v>
      </c>
      <c r="G1817" t="b">
        <v>0</v>
      </c>
      <c r="H1817" t="s">
        <v>28</v>
      </c>
      <c r="I1817" t="s">
        <v>34</v>
      </c>
    </row>
    <row r="1818" spans="1:9" x14ac:dyDescent="0.3">
      <c r="A1818" t="str">
        <f t="shared" si="28"/>
        <v>CASE-1817</v>
      </c>
      <c r="B1818" s="1">
        <v>45852</v>
      </c>
      <c r="C1818" t="s">
        <v>10</v>
      </c>
      <c r="D1818">
        <v>4</v>
      </c>
      <c r="E1818" t="b">
        <v>1</v>
      </c>
      <c r="F1818" s="2">
        <v>5.6878145239163267</v>
      </c>
      <c r="G1818" t="b">
        <v>0</v>
      </c>
      <c r="H1818" t="s">
        <v>32</v>
      </c>
      <c r="I1818" t="s">
        <v>34</v>
      </c>
    </row>
    <row r="1819" spans="1:9" x14ac:dyDescent="0.3">
      <c r="A1819" t="str">
        <f t="shared" si="28"/>
        <v>CASE-1818</v>
      </c>
      <c r="B1819" s="1">
        <v>45947</v>
      </c>
      <c r="C1819" t="s">
        <v>12</v>
      </c>
      <c r="D1819">
        <v>2</v>
      </c>
      <c r="E1819" t="b">
        <v>0</v>
      </c>
      <c r="F1819" s="2">
        <v>14.578401745990195</v>
      </c>
      <c r="G1819" t="b">
        <v>0</v>
      </c>
      <c r="H1819" t="s">
        <v>22</v>
      </c>
      <c r="I1819" t="s">
        <v>33</v>
      </c>
    </row>
    <row r="1820" spans="1:9" x14ac:dyDescent="0.3">
      <c r="A1820" t="str">
        <f t="shared" si="28"/>
        <v>CASE-1819</v>
      </c>
      <c r="B1820" s="1">
        <v>46039</v>
      </c>
      <c r="C1820" t="s">
        <v>12</v>
      </c>
      <c r="D1820">
        <v>3</v>
      </c>
      <c r="E1820" t="b">
        <v>1</v>
      </c>
      <c r="F1820" s="2">
        <v>4.8552030654079008</v>
      </c>
      <c r="G1820" t="b">
        <v>0</v>
      </c>
      <c r="H1820" t="s">
        <v>18</v>
      </c>
      <c r="I1820" t="s">
        <v>34</v>
      </c>
    </row>
    <row r="1821" spans="1:9" x14ac:dyDescent="0.3">
      <c r="A1821" t="str">
        <f t="shared" si="28"/>
        <v>CASE-1820</v>
      </c>
      <c r="B1821" s="1">
        <v>46139</v>
      </c>
      <c r="C1821" t="s">
        <v>10</v>
      </c>
      <c r="D1821">
        <v>3</v>
      </c>
      <c r="E1821" t="b">
        <v>0</v>
      </c>
      <c r="F1821" s="2">
        <v>9.3554762104954534</v>
      </c>
      <c r="G1821" t="b">
        <v>0</v>
      </c>
      <c r="H1821" t="s">
        <v>29</v>
      </c>
      <c r="I1821" t="s">
        <v>34</v>
      </c>
    </row>
    <row r="1822" spans="1:9" x14ac:dyDescent="0.3">
      <c r="A1822" t="str">
        <f t="shared" si="28"/>
        <v>CASE-1821</v>
      </c>
      <c r="B1822" s="1">
        <v>45480</v>
      </c>
      <c r="C1822" t="s">
        <v>10</v>
      </c>
      <c r="D1822">
        <v>1</v>
      </c>
      <c r="E1822" t="b">
        <v>0</v>
      </c>
      <c r="F1822" s="2">
        <v>39.302536089897231</v>
      </c>
      <c r="G1822" t="b">
        <v>0</v>
      </c>
      <c r="H1822" t="s">
        <v>30</v>
      </c>
      <c r="I1822" t="s">
        <v>33</v>
      </c>
    </row>
    <row r="1823" spans="1:9" x14ac:dyDescent="0.3">
      <c r="A1823" t="str">
        <f t="shared" si="28"/>
        <v>CASE-1822</v>
      </c>
      <c r="B1823" s="1">
        <v>45558</v>
      </c>
      <c r="C1823" t="s">
        <v>10</v>
      </c>
      <c r="D1823">
        <v>4</v>
      </c>
      <c r="E1823" t="b">
        <v>0</v>
      </c>
      <c r="F1823" s="2">
        <v>25.000170010279021</v>
      </c>
      <c r="G1823" t="b">
        <v>0</v>
      </c>
      <c r="H1823" t="s">
        <v>29</v>
      </c>
      <c r="I1823" t="s">
        <v>33</v>
      </c>
    </row>
    <row r="1824" spans="1:9" x14ac:dyDescent="0.3">
      <c r="A1824" t="str">
        <f t="shared" si="28"/>
        <v>CASE-1823</v>
      </c>
      <c r="B1824" s="1">
        <v>45579</v>
      </c>
      <c r="C1824" t="s">
        <v>10</v>
      </c>
      <c r="D1824">
        <v>3</v>
      </c>
      <c r="E1824" t="b">
        <v>0</v>
      </c>
      <c r="F1824" s="2">
        <v>27.023968183899058</v>
      </c>
      <c r="G1824" t="b">
        <v>0</v>
      </c>
      <c r="H1824" t="s">
        <v>25</v>
      </c>
      <c r="I1824" t="s">
        <v>33</v>
      </c>
    </row>
    <row r="1825" spans="1:9" x14ac:dyDescent="0.3">
      <c r="A1825" t="str">
        <f t="shared" si="28"/>
        <v>CASE-1824</v>
      </c>
      <c r="B1825" s="1">
        <v>45724</v>
      </c>
      <c r="C1825" t="s">
        <v>11</v>
      </c>
      <c r="D1825">
        <v>4</v>
      </c>
      <c r="E1825" t="b">
        <v>1</v>
      </c>
      <c r="F1825" s="2">
        <v>3.1361497943537326</v>
      </c>
      <c r="G1825" t="b">
        <v>0</v>
      </c>
      <c r="H1825" t="s">
        <v>17</v>
      </c>
      <c r="I1825" t="s">
        <v>34</v>
      </c>
    </row>
    <row r="1826" spans="1:9" x14ac:dyDescent="0.3">
      <c r="A1826" t="str">
        <f t="shared" si="28"/>
        <v>CASE-1825</v>
      </c>
      <c r="B1826" s="1">
        <v>45871</v>
      </c>
      <c r="C1826" t="s">
        <v>9</v>
      </c>
      <c r="D1826">
        <v>1</v>
      </c>
      <c r="E1826" t="b">
        <v>1</v>
      </c>
      <c r="F1826" s="2">
        <v>3.3457237051677784</v>
      </c>
      <c r="G1826" t="b">
        <v>0</v>
      </c>
      <c r="H1826" t="s">
        <v>25</v>
      </c>
      <c r="I1826" t="s">
        <v>34</v>
      </c>
    </row>
    <row r="1827" spans="1:9" x14ac:dyDescent="0.3">
      <c r="A1827" t="str">
        <f t="shared" si="28"/>
        <v>CASE-1826</v>
      </c>
      <c r="B1827" s="1">
        <v>45912</v>
      </c>
      <c r="C1827" t="s">
        <v>11</v>
      </c>
      <c r="D1827">
        <v>1</v>
      </c>
      <c r="E1827" t="b">
        <v>1</v>
      </c>
      <c r="F1827" s="2">
        <v>2.5521330009700125</v>
      </c>
      <c r="G1827" t="b">
        <v>0</v>
      </c>
      <c r="H1827" t="s">
        <v>27</v>
      </c>
      <c r="I1827" t="s">
        <v>34</v>
      </c>
    </row>
    <row r="1828" spans="1:9" x14ac:dyDescent="0.3">
      <c r="A1828" t="str">
        <f t="shared" si="28"/>
        <v>CASE-1827</v>
      </c>
      <c r="B1828" s="1">
        <v>45969</v>
      </c>
      <c r="C1828" t="s">
        <v>11</v>
      </c>
      <c r="D1828">
        <v>4</v>
      </c>
      <c r="E1828" t="b">
        <v>1</v>
      </c>
      <c r="F1828" s="2">
        <v>10.693018756204927</v>
      </c>
      <c r="G1828" t="b">
        <v>0</v>
      </c>
      <c r="H1828" t="s">
        <v>28</v>
      </c>
      <c r="I1828" t="s">
        <v>34</v>
      </c>
    </row>
    <row r="1829" spans="1:9" x14ac:dyDescent="0.3">
      <c r="A1829" t="str">
        <f t="shared" si="28"/>
        <v>CASE-1828</v>
      </c>
      <c r="B1829" s="1">
        <v>45628</v>
      </c>
      <c r="C1829" t="s">
        <v>9</v>
      </c>
      <c r="D1829">
        <v>4</v>
      </c>
      <c r="E1829" t="b">
        <v>0</v>
      </c>
      <c r="F1829" s="2">
        <v>31.651204242204031</v>
      </c>
      <c r="G1829" t="b">
        <v>0</v>
      </c>
      <c r="H1829" t="s">
        <v>21</v>
      </c>
      <c r="I1829" t="s">
        <v>33</v>
      </c>
    </row>
    <row r="1830" spans="1:9" x14ac:dyDescent="0.3">
      <c r="A1830" t="str">
        <f t="shared" si="28"/>
        <v>CASE-1829</v>
      </c>
      <c r="B1830" s="1">
        <v>45728</v>
      </c>
      <c r="C1830" t="s">
        <v>10</v>
      </c>
      <c r="D1830">
        <v>1</v>
      </c>
      <c r="E1830" t="b">
        <v>1</v>
      </c>
      <c r="F1830" s="2">
        <v>23.691308186112359</v>
      </c>
      <c r="G1830" t="b">
        <v>0</v>
      </c>
      <c r="H1830" t="s">
        <v>24</v>
      </c>
      <c r="I1830" t="s">
        <v>33</v>
      </c>
    </row>
    <row r="1831" spans="1:9" x14ac:dyDescent="0.3">
      <c r="A1831" t="str">
        <f t="shared" si="28"/>
        <v>CASE-1830</v>
      </c>
      <c r="B1831" s="1">
        <v>45840</v>
      </c>
      <c r="C1831" t="s">
        <v>11</v>
      </c>
      <c r="D1831">
        <v>5</v>
      </c>
      <c r="E1831" t="b">
        <v>1</v>
      </c>
      <c r="F1831" s="2">
        <v>28.182860044643256</v>
      </c>
      <c r="G1831" t="b">
        <v>0</v>
      </c>
      <c r="H1831" t="s">
        <v>32</v>
      </c>
      <c r="I1831" t="s">
        <v>33</v>
      </c>
    </row>
    <row r="1832" spans="1:9" x14ac:dyDescent="0.3">
      <c r="A1832" t="str">
        <f t="shared" si="28"/>
        <v>CASE-1831</v>
      </c>
      <c r="B1832" s="1">
        <v>46121</v>
      </c>
      <c r="C1832" t="s">
        <v>12</v>
      </c>
      <c r="D1832">
        <v>2</v>
      </c>
      <c r="E1832" t="b">
        <v>0</v>
      </c>
      <c r="F1832" s="2">
        <v>6.2781450327800865</v>
      </c>
      <c r="G1832" t="b">
        <v>0</v>
      </c>
      <c r="H1832" t="s">
        <v>15</v>
      </c>
      <c r="I1832" t="s">
        <v>34</v>
      </c>
    </row>
    <row r="1833" spans="1:9" x14ac:dyDescent="0.3">
      <c r="A1833" t="str">
        <f t="shared" si="28"/>
        <v>CASE-1832</v>
      </c>
      <c r="B1833" s="1">
        <v>45525</v>
      </c>
      <c r="C1833" t="s">
        <v>10</v>
      </c>
      <c r="D1833">
        <v>3</v>
      </c>
      <c r="E1833" t="b">
        <v>0</v>
      </c>
      <c r="F1833" s="2">
        <v>14.162807844480966</v>
      </c>
      <c r="G1833" t="b">
        <v>0</v>
      </c>
      <c r="H1833" t="s">
        <v>23</v>
      </c>
      <c r="I1833" t="s">
        <v>33</v>
      </c>
    </row>
    <row r="1834" spans="1:9" x14ac:dyDescent="0.3">
      <c r="A1834" t="str">
        <f t="shared" si="28"/>
        <v>CASE-1833</v>
      </c>
      <c r="B1834" s="1">
        <v>45650</v>
      </c>
      <c r="C1834" t="s">
        <v>11</v>
      </c>
      <c r="D1834">
        <v>3</v>
      </c>
      <c r="E1834" t="b">
        <v>0</v>
      </c>
      <c r="F1834" s="2">
        <v>8.6941909238031023</v>
      </c>
      <c r="G1834" t="b">
        <v>0</v>
      </c>
      <c r="H1834" t="s">
        <v>24</v>
      </c>
      <c r="I1834" t="s">
        <v>33</v>
      </c>
    </row>
    <row r="1835" spans="1:9" x14ac:dyDescent="0.3">
      <c r="A1835" t="str">
        <f t="shared" si="28"/>
        <v>CASE-1834</v>
      </c>
      <c r="B1835" s="1">
        <v>45841</v>
      </c>
      <c r="C1835" t="s">
        <v>12</v>
      </c>
      <c r="D1835">
        <v>4</v>
      </c>
      <c r="E1835" t="b">
        <v>1</v>
      </c>
      <c r="F1835" s="2">
        <v>1.1192273846699212</v>
      </c>
      <c r="G1835" t="b">
        <v>0</v>
      </c>
      <c r="H1835" t="s">
        <v>20</v>
      </c>
      <c r="I1835" t="s">
        <v>35</v>
      </c>
    </row>
    <row r="1836" spans="1:9" x14ac:dyDescent="0.3">
      <c r="A1836" t="str">
        <f t="shared" si="28"/>
        <v>CASE-1835</v>
      </c>
      <c r="B1836" s="1">
        <v>45512</v>
      </c>
      <c r="C1836" t="s">
        <v>12</v>
      </c>
      <c r="D1836">
        <v>5</v>
      </c>
      <c r="E1836" t="b">
        <v>0</v>
      </c>
      <c r="F1836" s="2">
        <v>27.157737630322984</v>
      </c>
      <c r="G1836" t="b">
        <v>0</v>
      </c>
      <c r="H1836" t="s">
        <v>28</v>
      </c>
      <c r="I1836" t="s">
        <v>33</v>
      </c>
    </row>
    <row r="1837" spans="1:9" x14ac:dyDescent="0.3">
      <c r="A1837" t="str">
        <f t="shared" si="28"/>
        <v>CASE-1836</v>
      </c>
      <c r="B1837" s="1">
        <v>45556</v>
      </c>
      <c r="C1837" t="s">
        <v>9</v>
      </c>
      <c r="D1837">
        <v>3</v>
      </c>
      <c r="E1837" t="b">
        <v>0</v>
      </c>
      <c r="F1837" s="2">
        <v>28.239676963797649</v>
      </c>
      <c r="G1837" t="b">
        <v>0</v>
      </c>
      <c r="H1837" t="s">
        <v>21</v>
      </c>
      <c r="I1837" t="s">
        <v>33</v>
      </c>
    </row>
    <row r="1838" spans="1:9" x14ac:dyDescent="0.3">
      <c r="A1838" t="str">
        <f t="shared" si="28"/>
        <v>CASE-1837</v>
      </c>
      <c r="B1838" s="1">
        <v>45844</v>
      </c>
      <c r="C1838" t="s">
        <v>9</v>
      </c>
      <c r="D1838">
        <v>3</v>
      </c>
      <c r="E1838" t="b">
        <v>1</v>
      </c>
      <c r="F1838" s="2">
        <v>22.065992460378489</v>
      </c>
      <c r="G1838" t="b">
        <v>0</v>
      </c>
      <c r="H1838" t="s">
        <v>29</v>
      </c>
      <c r="I1838" t="s">
        <v>33</v>
      </c>
    </row>
    <row r="1839" spans="1:9" x14ac:dyDescent="0.3">
      <c r="A1839" t="str">
        <f t="shared" si="28"/>
        <v>CASE-1838</v>
      </c>
      <c r="B1839" s="1">
        <v>46050</v>
      </c>
      <c r="C1839" t="s">
        <v>11</v>
      </c>
      <c r="D1839">
        <v>3</v>
      </c>
      <c r="E1839" t="b">
        <v>1</v>
      </c>
      <c r="F1839" s="2">
        <v>6.3162463297974121</v>
      </c>
      <c r="G1839" t="b">
        <v>0</v>
      </c>
      <c r="H1839" t="s">
        <v>23</v>
      </c>
      <c r="I1839" t="s">
        <v>34</v>
      </c>
    </row>
    <row r="1840" spans="1:9" x14ac:dyDescent="0.3">
      <c r="A1840" t="str">
        <f t="shared" si="28"/>
        <v>CASE-1839</v>
      </c>
      <c r="B1840" s="1">
        <v>45496</v>
      </c>
      <c r="C1840" t="s">
        <v>12</v>
      </c>
      <c r="D1840">
        <v>5</v>
      </c>
      <c r="E1840" t="b">
        <v>0</v>
      </c>
      <c r="F1840" s="2">
        <v>-1.3524809614280713</v>
      </c>
      <c r="G1840" t="b">
        <v>0</v>
      </c>
      <c r="H1840" t="s">
        <v>15</v>
      </c>
      <c r="I1840" t="s">
        <v>33</v>
      </c>
    </row>
    <row r="1841" spans="1:9" x14ac:dyDescent="0.3">
      <c r="A1841" t="str">
        <f t="shared" si="28"/>
        <v>CASE-1840</v>
      </c>
      <c r="B1841" s="1">
        <v>45717</v>
      </c>
      <c r="C1841" t="s">
        <v>9</v>
      </c>
      <c r="D1841">
        <v>4</v>
      </c>
      <c r="E1841" t="b">
        <v>0</v>
      </c>
      <c r="F1841" s="2">
        <v>4.4602140197323052</v>
      </c>
      <c r="G1841" t="b">
        <v>0</v>
      </c>
      <c r="H1841" t="s">
        <v>29</v>
      </c>
      <c r="I1841" t="s">
        <v>34</v>
      </c>
    </row>
    <row r="1842" spans="1:9" x14ac:dyDescent="0.3">
      <c r="A1842" t="str">
        <f t="shared" si="28"/>
        <v>CASE-1841</v>
      </c>
      <c r="B1842" s="1">
        <v>46013</v>
      </c>
      <c r="C1842" t="s">
        <v>10</v>
      </c>
      <c r="D1842">
        <v>2</v>
      </c>
      <c r="E1842" t="b">
        <v>1</v>
      </c>
      <c r="F1842" s="2">
        <v>0.31990968797756558</v>
      </c>
      <c r="G1842" t="b">
        <v>0</v>
      </c>
      <c r="H1842" t="s">
        <v>23</v>
      </c>
      <c r="I1842" t="s">
        <v>35</v>
      </c>
    </row>
    <row r="1843" spans="1:9" x14ac:dyDescent="0.3">
      <c r="A1843" t="str">
        <f t="shared" si="28"/>
        <v>CASE-1842</v>
      </c>
      <c r="B1843" s="1">
        <v>45768</v>
      </c>
      <c r="C1843" t="s">
        <v>12</v>
      </c>
      <c r="D1843">
        <v>2</v>
      </c>
      <c r="E1843" t="b">
        <v>1</v>
      </c>
      <c r="F1843" s="2">
        <v>7.5462990414807525</v>
      </c>
      <c r="G1843" t="b">
        <v>0</v>
      </c>
      <c r="H1843" t="s">
        <v>13</v>
      </c>
      <c r="I1843" t="s">
        <v>34</v>
      </c>
    </row>
    <row r="1844" spans="1:9" x14ac:dyDescent="0.3">
      <c r="A1844" t="str">
        <f t="shared" si="28"/>
        <v>CASE-1843</v>
      </c>
      <c r="B1844" s="1">
        <v>45500</v>
      </c>
      <c r="C1844" t="s">
        <v>10</v>
      </c>
      <c r="D1844">
        <v>4</v>
      </c>
      <c r="E1844" t="b">
        <v>0</v>
      </c>
      <c r="F1844" s="2">
        <v>37.929330222752611</v>
      </c>
      <c r="G1844" t="b">
        <v>0</v>
      </c>
      <c r="H1844" t="s">
        <v>30</v>
      </c>
      <c r="I1844" t="s">
        <v>33</v>
      </c>
    </row>
    <row r="1845" spans="1:9" x14ac:dyDescent="0.3">
      <c r="A1845" t="str">
        <f t="shared" si="28"/>
        <v>CASE-1844</v>
      </c>
      <c r="B1845" s="1">
        <v>45681</v>
      </c>
      <c r="C1845" t="s">
        <v>10</v>
      </c>
      <c r="D1845">
        <v>1</v>
      </c>
      <c r="E1845" t="b">
        <v>1</v>
      </c>
      <c r="F1845" s="2">
        <v>5.6044924372238052</v>
      </c>
      <c r="G1845" t="b">
        <v>0</v>
      </c>
      <c r="H1845" t="s">
        <v>29</v>
      </c>
      <c r="I1845" t="s">
        <v>34</v>
      </c>
    </row>
    <row r="1846" spans="1:9" x14ac:dyDescent="0.3">
      <c r="A1846" t="str">
        <f t="shared" si="28"/>
        <v>CASE-1845</v>
      </c>
      <c r="B1846" s="1">
        <v>45883</v>
      </c>
      <c r="C1846" t="s">
        <v>12</v>
      </c>
      <c r="D1846">
        <v>2</v>
      </c>
      <c r="E1846" t="b">
        <v>1</v>
      </c>
      <c r="F1846" s="2">
        <v>8.4575624546144681</v>
      </c>
      <c r="G1846" t="b">
        <v>0</v>
      </c>
      <c r="H1846" t="s">
        <v>24</v>
      </c>
      <c r="I1846" t="s">
        <v>34</v>
      </c>
    </row>
    <row r="1847" spans="1:9" x14ac:dyDescent="0.3">
      <c r="A1847" t="str">
        <f t="shared" si="28"/>
        <v>CASE-1846</v>
      </c>
      <c r="B1847" s="1">
        <v>45571</v>
      </c>
      <c r="C1847" t="s">
        <v>12</v>
      </c>
      <c r="D1847">
        <v>1</v>
      </c>
      <c r="E1847" t="b">
        <v>0</v>
      </c>
      <c r="F1847" s="2">
        <v>20.348560648963982</v>
      </c>
      <c r="G1847" t="b">
        <v>0</v>
      </c>
      <c r="H1847" t="s">
        <v>23</v>
      </c>
      <c r="I1847" t="s">
        <v>33</v>
      </c>
    </row>
    <row r="1848" spans="1:9" x14ac:dyDescent="0.3">
      <c r="A1848" t="str">
        <f t="shared" si="28"/>
        <v>CASE-1847</v>
      </c>
      <c r="B1848" s="1">
        <v>45642</v>
      </c>
      <c r="C1848" t="s">
        <v>10</v>
      </c>
      <c r="D1848">
        <v>5</v>
      </c>
      <c r="E1848" t="b">
        <v>0</v>
      </c>
      <c r="F1848" s="2">
        <v>9.5244722064038214</v>
      </c>
      <c r="G1848" t="b">
        <v>1</v>
      </c>
      <c r="H1848" t="s">
        <v>28</v>
      </c>
      <c r="I1848" t="s">
        <v>33</v>
      </c>
    </row>
    <row r="1849" spans="1:9" x14ac:dyDescent="0.3">
      <c r="A1849" t="str">
        <f t="shared" si="28"/>
        <v>CASE-1848</v>
      </c>
      <c r="B1849" s="1">
        <v>46026</v>
      </c>
      <c r="C1849" t="s">
        <v>12</v>
      </c>
      <c r="D1849">
        <v>1</v>
      </c>
      <c r="E1849" t="b">
        <v>1</v>
      </c>
      <c r="F1849" s="2">
        <v>26.977676577934535</v>
      </c>
      <c r="G1849" t="b">
        <v>0</v>
      </c>
      <c r="H1849" t="s">
        <v>17</v>
      </c>
      <c r="I1849" t="s">
        <v>33</v>
      </c>
    </row>
    <row r="1850" spans="1:9" x14ac:dyDescent="0.3">
      <c r="A1850" t="str">
        <f t="shared" si="28"/>
        <v>CASE-1849</v>
      </c>
      <c r="B1850" s="1">
        <v>45542</v>
      </c>
      <c r="C1850" t="s">
        <v>12</v>
      </c>
      <c r="D1850">
        <v>1</v>
      </c>
      <c r="E1850" t="b">
        <v>0</v>
      </c>
      <c r="F1850" s="2">
        <v>24.163864106884937</v>
      </c>
      <c r="G1850" t="b">
        <v>0</v>
      </c>
      <c r="H1850" t="s">
        <v>27</v>
      </c>
      <c r="I1850" t="s">
        <v>33</v>
      </c>
    </row>
    <row r="1851" spans="1:9" x14ac:dyDescent="0.3">
      <c r="A1851" t="str">
        <f t="shared" si="28"/>
        <v>CASE-1850</v>
      </c>
      <c r="B1851" s="1">
        <v>45772</v>
      </c>
      <c r="C1851" t="s">
        <v>10</v>
      </c>
      <c r="D1851">
        <v>2</v>
      </c>
      <c r="E1851" t="b">
        <v>1</v>
      </c>
      <c r="F1851" s="2">
        <v>3.6604138296993023</v>
      </c>
      <c r="G1851" t="b">
        <v>0</v>
      </c>
      <c r="H1851" t="s">
        <v>29</v>
      </c>
      <c r="I1851" t="s">
        <v>34</v>
      </c>
    </row>
    <row r="1852" spans="1:9" x14ac:dyDescent="0.3">
      <c r="A1852" t="str">
        <f t="shared" si="28"/>
        <v>CASE-1851</v>
      </c>
      <c r="B1852" s="1">
        <v>45522</v>
      </c>
      <c r="C1852" t="s">
        <v>12</v>
      </c>
      <c r="D1852">
        <v>3</v>
      </c>
      <c r="E1852" t="b">
        <v>0</v>
      </c>
      <c r="F1852" s="2">
        <v>17.870400814523528</v>
      </c>
      <c r="G1852" t="b">
        <v>0</v>
      </c>
      <c r="H1852" t="s">
        <v>17</v>
      </c>
      <c r="I1852" t="s">
        <v>33</v>
      </c>
    </row>
    <row r="1853" spans="1:9" x14ac:dyDescent="0.3">
      <c r="A1853" t="str">
        <f t="shared" si="28"/>
        <v>CASE-1852</v>
      </c>
      <c r="B1853" s="1">
        <v>45514</v>
      </c>
      <c r="C1853" t="s">
        <v>12</v>
      </c>
      <c r="D1853">
        <v>4</v>
      </c>
      <c r="E1853" t="b">
        <v>0</v>
      </c>
      <c r="F1853" s="2">
        <v>29.648142498892067</v>
      </c>
      <c r="G1853" t="b">
        <v>0</v>
      </c>
      <c r="H1853" t="s">
        <v>28</v>
      </c>
      <c r="I1853" t="s">
        <v>33</v>
      </c>
    </row>
    <row r="1854" spans="1:9" x14ac:dyDescent="0.3">
      <c r="A1854" t="str">
        <f t="shared" si="28"/>
        <v>CASE-1853</v>
      </c>
      <c r="B1854" s="1">
        <v>45489</v>
      </c>
      <c r="C1854" t="s">
        <v>9</v>
      </c>
      <c r="D1854">
        <v>3</v>
      </c>
      <c r="E1854" t="b">
        <v>0</v>
      </c>
      <c r="F1854" s="2">
        <v>20.865121825519591</v>
      </c>
      <c r="G1854" t="b">
        <v>1</v>
      </c>
      <c r="H1854" t="s">
        <v>27</v>
      </c>
      <c r="I1854" t="s">
        <v>33</v>
      </c>
    </row>
    <row r="1855" spans="1:9" x14ac:dyDescent="0.3">
      <c r="A1855" t="str">
        <f t="shared" si="28"/>
        <v>CASE-1854</v>
      </c>
      <c r="B1855" s="1">
        <v>45687</v>
      </c>
      <c r="C1855" t="s">
        <v>12</v>
      </c>
      <c r="D1855">
        <v>3</v>
      </c>
      <c r="E1855" t="b">
        <v>1</v>
      </c>
      <c r="F1855" s="2">
        <v>3.6055011987371719</v>
      </c>
      <c r="G1855" t="b">
        <v>0</v>
      </c>
      <c r="H1855" t="s">
        <v>32</v>
      </c>
      <c r="I1855" t="s">
        <v>34</v>
      </c>
    </row>
    <row r="1856" spans="1:9" x14ac:dyDescent="0.3">
      <c r="A1856" t="str">
        <f t="shared" si="28"/>
        <v>CASE-1855</v>
      </c>
      <c r="B1856" s="1">
        <v>45475</v>
      </c>
      <c r="C1856" t="s">
        <v>9</v>
      </c>
      <c r="D1856">
        <v>4</v>
      </c>
      <c r="E1856" t="b">
        <v>0</v>
      </c>
      <c r="F1856" s="2">
        <v>23.281660739395058</v>
      </c>
      <c r="G1856" t="b">
        <v>0</v>
      </c>
      <c r="H1856" t="s">
        <v>16</v>
      </c>
      <c r="I1856" t="s">
        <v>33</v>
      </c>
    </row>
    <row r="1857" spans="1:9" x14ac:dyDescent="0.3">
      <c r="A1857" t="str">
        <f t="shared" si="28"/>
        <v>CASE-1856</v>
      </c>
      <c r="B1857" s="1">
        <v>45667</v>
      </c>
      <c r="C1857" t="s">
        <v>12</v>
      </c>
      <c r="D1857">
        <v>3</v>
      </c>
      <c r="E1857" t="b">
        <v>1</v>
      </c>
      <c r="F1857" s="2">
        <v>9.2761286803822678</v>
      </c>
      <c r="G1857" t="b">
        <v>0</v>
      </c>
      <c r="H1857" t="s">
        <v>18</v>
      </c>
      <c r="I1857" t="s">
        <v>34</v>
      </c>
    </row>
    <row r="1858" spans="1:9" x14ac:dyDescent="0.3">
      <c r="A1858" t="str">
        <f t="shared" si="28"/>
        <v>CASE-1857</v>
      </c>
      <c r="B1858" s="1">
        <v>45554</v>
      </c>
      <c r="C1858" t="s">
        <v>10</v>
      </c>
      <c r="D1858">
        <v>1</v>
      </c>
      <c r="E1858" t="b">
        <v>0</v>
      </c>
      <c r="F1858" s="2">
        <v>10.745584532484322</v>
      </c>
      <c r="G1858" t="b">
        <v>0</v>
      </c>
      <c r="H1858" t="s">
        <v>26</v>
      </c>
      <c r="I1858" t="s">
        <v>33</v>
      </c>
    </row>
    <row r="1859" spans="1:9" x14ac:dyDescent="0.3">
      <c r="A1859" t="str">
        <f t="shared" ref="A1859:A1922" si="29">"CASE-"&amp;TEXT(ROW()-1,"0000")</f>
        <v>CASE-1858</v>
      </c>
      <c r="B1859" s="1">
        <v>46019</v>
      </c>
      <c r="C1859" t="s">
        <v>12</v>
      </c>
      <c r="D1859">
        <v>5</v>
      </c>
      <c r="E1859" t="b">
        <v>0</v>
      </c>
      <c r="F1859" s="2">
        <v>4.1233538930287388</v>
      </c>
      <c r="G1859" t="b">
        <v>0</v>
      </c>
      <c r="H1859" t="s">
        <v>32</v>
      </c>
      <c r="I1859" t="s">
        <v>34</v>
      </c>
    </row>
    <row r="1860" spans="1:9" x14ac:dyDescent="0.3">
      <c r="A1860" t="str">
        <f t="shared" si="29"/>
        <v>CASE-1859</v>
      </c>
      <c r="B1860" s="1">
        <v>45558</v>
      </c>
      <c r="C1860" t="s">
        <v>11</v>
      </c>
      <c r="D1860">
        <v>4</v>
      </c>
      <c r="E1860" t="b">
        <v>0</v>
      </c>
      <c r="F1860" s="2">
        <v>32.416837685809796</v>
      </c>
      <c r="G1860" t="b">
        <v>0</v>
      </c>
      <c r="H1860" t="s">
        <v>17</v>
      </c>
      <c r="I1860" t="s">
        <v>33</v>
      </c>
    </row>
    <row r="1861" spans="1:9" x14ac:dyDescent="0.3">
      <c r="A1861" t="str">
        <f t="shared" si="29"/>
        <v>CASE-1860</v>
      </c>
      <c r="B1861" s="1">
        <v>45922</v>
      </c>
      <c r="C1861" t="s">
        <v>11</v>
      </c>
      <c r="D1861">
        <v>2</v>
      </c>
      <c r="E1861" t="b">
        <v>1</v>
      </c>
      <c r="F1861" s="2">
        <v>9.3863502376580339</v>
      </c>
      <c r="G1861" t="b">
        <v>0</v>
      </c>
      <c r="H1861" t="s">
        <v>32</v>
      </c>
      <c r="I1861" t="s">
        <v>34</v>
      </c>
    </row>
    <row r="1862" spans="1:9" x14ac:dyDescent="0.3">
      <c r="A1862" t="str">
        <f t="shared" si="29"/>
        <v>CASE-1861</v>
      </c>
      <c r="B1862" s="1">
        <v>45646</v>
      </c>
      <c r="C1862" t="s">
        <v>9</v>
      </c>
      <c r="D1862">
        <v>3</v>
      </c>
      <c r="E1862" t="b">
        <v>0</v>
      </c>
      <c r="F1862" s="2">
        <v>33.05753102570673</v>
      </c>
      <c r="G1862" t="b">
        <v>1</v>
      </c>
      <c r="H1862" t="s">
        <v>19</v>
      </c>
      <c r="I1862" t="s">
        <v>33</v>
      </c>
    </row>
    <row r="1863" spans="1:9" x14ac:dyDescent="0.3">
      <c r="A1863" t="str">
        <f t="shared" si="29"/>
        <v>CASE-1862</v>
      </c>
      <c r="B1863" s="1">
        <v>45615</v>
      </c>
      <c r="C1863" t="s">
        <v>12</v>
      </c>
      <c r="D1863">
        <v>1</v>
      </c>
      <c r="E1863" t="b">
        <v>0</v>
      </c>
      <c r="F1863" s="2">
        <v>30.61463458066256</v>
      </c>
      <c r="G1863" t="b">
        <v>0</v>
      </c>
      <c r="H1863" t="s">
        <v>13</v>
      </c>
      <c r="I1863" t="s">
        <v>33</v>
      </c>
    </row>
    <row r="1864" spans="1:9" x14ac:dyDescent="0.3">
      <c r="A1864" t="str">
        <f t="shared" si="29"/>
        <v>CASE-1863</v>
      </c>
      <c r="B1864" s="1">
        <v>45602</v>
      </c>
      <c r="C1864" t="s">
        <v>12</v>
      </c>
      <c r="D1864">
        <v>4</v>
      </c>
      <c r="E1864" t="b">
        <v>0</v>
      </c>
      <c r="F1864" s="2">
        <v>26.806624734217831</v>
      </c>
      <c r="G1864" t="b">
        <v>0</v>
      </c>
      <c r="H1864" t="s">
        <v>27</v>
      </c>
      <c r="I1864" t="s">
        <v>33</v>
      </c>
    </row>
    <row r="1865" spans="1:9" x14ac:dyDescent="0.3">
      <c r="A1865" t="str">
        <f t="shared" si="29"/>
        <v>CASE-1864</v>
      </c>
      <c r="B1865" s="1">
        <v>46170</v>
      </c>
      <c r="C1865" t="s">
        <v>9</v>
      </c>
      <c r="D1865">
        <v>4</v>
      </c>
      <c r="E1865" t="b">
        <v>0</v>
      </c>
      <c r="F1865" s="2">
        <v>5.191654130696862</v>
      </c>
      <c r="G1865" t="b">
        <v>0</v>
      </c>
      <c r="H1865" t="s">
        <v>22</v>
      </c>
      <c r="I1865" t="s">
        <v>34</v>
      </c>
    </row>
    <row r="1866" spans="1:9" x14ac:dyDescent="0.3">
      <c r="A1866" t="str">
        <f t="shared" si="29"/>
        <v>CASE-1865</v>
      </c>
      <c r="B1866" s="1">
        <v>45490</v>
      </c>
      <c r="C1866" t="s">
        <v>12</v>
      </c>
      <c r="D1866">
        <v>2</v>
      </c>
      <c r="E1866" t="b">
        <v>0</v>
      </c>
      <c r="F1866" s="2">
        <v>27.598311566774104</v>
      </c>
      <c r="G1866" t="b">
        <v>0</v>
      </c>
      <c r="H1866" t="s">
        <v>16</v>
      </c>
      <c r="I1866" t="s">
        <v>33</v>
      </c>
    </row>
    <row r="1867" spans="1:9" x14ac:dyDescent="0.3">
      <c r="A1867" t="str">
        <f t="shared" si="29"/>
        <v>CASE-1866</v>
      </c>
      <c r="B1867" s="1">
        <v>45738</v>
      </c>
      <c r="C1867" t="s">
        <v>12</v>
      </c>
      <c r="D1867">
        <v>5</v>
      </c>
      <c r="E1867" t="b">
        <v>0</v>
      </c>
      <c r="F1867" s="2">
        <v>24.970853688314623</v>
      </c>
      <c r="G1867" t="b">
        <v>0</v>
      </c>
      <c r="H1867" t="s">
        <v>13</v>
      </c>
      <c r="I1867" t="s">
        <v>33</v>
      </c>
    </row>
    <row r="1868" spans="1:9" x14ac:dyDescent="0.3">
      <c r="A1868" t="str">
        <f t="shared" si="29"/>
        <v>CASE-1867</v>
      </c>
      <c r="B1868" s="1">
        <v>45512</v>
      </c>
      <c r="C1868" t="s">
        <v>11</v>
      </c>
      <c r="D1868">
        <v>5</v>
      </c>
      <c r="E1868" t="b">
        <v>0</v>
      </c>
      <c r="F1868" s="2">
        <v>17.204113984724803</v>
      </c>
      <c r="G1868" t="b">
        <v>0</v>
      </c>
      <c r="H1868" t="s">
        <v>29</v>
      </c>
      <c r="I1868" t="s">
        <v>33</v>
      </c>
    </row>
    <row r="1869" spans="1:9" x14ac:dyDescent="0.3">
      <c r="A1869" t="str">
        <f t="shared" si="29"/>
        <v>CASE-1868</v>
      </c>
      <c r="B1869" s="1">
        <v>45673</v>
      </c>
      <c r="C1869" t="s">
        <v>12</v>
      </c>
      <c r="D1869">
        <v>5</v>
      </c>
      <c r="E1869" t="b">
        <v>1</v>
      </c>
      <c r="F1869" s="2">
        <v>21.530406648275548</v>
      </c>
      <c r="G1869" t="b">
        <v>0</v>
      </c>
      <c r="H1869" t="s">
        <v>30</v>
      </c>
      <c r="I1869" t="s">
        <v>33</v>
      </c>
    </row>
    <row r="1870" spans="1:9" x14ac:dyDescent="0.3">
      <c r="A1870" t="str">
        <f t="shared" si="29"/>
        <v>CASE-1869</v>
      </c>
      <c r="B1870" s="1">
        <v>46013</v>
      </c>
      <c r="C1870" t="s">
        <v>9</v>
      </c>
      <c r="D1870">
        <v>2</v>
      </c>
      <c r="E1870" t="b">
        <v>0</v>
      </c>
      <c r="F1870" s="2">
        <v>7.2454991767967432</v>
      </c>
      <c r="G1870" t="b">
        <v>0</v>
      </c>
      <c r="H1870" t="s">
        <v>17</v>
      </c>
      <c r="I1870" t="s">
        <v>34</v>
      </c>
    </row>
    <row r="1871" spans="1:9" x14ac:dyDescent="0.3">
      <c r="A1871" t="str">
        <f t="shared" si="29"/>
        <v>CASE-1870</v>
      </c>
      <c r="B1871" s="1">
        <v>45582</v>
      </c>
      <c r="C1871" t="s">
        <v>12</v>
      </c>
      <c r="D1871">
        <v>3</v>
      </c>
      <c r="E1871" t="b">
        <v>0</v>
      </c>
      <c r="F1871" s="2">
        <v>15.947744948793702</v>
      </c>
      <c r="G1871" t="b">
        <v>1</v>
      </c>
      <c r="H1871" t="s">
        <v>18</v>
      </c>
      <c r="I1871" t="s">
        <v>33</v>
      </c>
    </row>
    <row r="1872" spans="1:9" x14ac:dyDescent="0.3">
      <c r="A1872" t="str">
        <f t="shared" si="29"/>
        <v>CASE-1871</v>
      </c>
      <c r="B1872" s="1">
        <v>45571</v>
      </c>
      <c r="C1872" t="s">
        <v>11</v>
      </c>
      <c r="D1872">
        <v>3</v>
      </c>
      <c r="E1872" t="b">
        <v>0</v>
      </c>
      <c r="F1872" s="2">
        <v>9.3872765906633635</v>
      </c>
      <c r="G1872" t="b">
        <v>0</v>
      </c>
      <c r="H1872" t="s">
        <v>31</v>
      </c>
      <c r="I1872" t="s">
        <v>33</v>
      </c>
    </row>
    <row r="1873" spans="1:9" x14ac:dyDescent="0.3">
      <c r="A1873" t="str">
        <f t="shared" si="29"/>
        <v>CASE-1872</v>
      </c>
      <c r="B1873" s="1">
        <v>45668</v>
      </c>
      <c r="C1873" t="s">
        <v>12</v>
      </c>
      <c r="D1873">
        <v>2</v>
      </c>
      <c r="E1873" t="b">
        <v>0</v>
      </c>
      <c r="F1873" s="2">
        <v>16.697798457608378</v>
      </c>
      <c r="G1873" t="b">
        <v>0</v>
      </c>
      <c r="H1873" t="s">
        <v>13</v>
      </c>
      <c r="I1873" t="s">
        <v>33</v>
      </c>
    </row>
    <row r="1874" spans="1:9" x14ac:dyDescent="0.3">
      <c r="A1874" t="str">
        <f t="shared" si="29"/>
        <v>CASE-1873</v>
      </c>
      <c r="B1874" s="1">
        <v>45796</v>
      </c>
      <c r="C1874" t="s">
        <v>9</v>
      </c>
      <c r="D1874">
        <v>4</v>
      </c>
      <c r="E1874" t="b">
        <v>1</v>
      </c>
      <c r="F1874" s="2">
        <v>32.996186668149257</v>
      </c>
      <c r="G1874" t="b">
        <v>0</v>
      </c>
      <c r="H1874" t="s">
        <v>18</v>
      </c>
      <c r="I1874" t="s">
        <v>33</v>
      </c>
    </row>
    <row r="1875" spans="1:9" x14ac:dyDescent="0.3">
      <c r="A1875" t="str">
        <f t="shared" si="29"/>
        <v>CASE-1874</v>
      </c>
      <c r="B1875" s="1">
        <v>45940</v>
      </c>
      <c r="C1875" t="s">
        <v>12</v>
      </c>
      <c r="D1875">
        <v>2</v>
      </c>
      <c r="E1875" t="b">
        <v>1</v>
      </c>
      <c r="F1875" s="2">
        <v>6.8996725373469747</v>
      </c>
      <c r="G1875" t="b">
        <v>0</v>
      </c>
      <c r="H1875" t="s">
        <v>31</v>
      </c>
      <c r="I1875" t="s">
        <v>34</v>
      </c>
    </row>
    <row r="1876" spans="1:9" x14ac:dyDescent="0.3">
      <c r="A1876" t="str">
        <f t="shared" si="29"/>
        <v>CASE-1875</v>
      </c>
      <c r="B1876" s="1">
        <v>46090</v>
      </c>
      <c r="C1876" t="s">
        <v>11</v>
      </c>
      <c r="D1876">
        <v>4</v>
      </c>
      <c r="E1876" t="b">
        <v>1</v>
      </c>
      <c r="F1876" s="2">
        <v>5.9062306202546679</v>
      </c>
      <c r="G1876" t="b">
        <v>0</v>
      </c>
      <c r="H1876" t="s">
        <v>31</v>
      </c>
      <c r="I1876" t="s">
        <v>34</v>
      </c>
    </row>
    <row r="1877" spans="1:9" x14ac:dyDescent="0.3">
      <c r="A1877" t="str">
        <f t="shared" si="29"/>
        <v>CASE-1876</v>
      </c>
      <c r="B1877" s="1">
        <v>46193</v>
      </c>
      <c r="C1877" t="s">
        <v>12</v>
      </c>
      <c r="D1877">
        <v>5</v>
      </c>
      <c r="E1877" t="b">
        <v>1</v>
      </c>
      <c r="F1877" s="2">
        <v>29.172710570442611</v>
      </c>
      <c r="G1877" t="b">
        <v>0</v>
      </c>
      <c r="H1877" t="s">
        <v>14</v>
      </c>
      <c r="I1877" t="s">
        <v>33</v>
      </c>
    </row>
    <row r="1878" spans="1:9" x14ac:dyDescent="0.3">
      <c r="A1878" t="str">
        <f t="shared" si="29"/>
        <v>CASE-1877</v>
      </c>
      <c r="B1878" s="1">
        <v>45515</v>
      </c>
      <c r="C1878" t="s">
        <v>10</v>
      </c>
      <c r="D1878">
        <v>4</v>
      </c>
      <c r="E1878" t="b">
        <v>0</v>
      </c>
      <c r="F1878" s="2">
        <v>28.276392489915768</v>
      </c>
      <c r="G1878" t="b">
        <v>0</v>
      </c>
      <c r="H1878" t="s">
        <v>18</v>
      </c>
      <c r="I1878" t="s">
        <v>33</v>
      </c>
    </row>
    <row r="1879" spans="1:9" x14ac:dyDescent="0.3">
      <c r="A1879" t="str">
        <f t="shared" si="29"/>
        <v>CASE-1878</v>
      </c>
      <c r="B1879" s="1">
        <v>46040</v>
      </c>
      <c r="C1879" t="s">
        <v>12</v>
      </c>
      <c r="D1879">
        <v>1</v>
      </c>
      <c r="E1879" t="b">
        <v>0</v>
      </c>
      <c r="F1879" s="2">
        <v>3.9412332170670203</v>
      </c>
      <c r="G1879" t="b">
        <v>0</v>
      </c>
      <c r="H1879" t="s">
        <v>24</v>
      </c>
      <c r="I1879" t="s">
        <v>34</v>
      </c>
    </row>
    <row r="1880" spans="1:9" x14ac:dyDescent="0.3">
      <c r="A1880" t="str">
        <f t="shared" si="29"/>
        <v>CASE-1879</v>
      </c>
      <c r="B1880" s="1">
        <v>46021</v>
      </c>
      <c r="C1880" t="s">
        <v>10</v>
      </c>
      <c r="D1880">
        <v>2</v>
      </c>
      <c r="E1880" t="b">
        <v>1</v>
      </c>
      <c r="F1880" s="2">
        <v>6.8895362568932699</v>
      </c>
      <c r="G1880" t="b">
        <v>0</v>
      </c>
      <c r="H1880" t="s">
        <v>24</v>
      </c>
      <c r="I1880" t="s">
        <v>34</v>
      </c>
    </row>
    <row r="1881" spans="1:9" x14ac:dyDescent="0.3">
      <c r="A1881" t="str">
        <f t="shared" si="29"/>
        <v>CASE-1880</v>
      </c>
      <c r="B1881" s="1">
        <v>45717</v>
      </c>
      <c r="C1881" t="s">
        <v>10</v>
      </c>
      <c r="D1881">
        <v>2</v>
      </c>
      <c r="E1881" t="b">
        <v>1</v>
      </c>
      <c r="F1881" s="2">
        <v>5.5000713280995273</v>
      </c>
      <c r="G1881" t="b">
        <v>0</v>
      </c>
      <c r="H1881" t="s">
        <v>24</v>
      </c>
      <c r="I1881" t="s">
        <v>34</v>
      </c>
    </row>
    <row r="1882" spans="1:9" x14ac:dyDescent="0.3">
      <c r="A1882" t="str">
        <f t="shared" si="29"/>
        <v>CASE-1881</v>
      </c>
      <c r="B1882" s="1">
        <v>45609</v>
      </c>
      <c r="C1882" t="s">
        <v>12</v>
      </c>
      <c r="D1882">
        <v>1</v>
      </c>
      <c r="E1882" t="b">
        <v>0</v>
      </c>
      <c r="F1882" s="2">
        <v>0.85310896630459609</v>
      </c>
      <c r="G1882" t="b">
        <v>0</v>
      </c>
      <c r="H1882" t="s">
        <v>13</v>
      </c>
      <c r="I1882" t="s">
        <v>33</v>
      </c>
    </row>
    <row r="1883" spans="1:9" x14ac:dyDescent="0.3">
      <c r="A1883" t="str">
        <f t="shared" si="29"/>
        <v>CASE-1882</v>
      </c>
      <c r="B1883" s="1">
        <v>45697</v>
      </c>
      <c r="C1883" t="s">
        <v>12</v>
      </c>
      <c r="D1883">
        <v>5</v>
      </c>
      <c r="E1883" t="b">
        <v>1</v>
      </c>
      <c r="F1883" s="2">
        <v>3.2705257540672954</v>
      </c>
      <c r="G1883" t="b">
        <v>0</v>
      </c>
      <c r="H1883" t="s">
        <v>23</v>
      </c>
      <c r="I1883" t="s">
        <v>35</v>
      </c>
    </row>
    <row r="1884" spans="1:9" x14ac:dyDescent="0.3">
      <c r="A1884" t="str">
        <f t="shared" si="29"/>
        <v>CASE-1883</v>
      </c>
      <c r="B1884" s="1">
        <v>45786</v>
      </c>
      <c r="C1884" t="s">
        <v>12</v>
      </c>
      <c r="D1884">
        <v>1</v>
      </c>
      <c r="E1884" t="b">
        <v>0</v>
      </c>
      <c r="F1884" s="2">
        <v>5.5683093210575985</v>
      </c>
      <c r="G1884" t="b">
        <v>0</v>
      </c>
      <c r="H1884" t="s">
        <v>27</v>
      </c>
      <c r="I1884" t="s">
        <v>34</v>
      </c>
    </row>
    <row r="1885" spans="1:9" x14ac:dyDescent="0.3">
      <c r="A1885" t="str">
        <f t="shared" si="29"/>
        <v>CASE-1884</v>
      </c>
      <c r="B1885" s="1">
        <v>46087</v>
      </c>
      <c r="C1885" t="s">
        <v>10</v>
      </c>
      <c r="D1885">
        <v>2</v>
      </c>
      <c r="E1885" t="b">
        <v>1</v>
      </c>
      <c r="F1885" s="2">
        <v>5.1326678637333885</v>
      </c>
      <c r="G1885" t="b">
        <v>0</v>
      </c>
      <c r="H1885" t="s">
        <v>32</v>
      </c>
      <c r="I1885" t="s">
        <v>34</v>
      </c>
    </row>
    <row r="1886" spans="1:9" x14ac:dyDescent="0.3">
      <c r="A1886" t="str">
        <f t="shared" si="29"/>
        <v>CASE-1885</v>
      </c>
      <c r="B1886" s="1">
        <v>46089</v>
      </c>
      <c r="C1886" t="s">
        <v>9</v>
      </c>
      <c r="D1886">
        <v>4</v>
      </c>
      <c r="E1886" t="b">
        <v>1</v>
      </c>
      <c r="F1886" s="2">
        <v>4.3090140041879863</v>
      </c>
      <c r="G1886" t="b">
        <v>0</v>
      </c>
      <c r="H1886" t="s">
        <v>19</v>
      </c>
      <c r="I1886" t="s">
        <v>34</v>
      </c>
    </row>
    <row r="1887" spans="1:9" x14ac:dyDescent="0.3">
      <c r="A1887" t="str">
        <f t="shared" si="29"/>
        <v>CASE-1886</v>
      </c>
      <c r="B1887" s="1">
        <v>45814</v>
      </c>
      <c r="C1887" t="s">
        <v>9</v>
      </c>
      <c r="D1887">
        <v>3</v>
      </c>
      <c r="E1887" t="b">
        <v>1</v>
      </c>
      <c r="F1887" s="2">
        <v>2.4845912137059067</v>
      </c>
      <c r="G1887" t="b">
        <v>0</v>
      </c>
      <c r="H1887" t="s">
        <v>22</v>
      </c>
      <c r="I1887" t="s">
        <v>34</v>
      </c>
    </row>
    <row r="1888" spans="1:9" x14ac:dyDescent="0.3">
      <c r="A1888" t="str">
        <f t="shared" si="29"/>
        <v>CASE-1887</v>
      </c>
      <c r="B1888" s="1">
        <v>45770</v>
      </c>
      <c r="C1888" t="s">
        <v>9</v>
      </c>
      <c r="D1888">
        <v>3</v>
      </c>
      <c r="E1888" t="b">
        <v>0</v>
      </c>
      <c r="F1888" s="2">
        <v>5.5281060632487877</v>
      </c>
      <c r="G1888" t="b">
        <v>0</v>
      </c>
      <c r="H1888" t="s">
        <v>19</v>
      </c>
      <c r="I1888" t="s">
        <v>34</v>
      </c>
    </row>
    <row r="1889" spans="1:9" x14ac:dyDescent="0.3">
      <c r="A1889" t="str">
        <f t="shared" si="29"/>
        <v>CASE-1888</v>
      </c>
      <c r="B1889" s="1">
        <v>45537</v>
      </c>
      <c r="C1889" t="s">
        <v>12</v>
      </c>
      <c r="D1889">
        <v>3</v>
      </c>
      <c r="E1889" t="b">
        <v>0</v>
      </c>
      <c r="F1889" s="2">
        <v>21.234684353552947</v>
      </c>
      <c r="G1889" t="b">
        <v>0</v>
      </c>
      <c r="H1889" t="s">
        <v>19</v>
      </c>
      <c r="I1889" t="s">
        <v>33</v>
      </c>
    </row>
    <row r="1890" spans="1:9" x14ac:dyDescent="0.3">
      <c r="A1890" t="str">
        <f t="shared" si="29"/>
        <v>CASE-1889</v>
      </c>
      <c r="B1890" s="1">
        <v>45766</v>
      </c>
      <c r="C1890" t="s">
        <v>11</v>
      </c>
      <c r="D1890">
        <v>2</v>
      </c>
      <c r="E1890" t="b">
        <v>1</v>
      </c>
      <c r="F1890" s="2">
        <v>37.298890989479609</v>
      </c>
      <c r="G1890" t="b">
        <v>0</v>
      </c>
      <c r="H1890" t="s">
        <v>15</v>
      </c>
      <c r="I1890" t="s">
        <v>33</v>
      </c>
    </row>
    <row r="1891" spans="1:9" x14ac:dyDescent="0.3">
      <c r="A1891" t="str">
        <f t="shared" si="29"/>
        <v>CASE-1890</v>
      </c>
      <c r="B1891" s="1">
        <v>46098</v>
      </c>
      <c r="C1891" t="s">
        <v>12</v>
      </c>
      <c r="D1891">
        <v>5</v>
      </c>
      <c r="E1891" t="b">
        <v>1</v>
      </c>
      <c r="F1891" s="2">
        <v>6.1841032663460345</v>
      </c>
      <c r="G1891" t="b">
        <v>0</v>
      </c>
      <c r="H1891" t="s">
        <v>24</v>
      </c>
      <c r="I1891" t="s">
        <v>34</v>
      </c>
    </row>
    <row r="1892" spans="1:9" x14ac:dyDescent="0.3">
      <c r="A1892" t="str">
        <f t="shared" si="29"/>
        <v>CASE-1891</v>
      </c>
      <c r="B1892" s="1">
        <v>46101</v>
      </c>
      <c r="C1892" t="s">
        <v>12</v>
      </c>
      <c r="D1892">
        <v>5</v>
      </c>
      <c r="E1892" t="b">
        <v>1</v>
      </c>
      <c r="F1892" s="2">
        <v>4.3312824580411728</v>
      </c>
      <c r="G1892" t="b">
        <v>0</v>
      </c>
      <c r="H1892" t="s">
        <v>16</v>
      </c>
      <c r="I1892" t="s">
        <v>34</v>
      </c>
    </row>
    <row r="1893" spans="1:9" x14ac:dyDescent="0.3">
      <c r="A1893" t="str">
        <f t="shared" si="29"/>
        <v>CASE-1892</v>
      </c>
      <c r="B1893" s="1">
        <v>45515</v>
      </c>
      <c r="C1893" t="s">
        <v>11</v>
      </c>
      <c r="D1893">
        <v>1</v>
      </c>
      <c r="E1893" t="b">
        <v>0</v>
      </c>
      <c r="F1893" s="2">
        <v>22.213962438313185</v>
      </c>
      <c r="G1893" t="b">
        <v>0</v>
      </c>
      <c r="H1893" t="s">
        <v>26</v>
      </c>
      <c r="I1893" t="s">
        <v>33</v>
      </c>
    </row>
    <row r="1894" spans="1:9" x14ac:dyDescent="0.3">
      <c r="A1894" t="str">
        <f t="shared" si="29"/>
        <v>CASE-1893</v>
      </c>
      <c r="B1894" s="1">
        <v>45645</v>
      </c>
      <c r="C1894" t="s">
        <v>9</v>
      </c>
      <c r="D1894">
        <v>2</v>
      </c>
      <c r="E1894" t="b">
        <v>0</v>
      </c>
      <c r="F1894" s="2">
        <v>24.314190778684218</v>
      </c>
      <c r="G1894" t="b">
        <v>0</v>
      </c>
      <c r="H1894" t="s">
        <v>17</v>
      </c>
      <c r="I1894" t="s">
        <v>33</v>
      </c>
    </row>
    <row r="1895" spans="1:9" x14ac:dyDescent="0.3">
      <c r="A1895" t="str">
        <f t="shared" si="29"/>
        <v>CASE-1894</v>
      </c>
      <c r="B1895" s="1">
        <v>45485</v>
      </c>
      <c r="C1895" t="s">
        <v>11</v>
      </c>
      <c r="D1895">
        <v>1</v>
      </c>
      <c r="E1895" t="b">
        <v>0</v>
      </c>
      <c r="F1895" s="2">
        <v>19.845195349829286</v>
      </c>
      <c r="G1895" t="b">
        <v>0</v>
      </c>
      <c r="H1895" t="s">
        <v>23</v>
      </c>
      <c r="I1895" t="s">
        <v>33</v>
      </c>
    </row>
    <row r="1896" spans="1:9" x14ac:dyDescent="0.3">
      <c r="A1896" t="str">
        <f t="shared" si="29"/>
        <v>CASE-1895</v>
      </c>
      <c r="B1896" s="1">
        <v>45706</v>
      </c>
      <c r="C1896" t="s">
        <v>12</v>
      </c>
      <c r="D1896">
        <v>3</v>
      </c>
      <c r="E1896" t="b">
        <v>1</v>
      </c>
      <c r="F1896" s="2">
        <v>5.5923772437990884</v>
      </c>
      <c r="G1896" t="b">
        <v>0</v>
      </c>
      <c r="H1896" t="s">
        <v>17</v>
      </c>
      <c r="I1896" t="s">
        <v>34</v>
      </c>
    </row>
    <row r="1897" spans="1:9" x14ac:dyDescent="0.3">
      <c r="A1897" t="str">
        <f t="shared" si="29"/>
        <v>CASE-1896</v>
      </c>
      <c r="B1897" s="1">
        <v>46134</v>
      </c>
      <c r="C1897" t="s">
        <v>10</v>
      </c>
      <c r="D1897">
        <v>1</v>
      </c>
      <c r="E1897" t="b">
        <v>1</v>
      </c>
      <c r="F1897" s="2">
        <v>5.3636397812643883</v>
      </c>
      <c r="G1897" t="b">
        <v>0</v>
      </c>
      <c r="H1897" t="s">
        <v>13</v>
      </c>
      <c r="I1897" t="s">
        <v>34</v>
      </c>
    </row>
    <row r="1898" spans="1:9" x14ac:dyDescent="0.3">
      <c r="A1898" t="str">
        <f t="shared" si="29"/>
        <v>CASE-1897</v>
      </c>
      <c r="B1898" s="1">
        <v>45818</v>
      </c>
      <c r="C1898" t="s">
        <v>10</v>
      </c>
      <c r="D1898">
        <v>3</v>
      </c>
      <c r="E1898" t="b">
        <v>1</v>
      </c>
      <c r="F1898" s="2">
        <v>8.0931916035639677</v>
      </c>
      <c r="G1898" t="b">
        <v>1</v>
      </c>
      <c r="H1898" t="s">
        <v>18</v>
      </c>
      <c r="I1898" t="s">
        <v>34</v>
      </c>
    </row>
    <row r="1899" spans="1:9" x14ac:dyDescent="0.3">
      <c r="A1899" t="str">
        <f t="shared" si="29"/>
        <v>CASE-1898</v>
      </c>
      <c r="B1899" s="1">
        <v>45777</v>
      </c>
      <c r="C1899" t="s">
        <v>10</v>
      </c>
      <c r="D1899">
        <v>2</v>
      </c>
      <c r="E1899" t="b">
        <v>0</v>
      </c>
      <c r="F1899" s="2">
        <v>11.248054213897205</v>
      </c>
      <c r="G1899" t="b">
        <v>0</v>
      </c>
      <c r="H1899" t="s">
        <v>14</v>
      </c>
      <c r="I1899" t="s">
        <v>34</v>
      </c>
    </row>
    <row r="1900" spans="1:9" x14ac:dyDescent="0.3">
      <c r="A1900" t="str">
        <f t="shared" si="29"/>
        <v>CASE-1899</v>
      </c>
      <c r="B1900" s="1">
        <v>46020</v>
      </c>
      <c r="C1900" t="s">
        <v>12</v>
      </c>
      <c r="D1900">
        <v>3</v>
      </c>
      <c r="E1900" t="b">
        <v>1</v>
      </c>
      <c r="F1900" s="2">
        <v>5.0711786364197797</v>
      </c>
      <c r="G1900" t="b">
        <v>0</v>
      </c>
      <c r="H1900" t="s">
        <v>22</v>
      </c>
      <c r="I1900" t="s">
        <v>34</v>
      </c>
    </row>
    <row r="1901" spans="1:9" x14ac:dyDescent="0.3">
      <c r="A1901" t="str">
        <f t="shared" si="29"/>
        <v>CASE-1900</v>
      </c>
      <c r="B1901" s="1">
        <v>45849</v>
      </c>
      <c r="C1901" t="s">
        <v>10</v>
      </c>
      <c r="D1901">
        <v>2</v>
      </c>
      <c r="E1901" t="b">
        <v>0</v>
      </c>
      <c r="F1901" s="2">
        <v>3.670229235406596</v>
      </c>
      <c r="G1901" t="b">
        <v>0</v>
      </c>
      <c r="H1901" t="s">
        <v>32</v>
      </c>
      <c r="I1901" t="s">
        <v>34</v>
      </c>
    </row>
    <row r="1902" spans="1:9" x14ac:dyDescent="0.3">
      <c r="A1902" t="str">
        <f t="shared" si="29"/>
        <v>CASE-1901</v>
      </c>
      <c r="B1902" s="1">
        <v>45788</v>
      </c>
      <c r="C1902" t="s">
        <v>10</v>
      </c>
      <c r="D1902">
        <v>5</v>
      </c>
      <c r="E1902" t="b">
        <v>0</v>
      </c>
      <c r="F1902" s="2">
        <v>18.354572677571639</v>
      </c>
      <c r="G1902" t="b">
        <v>0</v>
      </c>
      <c r="H1902" t="s">
        <v>18</v>
      </c>
      <c r="I1902" t="s">
        <v>33</v>
      </c>
    </row>
    <row r="1903" spans="1:9" x14ac:dyDescent="0.3">
      <c r="A1903" t="str">
        <f t="shared" si="29"/>
        <v>CASE-1902</v>
      </c>
      <c r="B1903" s="1">
        <v>45794</v>
      </c>
      <c r="C1903" t="s">
        <v>12</v>
      </c>
      <c r="D1903">
        <v>1</v>
      </c>
      <c r="E1903" t="b">
        <v>1</v>
      </c>
      <c r="F1903" s="2">
        <v>5.0151224823505816</v>
      </c>
      <c r="G1903" t="b">
        <v>0</v>
      </c>
      <c r="H1903" t="s">
        <v>29</v>
      </c>
      <c r="I1903" t="s">
        <v>34</v>
      </c>
    </row>
    <row r="1904" spans="1:9" x14ac:dyDescent="0.3">
      <c r="A1904" t="str">
        <f t="shared" si="29"/>
        <v>CASE-1903</v>
      </c>
      <c r="B1904" s="1">
        <v>46153</v>
      </c>
      <c r="C1904" t="s">
        <v>12</v>
      </c>
      <c r="D1904">
        <v>1</v>
      </c>
      <c r="E1904" t="b">
        <v>1</v>
      </c>
      <c r="F1904" s="2">
        <v>6.2384163270325388</v>
      </c>
      <c r="G1904" t="b">
        <v>0</v>
      </c>
      <c r="H1904" t="s">
        <v>25</v>
      </c>
      <c r="I1904" t="s">
        <v>34</v>
      </c>
    </row>
    <row r="1905" spans="1:9" x14ac:dyDescent="0.3">
      <c r="A1905" t="str">
        <f t="shared" si="29"/>
        <v>CASE-1904</v>
      </c>
      <c r="B1905" s="1">
        <v>46052</v>
      </c>
      <c r="C1905" t="s">
        <v>11</v>
      </c>
      <c r="D1905">
        <v>3</v>
      </c>
      <c r="E1905" t="b">
        <v>1</v>
      </c>
      <c r="F1905" s="2">
        <v>5.7046217362955218</v>
      </c>
      <c r="G1905" t="b">
        <v>1</v>
      </c>
      <c r="H1905" t="s">
        <v>28</v>
      </c>
      <c r="I1905" t="s">
        <v>34</v>
      </c>
    </row>
    <row r="1906" spans="1:9" x14ac:dyDescent="0.3">
      <c r="A1906" t="str">
        <f t="shared" si="29"/>
        <v>CASE-1905</v>
      </c>
      <c r="B1906" s="1">
        <v>45692</v>
      </c>
      <c r="C1906" t="s">
        <v>9</v>
      </c>
      <c r="D1906">
        <v>5</v>
      </c>
      <c r="E1906" t="b">
        <v>1</v>
      </c>
      <c r="F1906" s="2">
        <v>6.9136829528069876</v>
      </c>
      <c r="G1906" t="b">
        <v>0</v>
      </c>
      <c r="H1906" t="s">
        <v>22</v>
      </c>
      <c r="I1906" t="s">
        <v>34</v>
      </c>
    </row>
    <row r="1907" spans="1:9" x14ac:dyDescent="0.3">
      <c r="A1907" t="str">
        <f t="shared" si="29"/>
        <v>CASE-1906</v>
      </c>
      <c r="B1907" s="1">
        <v>45528</v>
      </c>
      <c r="C1907" t="s">
        <v>11</v>
      </c>
      <c r="D1907">
        <v>4</v>
      </c>
      <c r="E1907" t="b">
        <v>0</v>
      </c>
      <c r="F1907" s="2">
        <v>33.848601153558519</v>
      </c>
      <c r="G1907" t="b">
        <v>0</v>
      </c>
      <c r="H1907" t="s">
        <v>24</v>
      </c>
      <c r="I1907" t="s">
        <v>33</v>
      </c>
    </row>
    <row r="1908" spans="1:9" x14ac:dyDescent="0.3">
      <c r="A1908" t="str">
        <f t="shared" si="29"/>
        <v>CASE-1907</v>
      </c>
      <c r="B1908" s="1">
        <v>45578</v>
      </c>
      <c r="C1908" t="s">
        <v>11</v>
      </c>
      <c r="D1908">
        <v>3</v>
      </c>
      <c r="E1908" t="b">
        <v>0</v>
      </c>
      <c r="F1908" s="2">
        <v>23.823278944350413</v>
      </c>
      <c r="G1908" t="b">
        <v>0</v>
      </c>
      <c r="H1908" t="s">
        <v>14</v>
      </c>
      <c r="I1908" t="s">
        <v>33</v>
      </c>
    </row>
    <row r="1909" spans="1:9" x14ac:dyDescent="0.3">
      <c r="A1909" t="str">
        <f t="shared" si="29"/>
        <v>CASE-1908</v>
      </c>
      <c r="B1909" s="1">
        <v>46149</v>
      </c>
      <c r="C1909" t="s">
        <v>10</v>
      </c>
      <c r="D1909">
        <v>4</v>
      </c>
      <c r="E1909" t="b">
        <v>1</v>
      </c>
      <c r="F1909" s="2">
        <v>6.6152976330618785</v>
      </c>
      <c r="G1909" t="b">
        <v>0</v>
      </c>
      <c r="H1909" t="s">
        <v>15</v>
      </c>
      <c r="I1909" t="s">
        <v>34</v>
      </c>
    </row>
    <row r="1910" spans="1:9" x14ac:dyDescent="0.3">
      <c r="A1910" t="str">
        <f t="shared" si="29"/>
        <v>CASE-1909</v>
      </c>
      <c r="B1910" s="1">
        <v>45524</v>
      </c>
      <c r="C1910" t="s">
        <v>12</v>
      </c>
      <c r="D1910">
        <v>1</v>
      </c>
      <c r="E1910" t="b">
        <v>0</v>
      </c>
      <c r="F1910" s="2">
        <v>26.587223372722072</v>
      </c>
      <c r="G1910" t="b">
        <v>0</v>
      </c>
      <c r="H1910" t="s">
        <v>24</v>
      </c>
      <c r="I1910" t="s">
        <v>33</v>
      </c>
    </row>
    <row r="1911" spans="1:9" x14ac:dyDescent="0.3">
      <c r="A1911" t="str">
        <f t="shared" si="29"/>
        <v>CASE-1910</v>
      </c>
      <c r="B1911" s="1">
        <v>45567</v>
      </c>
      <c r="C1911" t="s">
        <v>12</v>
      </c>
      <c r="D1911">
        <v>2</v>
      </c>
      <c r="E1911" t="b">
        <v>0</v>
      </c>
      <c r="F1911" s="2">
        <v>12.820261274647086</v>
      </c>
      <c r="G1911" t="b">
        <v>0</v>
      </c>
      <c r="H1911" t="s">
        <v>27</v>
      </c>
      <c r="I1911" t="s">
        <v>33</v>
      </c>
    </row>
    <row r="1912" spans="1:9" x14ac:dyDescent="0.3">
      <c r="A1912" t="str">
        <f t="shared" si="29"/>
        <v>CASE-1911</v>
      </c>
      <c r="B1912" s="1">
        <v>45636</v>
      </c>
      <c r="C1912" t="s">
        <v>9</v>
      </c>
      <c r="D1912">
        <v>5</v>
      </c>
      <c r="E1912" t="b">
        <v>0</v>
      </c>
      <c r="F1912" s="2">
        <v>21.824854827401232</v>
      </c>
      <c r="G1912" t="b">
        <v>0</v>
      </c>
      <c r="H1912" t="s">
        <v>19</v>
      </c>
      <c r="I1912" t="s">
        <v>33</v>
      </c>
    </row>
    <row r="1913" spans="1:9" x14ac:dyDescent="0.3">
      <c r="A1913" t="str">
        <f t="shared" si="29"/>
        <v>CASE-1912</v>
      </c>
      <c r="B1913" s="1">
        <v>45722</v>
      </c>
      <c r="C1913" t="s">
        <v>9</v>
      </c>
      <c r="D1913">
        <v>3</v>
      </c>
      <c r="E1913" t="b">
        <v>1</v>
      </c>
      <c r="F1913" s="2">
        <v>7.0216687514465397</v>
      </c>
      <c r="G1913" t="b">
        <v>0</v>
      </c>
      <c r="H1913" t="s">
        <v>16</v>
      </c>
      <c r="I1913" t="s">
        <v>34</v>
      </c>
    </row>
    <row r="1914" spans="1:9" x14ac:dyDescent="0.3">
      <c r="A1914" t="str">
        <f t="shared" si="29"/>
        <v>CASE-1913</v>
      </c>
      <c r="B1914" s="1">
        <v>45743</v>
      </c>
      <c r="C1914" t="s">
        <v>10</v>
      </c>
      <c r="D1914">
        <v>4</v>
      </c>
      <c r="E1914" t="b">
        <v>1</v>
      </c>
      <c r="F1914" s="2">
        <v>7.607256528528108</v>
      </c>
      <c r="G1914" t="b">
        <v>0</v>
      </c>
      <c r="H1914" t="s">
        <v>21</v>
      </c>
      <c r="I1914" t="s">
        <v>34</v>
      </c>
    </row>
    <row r="1915" spans="1:9" x14ac:dyDescent="0.3">
      <c r="A1915" t="str">
        <f t="shared" si="29"/>
        <v>CASE-1914</v>
      </c>
      <c r="B1915" s="1">
        <v>45967</v>
      </c>
      <c r="C1915" t="s">
        <v>9</v>
      </c>
      <c r="D1915">
        <v>3</v>
      </c>
      <c r="E1915" t="b">
        <v>1</v>
      </c>
      <c r="F1915" s="2">
        <v>5.1268332223265976</v>
      </c>
      <c r="G1915" t="b">
        <v>0</v>
      </c>
      <c r="H1915" t="s">
        <v>21</v>
      </c>
      <c r="I1915" t="s">
        <v>34</v>
      </c>
    </row>
    <row r="1916" spans="1:9" x14ac:dyDescent="0.3">
      <c r="A1916" t="str">
        <f t="shared" si="29"/>
        <v>CASE-1915</v>
      </c>
      <c r="B1916" s="1">
        <v>46067</v>
      </c>
      <c r="C1916" t="s">
        <v>12</v>
      </c>
      <c r="D1916">
        <v>2</v>
      </c>
      <c r="E1916" t="b">
        <v>1</v>
      </c>
      <c r="F1916" s="2">
        <v>6.9506187023584776</v>
      </c>
      <c r="G1916" t="b">
        <v>0</v>
      </c>
      <c r="H1916" t="s">
        <v>27</v>
      </c>
      <c r="I1916" t="s">
        <v>34</v>
      </c>
    </row>
    <row r="1917" spans="1:9" x14ac:dyDescent="0.3">
      <c r="A1917" t="str">
        <f t="shared" si="29"/>
        <v>CASE-1916</v>
      </c>
      <c r="B1917" s="1">
        <v>45859</v>
      </c>
      <c r="C1917" t="s">
        <v>9</v>
      </c>
      <c r="D1917">
        <v>2</v>
      </c>
      <c r="E1917" t="b">
        <v>1</v>
      </c>
      <c r="F1917" s="2">
        <v>4.9489304777569183</v>
      </c>
      <c r="G1917" t="b">
        <v>0</v>
      </c>
      <c r="H1917" t="s">
        <v>22</v>
      </c>
      <c r="I1917" t="s">
        <v>34</v>
      </c>
    </row>
    <row r="1918" spans="1:9" x14ac:dyDescent="0.3">
      <c r="A1918" t="str">
        <f t="shared" si="29"/>
        <v>CASE-1917</v>
      </c>
      <c r="B1918" s="1">
        <v>45496</v>
      </c>
      <c r="C1918" t="s">
        <v>10</v>
      </c>
      <c r="D1918">
        <v>5</v>
      </c>
      <c r="E1918" t="b">
        <v>0</v>
      </c>
      <c r="F1918" s="2">
        <v>21.129968654424001</v>
      </c>
      <c r="G1918" t="b">
        <v>1</v>
      </c>
      <c r="H1918" t="s">
        <v>31</v>
      </c>
      <c r="I1918" t="s">
        <v>33</v>
      </c>
    </row>
    <row r="1919" spans="1:9" x14ac:dyDescent="0.3">
      <c r="A1919" t="str">
        <f t="shared" si="29"/>
        <v>CASE-1918</v>
      </c>
      <c r="B1919" s="1">
        <v>46036</v>
      </c>
      <c r="C1919" t="s">
        <v>10</v>
      </c>
      <c r="D1919">
        <v>1</v>
      </c>
      <c r="E1919" t="b">
        <v>1</v>
      </c>
      <c r="F1919" s="2">
        <v>2.5303307840342608</v>
      </c>
      <c r="G1919" t="b">
        <v>0</v>
      </c>
      <c r="H1919" t="s">
        <v>32</v>
      </c>
      <c r="I1919" t="s">
        <v>34</v>
      </c>
    </row>
    <row r="1920" spans="1:9" x14ac:dyDescent="0.3">
      <c r="A1920" t="str">
        <f t="shared" si="29"/>
        <v>CASE-1919</v>
      </c>
      <c r="B1920" s="1">
        <v>46010</v>
      </c>
      <c r="C1920" t="s">
        <v>11</v>
      </c>
      <c r="D1920">
        <v>1</v>
      </c>
      <c r="E1920" t="b">
        <v>0</v>
      </c>
      <c r="F1920" s="2">
        <v>24.84055984696235</v>
      </c>
      <c r="G1920" t="b">
        <v>0</v>
      </c>
      <c r="H1920" t="s">
        <v>30</v>
      </c>
      <c r="I1920" t="s">
        <v>33</v>
      </c>
    </row>
    <row r="1921" spans="1:9" x14ac:dyDescent="0.3">
      <c r="A1921" t="str">
        <f t="shared" si="29"/>
        <v>CASE-1920</v>
      </c>
      <c r="B1921" s="1">
        <v>45947</v>
      </c>
      <c r="C1921" t="s">
        <v>11</v>
      </c>
      <c r="D1921">
        <v>1</v>
      </c>
      <c r="E1921" t="b">
        <v>1</v>
      </c>
      <c r="F1921" s="2">
        <v>4.5709762497660247</v>
      </c>
      <c r="G1921" t="b">
        <v>0</v>
      </c>
      <c r="H1921" t="s">
        <v>21</v>
      </c>
      <c r="I1921" t="s">
        <v>34</v>
      </c>
    </row>
    <row r="1922" spans="1:9" x14ac:dyDescent="0.3">
      <c r="A1922" t="str">
        <f t="shared" si="29"/>
        <v>CASE-1921</v>
      </c>
      <c r="B1922" s="1">
        <v>46179</v>
      </c>
      <c r="C1922" t="s">
        <v>9</v>
      </c>
      <c r="D1922">
        <v>1</v>
      </c>
      <c r="E1922" t="b">
        <v>1</v>
      </c>
      <c r="F1922" s="2">
        <v>5.5836565056983076</v>
      </c>
      <c r="G1922" t="b">
        <v>0</v>
      </c>
      <c r="H1922" t="s">
        <v>18</v>
      </c>
      <c r="I1922" t="s">
        <v>34</v>
      </c>
    </row>
    <row r="1923" spans="1:9" x14ac:dyDescent="0.3">
      <c r="A1923" t="str">
        <f t="shared" ref="A1923:A1986" si="30">"CASE-"&amp;TEXT(ROW()-1,"0000")</f>
        <v>CASE-1922</v>
      </c>
      <c r="B1923" s="1">
        <v>45826</v>
      </c>
      <c r="C1923" t="s">
        <v>11</v>
      </c>
      <c r="D1923">
        <v>2</v>
      </c>
      <c r="E1923" t="b">
        <v>1</v>
      </c>
      <c r="F1923" s="2">
        <v>24.833647837185474</v>
      </c>
      <c r="G1923" t="b">
        <v>0</v>
      </c>
      <c r="H1923" t="s">
        <v>23</v>
      </c>
      <c r="I1923" t="s">
        <v>33</v>
      </c>
    </row>
    <row r="1924" spans="1:9" x14ac:dyDescent="0.3">
      <c r="A1924" t="str">
        <f t="shared" si="30"/>
        <v>CASE-1923</v>
      </c>
      <c r="B1924" s="1">
        <v>46203</v>
      </c>
      <c r="C1924" t="s">
        <v>9</v>
      </c>
      <c r="D1924">
        <v>3</v>
      </c>
      <c r="E1924" t="b">
        <v>1</v>
      </c>
      <c r="F1924" s="2">
        <v>9.942843685109926</v>
      </c>
      <c r="G1924" t="b">
        <v>0</v>
      </c>
      <c r="H1924" t="s">
        <v>32</v>
      </c>
      <c r="I1924" t="s">
        <v>34</v>
      </c>
    </row>
    <row r="1925" spans="1:9" x14ac:dyDescent="0.3">
      <c r="A1925" t="str">
        <f t="shared" si="30"/>
        <v>CASE-1924</v>
      </c>
      <c r="B1925" s="1">
        <v>45649</v>
      </c>
      <c r="C1925" t="s">
        <v>11</v>
      </c>
      <c r="D1925">
        <v>4</v>
      </c>
      <c r="E1925" t="b">
        <v>0</v>
      </c>
      <c r="F1925" s="2">
        <v>17.399859650909089</v>
      </c>
      <c r="G1925" t="b">
        <v>0</v>
      </c>
      <c r="H1925" t="s">
        <v>14</v>
      </c>
      <c r="I1925" t="s">
        <v>33</v>
      </c>
    </row>
    <row r="1926" spans="1:9" x14ac:dyDescent="0.3">
      <c r="A1926" t="str">
        <f t="shared" si="30"/>
        <v>CASE-1925</v>
      </c>
      <c r="B1926" s="1">
        <v>46164</v>
      </c>
      <c r="C1926" t="s">
        <v>9</v>
      </c>
      <c r="D1926">
        <v>5</v>
      </c>
      <c r="E1926" t="b">
        <v>1</v>
      </c>
      <c r="F1926" s="2">
        <v>6.9063595658671497</v>
      </c>
      <c r="G1926" t="b">
        <v>0</v>
      </c>
      <c r="H1926" t="s">
        <v>32</v>
      </c>
      <c r="I1926" t="s">
        <v>34</v>
      </c>
    </row>
    <row r="1927" spans="1:9" x14ac:dyDescent="0.3">
      <c r="A1927" t="str">
        <f t="shared" si="30"/>
        <v>CASE-1926</v>
      </c>
      <c r="B1927" s="1">
        <v>46084</v>
      </c>
      <c r="C1927" t="s">
        <v>11</v>
      </c>
      <c r="D1927">
        <v>4</v>
      </c>
      <c r="E1927" t="b">
        <v>0</v>
      </c>
      <c r="F1927" s="2">
        <v>11.477411149640799</v>
      </c>
      <c r="G1927" t="b">
        <v>0</v>
      </c>
      <c r="H1927" t="s">
        <v>21</v>
      </c>
      <c r="I1927" t="s">
        <v>34</v>
      </c>
    </row>
    <row r="1928" spans="1:9" x14ac:dyDescent="0.3">
      <c r="A1928" t="str">
        <f t="shared" si="30"/>
        <v>CASE-1927</v>
      </c>
      <c r="B1928" s="1">
        <v>46165</v>
      </c>
      <c r="C1928" t="s">
        <v>12</v>
      </c>
      <c r="D1928">
        <v>2</v>
      </c>
      <c r="E1928" t="b">
        <v>1</v>
      </c>
      <c r="F1928" s="2">
        <v>4.4641327192675089</v>
      </c>
      <c r="G1928" t="b">
        <v>0</v>
      </c>
      <c r="H1928" t="s">
        <v>19</v>
      </c>
      <c r="I1928" t="s">
        <v>34</v>
      </c>
    </row>
    <row r="1929" spans="1:9" x14ac:dyDescent="0.3">
      <c r="A1929" t="str">
        <f t="shared" si="30"/>
        <v>CASE-1928</v>
      </c>
      <c r="B1929" s="1">
        <v>45927</v>
      </c>
      <c r="C1929" t="s">
        <v>12</v>
      </c>
      <c r="D1929">
        <v>4</v>
      </c>
      <c r="E1929" t="b">
        <v>0</v>
      </c>
      <c r="F1929" s="2">
        <v>6.9968520334831208</v>
      </c>
      <c r="G1929" t="b">
        <v>0</v>
      </c>
      <c r="H1929" t="s">
        <v>25</v>
      </c>
      <c r="I1929" t="s">
        <v>34</v>
      </c>
    </row>
    <row r="1930" spans="1:9" x14ac:dyDescent="0.3">
      <c r="A1930" t="str">
        <f t="shared" si="30"/>
        <v>CASE-1929</v>
      </c>
      <c r="B1930" s="1">
        <v>45979</v>
      </c>
      <c r="C1930" t="s">
        <v>10</v>
      </c>
      <c r="D1930">
        <v>4</v>
      </c>
      <c r="E1930" t="b">
        <v>1</v>
      </c>
      <c r="F1930" s="2">
        <v>9.9113598017107396</v>
      </c>
      <c r="G1930" t="b">
        <v>0</v>
      </c>
      <c r="H1930" t="s">
        <v>17</v>
      </c>
      <c r="I1930" t="s">
        <v>34</v>
      </c>
    </row>
    <row r="1931" spans="1:9" x14ac:dyDescent="0.3">
      <c r="A1931" t="str">
        <f t="shared" si="30"/>
        <v>CASE-1930</v>
      </c>
      <c r="B1931" s="1">
        <v>46123</v>
      </c>
      <c r="C1931" t="s">
        <v>9</v>
      </c>
      <c r="D1931">
        <v>1</v>
      </c>
      <c r="E1931" t="b">
        <v>1</v>
      </c>
      <c r="F1931" s="2">
        <v>5.3751320010651495</v>
      </c>
      <c r="G1931" t="b">
        <v>0</v>
      </c>
      <c r="H1931" t="s">
        <v>25</v>
      </c>
      <c r="I1931" t="s">
        <v>34</v>
      </c>
    </row>
    <row r="1932" spans="1:9" x14ac:dyDescent="0.3">
      <c r="A1932" t="str">
        <f t="shared" si="30"/>
        <v>CASE-1931</v>
      </c>
      <c r="B1932" s="1">
        <v>45827</v>
      </c>
      <c r="C1932" t="s">
        <v>10</v>
      </c>
      <c r="D1932">
        <v>4</v>
      </c>
      <c r="E1932" t="b">
        <v>1</v>
      </c>
      <c r="F1932" s="2">
        <v>3.3773464578734953</v>
      </c>
      <c r="G1932" t="b">
        <v>0</v>
      </c>
      <c r="H1932" t="s">
        <v>19</v>
      </c>
      <c r="I1932" t="s">
        <v>34</v>
      </c>
    </row>
    <row r="1933" spans="1:9" x14ac:dyDescent="0.3">
      <c r="A1933" t="str">
        <f t="shared" si="30"/>
        <v>CASE-1932</v>
      </c>
      <c r="B1933" s="1">
        <v>45891</v>
      </c>
      <c r="C1933" t="s">
        <v>11</v>
      </c>
      <c r="D1933">
        <v>5</v>
      </c>
      <c r="E1933" t="b">
        <v>1</v>
      </c>
      <c r="F1933" s="2">
        <v>2.6631951241049103</v>
      </c>
      <c r="G1933" t="b">
        <v>0</v>
      </c>
      <c r="H1933" t="s">
        <v>18</v>
      </c>
      <c r="I1933" t="s">
        <v>34</v>
      </c>
    </row>
    <row r="1934" spans="1:9" x14ac:dyDescent="0.3">
      <c r="A1934" t="str">
        <f t="shared" si="30"/>
        <v>CASE-1933</v>
      </c>
      <c r="B1934" s="1">
        <v>46133</v>
      </c>
      <c r="C1934" t="s">
        <v>10</v>
      </c>
      <c r="D1934">
        <v>4</v>
      </c>
      <c r="E1934" t="b">
        <v>1</v>
      </c>
      <c r="F1934" s="2">
        <v>6.0852622246777859</v>
      </c>
      <c r="G1934" t="b">
        <v>0</v>
      </c>
      <c r="H1934" t="s">
        <v>25</v>
      </c>
      <c r="I1934" t="s">
        <v>34</v>
      </c>
    </row>
    <row r="1935" spans="1:9" x14ac:dyDescent="0.3">
      <c r="A1935" t="str">
        <f t="shared" si="30"/>
        <v>CASE-1934</v>
      </c>
      <c r="B1935" s="1">
        <v>45517</v>
      </c>
      <c r="C1935" t="s">
        <v>10</v>
      </c>
      <c r="D1935">
        <v>4</v>
      </c>
      <c r="E1935" t="b">
        <v>0</v>
      </c>
      <c r="F1935" s="2">
        <v>19.486581159475502</v>
      </c>
      <c r="G1935" t="b">
        <v>0</v>
      </c>
      <c r="H1935" t="s">
        <v>31</v>
      </c>
      <c r="I1935" t="s">
        <v>33</v>
      </c>
    </row>
    <row r="1936" spans="1:9" x14ac:dyDescent="0.3">
      <c r="A1936" t="str">
        <f t="shared" si="30"/>
        <v>CASE-1935</v>
      </c>
      <c r="B1936" s="1">
        <v>45672</v>
      </c>
      <c r="C1936" t="s">
        <v>9</v>
      </c>
      <c r="D1936">
        <v>4</v>
      </c>
      <c r="E1936" t="b">
        <v>1</v>
      </c>
      <c r="F1936" s="2">
        <v>12.873898911968059</v>
      </c>
      <c r="G1936" t="b">
        <v>0</v>
      </c>
      <c r="H1936" t="s">
        <v>26</v>
      </c>
      <c r="I1936" t="s">
        <v>33</v>
      </c>
    </row>
    <row r="1937" spans="1:9" x14ac:dyDescent="0.3">
      <c r="A1937" t="str">
        <f t="shared" si="30"/>
        <v>CASE-1936</v>
      </c>
      <c r="B1937" s="1">
        <v>45887</v>
      </c>
      <c r="C1937" t="s">
        <v>9</v>
      </c>
      <c r="D1937">
        <v>3</v>
      </c>
      <c r="E1937" t="b">
        <v>1</v>
      </c>
      <c r="F1937" s="2">
        <v>4.7024758908726962</v>
      </c>
      <c r="G1937" t="b">
        <v>0</v>
      </c>
      <c r="H1937" t="s">
        <v>17</v>
      </c>
      <c r="I1937" t="s">
        <v>34</v>
      </c>
    </row>
    <row r="1938" spans="1:9" x14ac:dyDescent="0.3">
      <c r="A1938" t="str">
        <f t="shared" si="30"/>
        <v>CASE-1937</v>
      </c>
      <c r="B1938" s="1">
        <v>46070</v>
      </c>
      <c r="C1938" t="s">
        <v>10</v>
      </c>
      <c r="D1938">
        <v>5</v>
      </c>
      <c r="E1938" t="b">
        <v>1</v>
      </c>
      <c r="F1938" s="2">
        <v>8.1251545657785744</v>
      </c>
      <c r="G1938" t="b">
        <v>0</v>
      </c>
      <c r="H1938" t="s">
        <v>28</v>
      </c>
      <c r="I1938" t="s">
        <v>34</v>
      </c>
    </row>
    <row r="1939" spans="1:9" x14ac:dyDescent="0.3">
      <c r="A1939" t="str">
        <f t="shared" si="30"/>
        <v>CASE-1938</v>
      </c>
      <c r="B1939" s="1">
        <v>45962</v>
      </c>
      <c r="C1939" t="s">
        <v>9</v>
      </c>
      <c r="D1939">
        <v>1</v>
      </c>
      <c r="E1939" t="b">
        <v>1</v>
      </c>
      <c r="F1939" s="2">
        <v>7.2440874955167684</v>
      </c>
      <c r="G1939" t="b">
        <v>0</v>
      </c>
      <c r="H1939" t="s">
        <v>25</v>
      </c>
      <c r="I1939" t="s">
        <v>35</v>
      </c>
    </row>
    <row r="1940" spans="1:9" x14ac:dyDescent="0.3">
      <c r="A1940" t="str">
        <f t="shared" si="30"/>
        <v>CASE-1939</v>
      </c>
      <c r="B1940" s="1">
        <v>45549</v>
      </c>
      <c r="C1940" t="s">
        <v>12</v>
      </c>
      <c r="D1940">
        <v>2</v>
      </c>
      <c r="E1940" t="b">
        <v>0</v>
      </c>
      <c r="F1940" s="2">
        <v>37.744254665190859</v>
      </c>
      <c r="G1940" t="b">
        <v>0</v>
      </c>
      <c r="H1940" t="s">
        <v>31</v>
      </c>
      <c r="I1940" t="s">
        <v>33</v>
      </c>
    </row>
    <row r="1941" spans="1:9" x14ac:dyDescent="0.3">
      <c r="A1941" t="str">
        <f t="shared" si="30"/>
        <v>CASE-1940</v>
      </c>
      <c r="B1941" s="1">
        <v>46087</v>
      </c>
      <c r="C1941" t="s">
        <v>11</v>
      </c>
      <c r="D1941">
        <v>1</v>
      </c>
      <c r="E1941" t="b">
        <v>1</v>
      </c>
      <c r="F1941" s="2">
        <v>6.9853037493500452</v>
      </c>
      <c r="G1941" t="b">
        <v>0</v>
      </c>
      <c r="H1941" t="s">
        <v>15</v>
      </c>
      <c r="I1941" t="s">
        <v>34</v>
      </c>
    </row>
    <row r="1942" spans="1:9" x14ac:dyDescent="0.3">
      <c r="A1942" t="str">
        <f t="shared" si="30"/>
        <v>CASE-1941</v>
      </c>
      <c r="B1942" s="1">
        <v>45562</v>
      </c>
      <c r="C1942" t="s">
        <v>12</v>
      </c>
      <c r="D1942">
        <v>3</v>
      </c>
      <c r="E1942" t="b">
        <v>0</v>
      </c>
      <c r="F1942" s="2">
        <v>16.517395764816811</v>
      </c>
      <c r="G1942" t="b">
        <v>0</v>
      </c>
      <c r="H1942" t="s">
        <v>22</v>
      </c>
      <c r="I1942" t="s">
        <v>33</v>
      </c>
    </row>
    <row r="1943" spans="1:9" x14ac:dyDescent="0.3">
      <c r="A1943" t="str">
        <f t="shared" si="30"/>
        <v>CASE-1942</v>
      </c>
      <c r="B1943" s="1">
        <v>46191</v>
      </c>
      <c r="C1943" t="s">
        <v>9</v>
      </c>
      <c r="D1943">
        <v>3</v>
      </c>
      <c r="E1943" t="b">
        <v>0</v>
      </c>
      <c r="F1943" s="2">
        <v>24.511560854525353</v>
      </c>
      <c r="G1943" t="b">
        <v>0</v>
      </c>
      <c r="H1943" t="s">
        <v>25</v>
      </c>
      <c r="I1943" t="s">
        <v>33</v>
      </c>
    </row>
    <row r="1944" spans="1:9" x14ac:dyDescent="0.3">
      <c r="A1944" t="str">
        <f t="shared" si="30"/>
        <v>CASE-1943</v>
      </c>
      <c r="B1944" s="1">
        <v>45751</v>
      </c>
      <c r="C1944" t="s">
        <v>10</v>
      </c>
      <c r="D1944">
        <v>4</v>
      </c>
      <c r="E1944" t="b">
        <v>1</v>
      </c>
      <c r="F1944" s="2">
        <v>5.237397258052698</v>
      </c>
      <c r="G1944" t="b">
        <v>0</v>
      </c>
      <c r="H1944" t="s">
        <v>16</v>
      </c>
      <c r="I1944" t="s">
        <v>34</v>
      </c>
    </row>
    <row r="1945" spans="1:9" x14ac:dyDescent="0.3">
      <c r="A1945" t="str">
        <f t="shared" si="30"/>
        <v>CASE-1944</v>
      </c>
      <c r="B1945" s="1">
        <v>46179</v>
      </c>
      <c r="C1945" t="s">
        <v>12</v>
      </c>
      <c r="D1945">
        <v>2</v>
      </c>
      <c r="E1945" t="b">
        <v>0</v>
      </c>
      <c r="F1945" s="2">
        <v>9.6484010216929228</v>
      </c>
      <c r="G1945" t="b">
        <v>0</v>
      </c>
      <c r="H1945" t="s">
        <v>31</v>
      </c>
      <c r="I1945" t="s">
        <v>34</v>
      </c>
    </row>
    <row r="1946" spans="1:9" x14ac:dyDescent="0.3">
      <c r="A1946" t="str">
        <f t="shared" si="30"/>
        <v>CASE-1945</v>
      </c>
      <c r="B1946" s="1">
        <v>45480</v>
      </c>
      <c r="C1946" t="s">
        <v>10</v>
      </c>
      <c r="D1946">
        <v>2</v>
      </c>
      <c r="E1946" t="b">
        <v>0</v>
      </c>
      <c r="F1946" s="2">
        <v>38.298285883343809</v>
      </c>
      <c r="G1946" t="b">
        <v>0</v>
      </c>
      <c r="H1946" t="s">
        <v>14</v>
      </c>
      <c r="I1946" t="s">
        <v>33</v>
      </c>
    </row>
    <row r="1947" spans="1:9" x14ac:dyDescent="0.3">
      <c r="A1947" t="str">
        <f t="shared" si="30"/>
        <v>CASE-1946</v>
      </c>
      <c r="B1947" s="1">
        <v>45651</v>
      </c>
      <c r="C1947" t="s">
        <v>11</v>
      </c>
      <c r="D1947">
        <v>5</v>
      </c>
      <c r="E1947" t="b">
        <v>0</v>
      </c>
      <c r="F1947" s="2">
        <v>24.122130071986163</v>
      </c>
      <c r="G1947" t="b">
        <v>0</v>
      </c>
      <c r="H1947" t="s">
        <v>24</v>
      </c>
      <c r="I1947" t="s">
        <v>33</v>
      </c>
    </row>
    <row r="1948" spans="1:9" x14ac:dyDescent="0.3">
      <c r="A1948" t="str">
        <f t="shared" si="30"/>
        <v>CASE-1947</v>
      </c>
      <c r="B1948" s="1">
        <v>45892</v>
      </c>
      <c r="C1948" t="s">
        <v>11</v>
      </c>
      <c r="D1948">
        <v>3</v>
      </c>
      <c r="E1948" t="b">
        <v>1</v>
      </c>
      <c r="F1948" s="2">
        <v>5.0250322174877056</v>
      </c>
      <c r="G1948" t="b">
        <v>0</v>
      </c>
      <c r="H1948" t="s">
        <v>30</v>
      </c>
      <c r="I1948" t="s">
        <v>34</v>
      </c>
    </row>
    <row r="1949" spans="1:9" x14ac:dyDescent="0.3">
      <c r="A1949" t="str">
        <f t="shared" si="30"/>
        <v>CASE-1948</v>
      </c>
      <c r="B1949" s="1">
        <v>46181</v>
      </c>
      <c r="C1949" t="s">
        <v>10</v>
      </c>
      <c r="D1949">
        <v>5</v>
      </c>
      <c r="E1949" t="b">
        <v>1</v>
      </c>
      <c r="F1949" s="2">
        <v>5.8510658855889668</v>
      </c>
      <c r="G1949" t="b">
        <v>0</v>
      </c>
      <c r="H1949" t="s">
        <v>16</v>
      </c>
      <c r="I1949" t="s">
        <v>34</v>
      </c>
    </row>
    <row r="1950" spans="1:9" x14ac:dyDescent="0.3">
      <c r="A1950" t="str">
        <f t="shared" si="30"/>
        <v>CASE-1949</v>
      </c>
      <c r="B1950" s="1">
        <v>45552</v>
      </c>
      <c r="C1950" t="s">
        <v>9</v>
      </c>
      <c r="D1950">
        <v>2</v>
      </c>
      <c r="E1950" t="b">
        <v>0</v>
      </c>
      <c r="F1950" s="2">
        <v>17.425284576202799</v>
      </c>
      <c r="G1950" t="b">
        <v>0</v>
      </c>
      <c r="H1950" t="s">
        <v>27</v>
      </c>
      <c r="I1950" t="s">
        <v>33</v>
      </c>
    </row>
    <row r="1951" spans="1:9" x14ac:dyDescent="0.3">
      <c r="A1951" t="str">
        <f t="shared" si="30"/>
        <v>CASE-1950</v>
      </c>
      <c r="B1951" s="1">
        <v>45680</v>
      </c>
      <c r="C1951" t="s">
        <v>10</v>
      </c>
      <c r="D1951">
        <v>2</v>
      </c>
      <c r="E1951" t="b">
        <v>1</v>
      </c>
      <c r="F1951" s="2">
        <v>5.5069438619134345</v>
      </c>
      <c r="G1951" t="b">
        <v>0</v>
      </c>
      <c r="H1951" t="s">
        <v>26</v>
      </c>
      <c r="I1951" t="s">
        <v>34</v>
      </c>
    </row>
    <row r="1952" spans="1:9" x14ac:dyDescent="0.3">
      <c r="A1952" t="str">
        <f t="shared" si="30"/>
        <v>CASE-1951</v>
      </c>
      <c r="B1952" s="1">
        <v>46152</v>
      </c>
      <c r="C1952" t="s">
        <v>11</v>
      </c>
      <c r="D1952">
        <v>5</v>
      </c>
      <c r="E1952" t="b">
        <v>1</v>
      </c>
      <c r="F1952" s="2">
        <v>8.2100879052251372</v>
      </c>
      <c r="G1952" t="b">
        <v>0</v>
      </c>
      <c r="H1952" t="s">
        <v>31</v>
      </c>
      <c r="I1952" t="s">
        <v>34</v>
      </c>
    </row>
    <row r="1953" spans="1:9" x14ac:dyDescent="0.3">
      <c r="A1953" t="str">
        <f t="shared" si="30"/>
        <v>CASE-1952</v>
      </c>
      <c r="B1953" s="1">
        <v>45512</v>
      </c>
      <c r="C1953" t="s">
        <v>11</v>
      </c>
      <c r="D1953">
        <v>5</v>
      </c>
      <c r="E1953" t="b">
        <v>0</v>
      </c>
      <c r="F1953" s="2">
        <v>15.072693425784539</v>
      </c>
      <c r="G1953" t="b">
        <v>0</v>
      </c>
      <c r="H1953" t="s">
        <v>29</v>
      </c>
      <c r="I1953" t="s">
        <v>33</v>
      </c>
    </row>
    <row r="1954" spans="1:9" x14ac:dyDescent="0.3">
      <c r="A1954" t="str">
        <f t="shared" si="30"/>
        <v>CASE-1953</v>
      </c>
      <c r="B1954" s="1">
        <v>45752</v>
      </c>
      <c r="C1954" t="s">
        <v>10</v>
      </c>
      <c r="D1954">
        <v>3</v>
      </c>
      <c r="E1954" t="b">
        <v>1</v>
      </c>
      <c r="F1954" s="2">
        <v>2.0924105502619463</v>
      </c>
      <c r="G1954" t="b">
        <v>0</v>
      </c>
      <c r="H1954" t="s">
        <v>19</v>
      </c>
      <c r="I1954" t="s">
        <v>34</v>
      </c>
    </row>
    <row r="1955" spans="1:9" x14ac:dyDescent="0.3">
      <c r="A1955" t="str">
        <f t="shared" si="30"/>
        <v>CASE-1954</v>
      </c>
      <c r="B1955" s="1">
        <v>46010</v>
      </c>
      <c r="C1955" t="s">
        <v>10</v>
      </c>
      <c r="D1955">
        <v>5</v>
      </c>
      <c r="E1955" t="b">
        <v>1</v>
      </c>
      <c r="F1955" s="2">
        <v>30.134071665780397</v>
      </c>
      <c r="G1955" t="b">
        <v>0</v>
      </c>
      <c r="H1955" t="s">
        <v>20</v>
      </c>
      <c r="I1955" t="s">
        <v>33</v>
      </c>
    </row>
    <row r="1956" spans="1:9" x14ac:dyDescent="0.3">
      <c r="A1956" t="str">
        <f t="shared" si="30"/>
        <v>CASE-1955</v>
      </c>
      <c r="B1956" s="1">
        <v>45684</v>
      </c>
      <c r="C1956" t="s">
        <v>9</v>
      </c>
      <c r="D1956">
        <v>1</v>
      </c>
      <c r="E1956" t="b">
        <v>1</v>
      </c>
      <c r="F1956" s="2">
        <v>7.0372382758171703</v>
      </c>
      <c r="G1956" t="b">
        <v>0</v>
      </c>
      <c r="H1956" t="s">
        <v>24</v>
      </c>
      <c r="I1956" t="s">
        <v>34</v>
      </c>
    </row>
    <row r="1957" spans="1:9" x14ac:dyDescent="0.3">
      <c r="A1957" t="str">
        <f t="shared" si="30"/>
        <v>CASE-1956</v>
      </c>
      <c r="B1957" s="1">
        <v>45678</v>
      </c>
      <c r="C1957" t="s">
        <v>12</v>
      </c>
      <c r="D1957">
        <v>3</v>
      </c>
      <c r="E1957" t="b">
        <v>1</v>
      </c>
      <c r="F1957" s="2">
        <v>8.1466695342241877</v>
      </c>
      <c r="G1957" t="b">
        <v>0</v>
      </c>
      <c r="H1957" t="s">
        <v>28</v>
      </c>
      <c r="I1957" t="s">
        <v>34</v>
      </c>
    </row>
    <row r="1958" spans="1:9" x14ac:dyDescent="0.3">
      <c r="A1958" t="str">
        <f t="shared" si="30"/>
        <v>CASE-1957</v>
      </c>
      <c r="B1958" s="1">
        <v>46090</v>
      </c>
      <c r="C1958" t="s">
        <v>12</v>
      </c>
      <c r="D1958">
        <v>1</v>
      </c>
      <c r="E1958" t="b">
        <v>1</v>
      </c>
      <c r="F1958" s="2">
        <v>4.1260304849218112</v>
      </c>
      <c r="G1958" t="b">
        <v>0</v>
      </c>
      <c r="H1958" t="s">
        <v>23</v>
      </c>
      <c r="I1958" t="s">
        <v>34</v>
      </c>
    </row>
    <row r="1959" spans="1:9" x14ac:dyDescent="0.3">
      <c r="A1959" t="str">
        <f t="shared" si="30"/>
        <v>CASE-1958</v>
      </c>
      <c r="B1959" s="1">
        <v>45900</v>
      </c>
      <c r="C1959" t="s">
        <v>12</v>
      </c>
      <c r="D1959">
        <v>4</v>
      </c>
      <c r="E1959" t="b">
        <v>1</v>
      </c>
      <c r="F1959" s="2">
        <v>5.4260038906662968</v>
      </c>
      <c r="G1959" t="b">
        <v>0</v>
      </c>
      <c r="H1959" t="s">
        <v>19</v>
      </c>
      <c r="I1959" t="s">
        <v>34</v>
      </c>
    </row>
    <row r="1960" spans="1:9" x14ac:dyDescent="0.3">
      <c r="A1960" t="str">
        <f t="shared" si="30"/>
        <v>CASE-1959</v>
      </c>
      <c r="B1960" s="1">
        <v>45835</v>
      </c>
      <c r="C1960" t="s">
        <v>12</v>
      </c>
      <c r="D1960">
        <v>5</v>
      </c>
      <c r="E1960" t="b">
        <v>1</v>
      </c>
      <c r="F1960" s="2">
        <v>8.3719931424879839</v>
      </c>
      <c r="G1960" t="b">
        <v>0</v>
      </c>
      <c r="H1960" t="s">
        <v>32</v>
      </c>
      <c r="I1960" t="s">
        <v>34</v>
      </c>
    </row>
    <row r="1961" spans="1:9" x14ac:dyDescent="0.3">
      <c r="A1961" t="str">
        <f t="shared" si="30"/>
        <v>CASE-1960</v>
      </c>
      <c r="B1961" s="1">
        <v>46056</v>
      </c>
      <c r="C1961" t="s">
        <v>11</v>
      </c>
      <c r="D1961">
        <v>1</v>
      </c>
      <c r="E1961" t="b">
        <v>1</v>
      </c>
      <c r="F1961" s="2">
        <v>8.1164655896785458</v>
      </c>
      <c r="G1961" t="b">
        <v>0</v>
      </c>
      <c r="H1961" t="s">
        <v>23</v>
      </c>
      <c r="I1961" t="s">
        <v>34</v>
      </c>
    </row>
    <row r="1962" spans="1:9" x14ac:dyDescent="0.3">
      <c r="A1962" t="str">
        <f t="shared" si="30"/>
        <v>CASE-1961</v>
      </c>
      <c r="B1962" s="1">
        <v>45830</v>
      </c>
      <c r="C1962" t="s">
        <v>10</v>
      </c>
      <c r="D1962">
        <v>2</v>
      </c>
      <c r="E1962" t="b">
        <v>0</v>
      </c>
      <c r="F1962" s="2">
        <v>17.297416624912305</v>
      </c>
      <c r="G1962" t="b">
        <v>0</v>
      </c>
      <c r="H1962" t="s">
        <v>24</v>
      </c>
      <c r="I1962" t="s">
        <v>33</v>
      </c>
    </row>
    <row r="1963" spans="1:9" x14ac:dyDescent="0.3">
      <c r="A1963" t="str">
        <f t="shared" si="30"/>
        <v>CASE-1962</v>
      </c>
      <c r="B1963" s="1">
        <v>45986</v>
      </c>
      <c r="C1963" t="s">
        <v>9</v>
      </c>
      <c r="D1963">
        <v>4</v>
      </c>
      <c r="E1963" t="b">
        <v>1</v>
      </c>
      <c r="F1963" s="2">
        <v>4.6927885753613943</v>
      </c>
      <c r="G1963" t="b">
        <v>0</v>
      </c>
      <c r="H1963" t="s">
        <v>22</v>
      </c>
      <c r="I1963" t="s">
        <v>34</v>
      </c>
    </row>
    <row r="1964" spans="1:9" x14ac:dyDescent="0.3">
      <c r="A1964" t="str">
        <f t="shared" si="30"/>
        <v>CASE-1963</v>
      </c>
      <c r="B1964" s="1">
        <v>46112</v>
      </c>
      <c r="C1964" t="s">
        <v>10</v>
      </c>
      <c r="D1964">
        <v>5</v>
      </c>
      <c r="E1964" t="b">
        <v>1</v>
      </c>
      <c r="F1964" s="2">
        <v>4.2948722036924272</v>
      </c>
      <c r="G1964" t="b">
        <v>0</v>
      </c>
      <c r="H1964" t="s">
        <v>30</v>
      </c>
      <c r="I1964" t="s">
        <v>35</v>
      </c>
    </row>
    <row r="1965" spans="1:9" x14ac:dyDescent="0.3">
      <c r="A1965" t="str">
        <f t="shared" si="30"/>
        <v>CASE-1964</v>
      </c>
      <c r="B1965" s="1">
        <v>46044</v>
      </c>
      <c r="C1965" t="s">
        <v>11</v>
      </c>
      <c r="D1965">
        <v>2</v>
      </c>
      <c r="E1965" t="b">
        <v>1</v>
      </c>
      <c r="F1965" s="2">
        <v>6.4062946722572525</v>
      </c>
      <c r="G1965" t="b">
        <v>0</v>
      </c>
      <c r="H1965" t="s">
        <v>27</v>
      </c>
      <c r="I1965" t="s">
        <v>34</v>
      </c>
    </row>
    <row r="1966" spans="1:9" x14ac:dyDescent="0.3">
      <c r="A1966" t="str">
        <f t="shared" si="30"/>
        <v>CASE-1965</v>
      </c>
      <c r="B1966" s="1">
        <v>45578</v>
      </c>
      <c r="C1966" t="s">
        <v>12</v>
      </c>
      <c r="D1966">
        <v>3</v>
      </c>
      <c r="E1966" t="b">
        <v>0</v>
      </c>
      <c r="F1966" s="2">
        <v>21.059372522455035</v>
      </c>
      <c r="G1966" t="b">
        <v>0</v>
      </c>
      <c r="H1966" t="s">
        <v>19</v>
      </c>
      <c r="I1966" t="s">
        <v>33</v>
      </c>
    </row>
    <row r="1967" spans="1:9" x14ac:dyDescent="0.3">
      <c r="A1967" t="str">
        <f t="shared" si="30"/>
        <v>CASE-1966</v>
      </c>
      <c r="B1967" s="1">
        <v>45508</v>
      </c>
      <c r="C1967" t="s">
        <v>11</v>
      </c>
      <c r="D1967">
        <v>2</v>
      </c>
      <c r="E1967" t="b">
        <v>0</v>
      </c>
      <c r="F1967" s="2">
        <v>18.076376430561524</v>
      </c>
      <c r="G1967" t="b">
        <v>0</v>
      </c>
      <c r="H1967" t="s">
        <v>26</v>
      </c>
      <c r="I1967" t="s">
        <v>33</v>
      </c>
    </row>
    <row r="1968" spans="1:9" x14ac:dyDescent="0.3">
      <c r="A1968" t="str">
        <f t="shared" si="30"/>
        <v>CASE-1967</v>
      </c>
      <c r="B1968" s="1">
        <v>45847</v>
      </c>
      <c r="C1968" t="s">
        <v>9</v>
      </c>
      <c r="D1968">
        <v>2</v>
      </c>
      <c r="E1968" t="b">
        <v>1</v>
      </c>
      <c r="F1968" s="2">
        <v>15.71322883514426</v>
      </c>
      <c r="G1968" t="b">
        <v>0</v>
      </c>
      <c r="H1968" t="s">
        <v>25</v>
      </c>
      <c r="I1968" t="s">
        <v>33</v>
      </c>
    </row>
    <row r="1969" spans="1:9" x14ac:dyDescent="0.3">
      <c r="A1969" t="str">
        <f t="shared" si="30"/>
        <v>CASE-1968</v>
      </c>
      <c r="B1969" s="1">
        <v>45826</v>
      </c>
      <c r="C1969" t="s">
        <v>10</v>
      </c>
      <c r="D1969">
        <v>2</v>
      </c>
      <c r="E1969" t="b">
        <v>1</v>
      </c>
      <c r="F1969" s="2">
        <v>8.2555050192178285</v>
      </c>
      <c r="G1969" t="b">
        <v>0</v>
      </c>
      <c r="H1969" t="s">
        <v>24</v>
      </c>
      <c r="I1969" t="s">
        <v>34</v>
      </c>
    </row>
    <row r="1970" spans="1:9" x14ac:dyDescent="0.3">
      <c r="A1970" t="str">
        <f t="shared" si="30"/>
        <v>CASE-1969</v>
      </c>
      <c r="B1970" s="1">
        <v>46163</v>
      </c>
      <c r="C1970" t="s">
        <v>12</v>
      </c>
      <c r="D1970">
        <v>2</v>
      </c>
      <c r="E1970" t="b">
        <v>1</v>
      </c>
      <c r="F1970" s="2">
        <v>16.774814439727312</v>
      </c>
      <c r="G1970" t="b">
        <v>0</v>
      </c>
      <c r="H1970" t="s">
        <v>22</v>
      </c>
      <c r="I1970" t="s">
        <v>33</v>
      </c>
    </row>
    <row r="1971" spans="1:9" x14ac:dyDescent="0.3">
      <c r="A1971" t="str">
        <f t="shared" si="30"/>
        <v>CASE-1970</v>
      </c>
      <c r="B1971" s="1">
        <v>45586</v>
      </c>
      <c r="C1971" t="s">
        <v>12</v>
      </c>
      <c r="D1971">
        <v>3</v>
      </c>
      <c r="E1971" t="b">
        <v>0</v>
      </c>
      <c r="F1971" s="2">
        <v>20.345834184426653</v>
      </c>
      <c r="G1971" t="b">
        <v>0</v>
      </c>
      <c r="H1971" t="s">
        <v>15</v>
      </c>
      <c r="I1971" t="s">
        <v>33</v>
      </c>
    </row>
    <row r="1972" spans="1:9" x14ac:dyDescent="0.3">
      <c r="A1972" t="str">
        <f t="shared" si="30"/>
        <v>CASE-1971</v>
      </c>
      <c r="B1972" s="1">
        <v>45664</v>
      </c>
      <c r="C1972" t="s">
        <v>10</v>
      </c>
      <c r="D1972">
        <v>2</v>
      </c>
      <c r="E1972" t="b">
        <v>1</v>
      </c>
      <c r="F1972" s="2">
        <v>1.6355574130802859</v>
      </c>
      <c r="G1972" t="b">
        <v>0</v>
      </c>
      <c r="H1972" t="s">
        <v>21</v>
      </c>
      <c r="I1972" t="s">
        <v>34</v>
      </c>
    </row>
    <row r="1973" spans="1:9" x14ac:dyDescent="0.3">
      <c r="A1973" t="str">
        <f t="shared" si="30"/>
        <v>CASE-1972</v>
      </c>
      <c r="B1973" s="1">
        <v>45499</v>
      </c>
      <c r="C1973" t="s">
        <v>12</v>
      </c>
      <c r="D1973">
        <v>2</v>
      </c>
      <c r="E1973" t="b">
        <v>0</v>
      </c>
      <c r="F1973" s="2">
        <v>24.772102694734929</v>
      </c>
      <c r="G1973" t="b">
        <v>0</v>
      </c>
      <c r="H1973" t="s">
        <v>29</v>
      </c>
      <c r="I1973" t="s">
        <v>33</v>
      </c>
    </row>
    <row r="1974" spans="1:9" x14ac:dyDescent="0.3">
      <c r="A1974" t="str">
        <f t="shared" si="30"/>
        <v>CASE-1973</v>
      </c>
      <c r="B1974" s="1">
        <v>45541</v>
      </c>
      <c r="C1974" t="s">
        <v>9</v>
      </c>
      <c r="D1974">
        <v>4</v>
      </c>
      <c r="E1974" t="b">
        <v>0</v>
      </c>
      <c r="F1974" s="2">
        <v>36.405627379928092</v>
      </c>
      <c r="G1974" t="b">
        <v>0</v>
      </c>
      <c r="H1974" t="s">
        <v>20</v>
      </c>
      <c r="I1974" t="s">
        <v>33</v>
      </c>
    </row>
    <row r="1975" spans="1:9" x14ac:dyDescent="0.3">
      <c r="A1975" t="str">
        <f t="shared" si="30"/>
        <v>CASE-1974</v>
      </c>
      <c r="B1975" s="1">
        <v>46084</v>
      </c>
      <c r="C1975" t="s">
        <v>11</v>
      </c>
      <c r="D1975">
        <v>3</v>
      </c>
      <c r="E1975" t="b">
        <v>1</v>
      </c>
      <c r="F1975" s="2">
        <v>10.763526720058771</v>
      </c>
      <c r="G1975" t="b">
        <v>0</v>
      </c>
      <c r="H1975" t="s">
        <v>20</v>
      </c>
      <c r="I1975" t="s">
        <v>34</v>
      </c>
    </row>
    <row r="1976" spans="1:9" x14ac:dyDescent="0.3">
      <c r="A1976" t="str">
        <f t="shared" si="30"/>
        <v>CASE-1975</v>
      </c>
      <c r="B1976" s="1">
        <v>46192</v>
      </c>
      <c r="C1976" t="s">
        <v>10</v>
      </c>
      <c r="D1976">
        <v>2</v>
      </c>
      <c r="E1976" t="b">
        <v>1</v>
      </c>
      <c r="F1976" s="2">
        <v>4.7540065050556315</v>
      </c>
      <c r="G1976" t="b">
        <v>0</v>
      </c>
      <c r="H1976" t="s">
        <v>21</v>
      </c>
      <c r="I1976" t="s">
        <v>34</v>
      </c>
    </row>
    <row r="1977" spans="1:9" x14ac:dyDescent="0.3">
      <c r="A1977" t="str">
        <f t="shared" si="30"/>
        <v>CASE-1976</v>
      </c>
      <c r="B1977" s="1">
        <v>45605</v>
      </c>
      <c r="C1977" t="s">
        <v>9</v>
      </c>
      <c r="D1977">
        <v>4</v>
      </c>
      <c r="E1977" t="b">
        <v>0</v>
      </c>
      <c r="F1977" s="2">
        <v>25.21243020999114</v>
      </c>
      <c r="G1977" t="b">
        <v>0</v>
      </c>
      <c r="H1977" t="s">
        <v>28</v>
      </c>
      <c r="I1977" t="s">
        <v>33</v>
      </c>
    </row>
    <row r="1978" spans="1:9" x14ac:dyDescent="0.3">
      <c r="A1978" t="str">
        <f t="shared" si="30"/>
        <v>CASE-1977</v>
      </c>
      <c r="B1978" s="1">
        <v>46110</v>
      </c>
      <c r="C1978" t="s">
        <v>11</v>
      </c>
      <c r="D1978">
        <v>5</v>
      </c>
      <c r="E1978" t="b">
        <v>1</v>
      </c>
      <c r="F1978" s="2">
        <v>7.5374368012903963</v>
      </c>
      <c r="G1978" t="b">
        <v>0</v>
      </c>
      <c r="H1978" t="s">
        <v>13</v>
      </c>
      <c r="I1978" t="s">
        <v>34</v>
      </c>
    </row>
    <row r="1979" spans="1:9" x14ac:dyDescent="0.3">
      <c r="A1979" t="str">
        <f t="shared" si="30"/>
        <v>CASE-1978</v>
      </c>
      <c r="B1979" s="1">
        <v>46046</v>
      </c>
      <c r="C1979" t="s">
        <v>12</v>
      </c>
      <c r="D1979">
        <v>5</v>
      </c>
      <c r="E1979" t="b">
        <v>1</v>
      </c>
      <c r="F1979" s="2">
        <v>23.762883683260103</v>
      </c>
      <c r="G1979" t="b">
        <v>0</v>
      </c>
      <c r="H1979" t="s">
        <v>19</v>
      </c>
      <c r="I1979" t="s">
        <v>33</v>
      </c>
    </row>
    <row r="1980" spans="1:9" x14ac:dyDescent="0.3">
      <c r="A1980" t="str">
        <f t="shared" si="30"/>
        <v>CASE-1979</v>
      </c>
      <c r="B1980" s="1">
        <v>46081</v>
      </c>
      <c r="C1980" t="s">
        <v>10</v>
      </c>
      <c r="D1980">
        <v>1</v>
      </c>
      <c r="E1980" t="b">
        <v>1</v>
      </c>
      <c r="F1980" s="2">
        <v>21.517124849112605</v>
      </c>
      <c r="G1980" t="b">
        <v>0</v>
      </c>
      <c r="H1980" t="s">
        <v>23</v>
      </c>
      <c r="I1980" t="s">
        <v>33</v>
      </c>
    </row>
    <row r="1981" spans="1:9" x14ac:dyDescent="0.3">
      <c r="A1981" t="str">
        <f t="shared" si="30"/>
        <v>CASE-1980</v>
      </c>
      <c r="B1981" s="1">
        <v>45876</v>
      </c>
      <c r="C1981" t="s">
        <v>11</v>
      </c>
      <c r="D1981">
        <v>2</v>
      </c>
      <c r="E1981" t="b">
        <v>1</v>
      </c>
      <c r="F1981" s="2">
        <v>1.9238691739419771</v>
      </c>
      <c r="G1981" t="b">
        <v>0</v>
      </c>
      <c r="H1981" t="s">
        <v>32</v>
      </c>
      <c r="I1981" t="s">
        <v>34</v>
      </c>
    </row>
    <row r="1982" spans="1:9" x14ac:dyDescent="0.3">
      <c r="A1982" t="str">
        <f t="shared" si="30"/>
        <v>CASE-1981</v>
      </c>
      <c r="B1982" s="1">
        <v>45726</v>
      </c>
      <c r="C1982" t="s">
        <v>9</v>
      </c>
      <c r="D1982">
        <v>1</v>
      </c>
      <c r="E1982" t="b">
        <v>1</v>
      </c>
      <c r="F1982" s="2">
        <v>21.930725017390134</v>
      </c>
      <c r="G1982" t="b">
        <v>0</v>
      </c>
      <c r="H1982" t="s">
        <v>24</v>
      </c>
      <c r="I1982" t="s">
        <v>33</v>
      </c>
    </row>
    <row r="1983" spans="1:9" x14ac:dyDescent="0.3">
      <c r="A1983" t="str">
        <f t="shared" si="30"/>
        <v>CASE-1982</v>
      </c>
      <c r="B1983" s="1">
        <v>45504</v>
      </c>
      <c r="C1983" t="s">
        <v>9</v>
      </c>
      <c r="D1983">
        <v>3</v>
      </c>
      <c r="E1983" t="b">
        <v>0</v>
      </c>
      <c r="F1983" s="2">
        <v>14.947190120412916</v>
      </c>
      <c r="G1983" t="b">
        <v>0</v>
      </c>
      <c r="H1983" t="s">
        <v>25</v>
      </c>
      <c r="I1983" t="s">
        <v>33</v>
      </c>
    </row>
    <row r="1984" spans="1:9" x14ac:dyDescent="0.3">
      <c r="A1984" t="str">
        <f t="shared" si="30"/>
        <v>CASE-1983</v>
      </c>
      <c r="B1984" s="1">
        <v>45474</v>
      </c>
      <c r="C1984" t="s">
        <v>9</v>
      </c>
      <c r="D1984">
        <v>4</v>
      </c>
      <c r="E1984" t="b">
        <v>0</v>
      </c>
      <c r="F1984" s="2">
        <v>20.442078265191657</v>
      </c>
      <c r="G1984" t="b">
        <v>0</v>
      </c>
      <c r="H1984" t="s">
        <v>27</v>
      </c>
      <c r="I1984" t="s">
        <v>33</v>
      </c>
    </row>
    <row r="1985" spans="1:9" x14ac:dyDescent="0.3">
      <c r="A1985" t="str">
        <f t="shared" si="30"/>
        <v>CASE-1984</v>
      </c>
      <c r="B1985" s="1">
        <v>46048</v>
      </c>
      <c r="C1985" t="s">
        <v>12</v>
      </c>
      <c r="D1985">
        <v>2</v>
      </c>
      <c r="E1985" t="b">
        <v>1</v>
      </c>
      <c r="F1985" s="2">
        <v>3.396503714405132</v>
      </c>
      <c r="G1985" t="b">
        <v>0</v>
      </c>
      <c r="H1985" t="s">
        <v>18</v>
      </c>
      <c r="I1985" t="s">
        <v>34</v>
      </c>
    </row>
    <row r="1986" spans="1:9" x14ac:dyDescent="0.3">
      <c r="A1986" t="str">
        <f t="shared" si="30"/>
        <v>CASE-1985</v>
      </c>
      <c r="B1986" s="1">
        <v>45630</v>
      </c>
      <c r="C1986" t="s">
        <v>9</v>
      </c>
      <c r="D1986">
        <v>1</v>
      </c>
      <c r="E1986" t="b">
        <v>0</v>
      </c>
      <c r="F1986" s="2">
        <v>26.376306255812235</v>
      </c>
      <c r="G1986" t="b">
        <v>0</v>
      </c>
      <c r="H1986" t="s">
        <v>20</v>
      </c>
      <c r="I1986" t="s">
        <v>33</v>
      </c>
    </row>
    <row r="1987" spans="1:9" x14ac:dyDescent="0.3">
      <c r="A1987" t="str">
        <f t="shared" ref="A1987:A2050" si="31">"CASE-"&amp;TEXT(ROW()-1,"0000")</f>
        <v>CASE-1986</v>
      </c>
      <c r="B1987" s="1">
        <v>46015</v>
      </c>
      <c r="C1987" t="s">
        <v>10</v>
      </c>
      <c r="D1987">
        <v>1</v>
      </c>
      <c r="E1987" t="b">
        <v>1</v>
      </c>
      <c r="F1987" s="2">
        <v>4.6762925051762032</v>
      </c>
      <c r="G1987" t="b">
        <v>0</v>
      </c>
      <c r="H1987" t="s">
        <v>22</v>
      </c>
      <c r="I1987" t="s">
        <v>34</v>
      </c>
    </row>
    <row r="1988" spans="1:9" x14ac:dyDescent="0.3">
      <c r="A1988" t="str">
        <f t="shared" si="31"/>
        <v>CASE-1987</v>
      </c>
      <c r="B1988" s="1">
        <v>45650</v>
      </c>
      <c r="C1988" t="s">
        <v>10</v>
      </c>
      <c r="D1988">
        <v>4</v>
      </c>
      <c r="E1988" t="b">
        <v>0</v>
      </c>
      <c r="F1988" s="2">
        <v>33.943316807076016</v>
      </c>
      <c r="G1988" t="b">
        <v>0</v>
      </c>
      <c r="H1988" t="s">
        <v>16</v>
      </c>
      <c r="I1988" t="s">
        <v>33</v>
      </c>
    </row>
    <row r="1989" spans="1:9" x14ac:dyDescent="0.3">
      <c r="A1989" t="str">
        <f t="shared" si="31"/>
        <v>CASE-1988</v>
      </c>
      <c r="B1989" s="1">
        <v>45657</v>
      </c>
      <c r="C1989" t="s">
        <v>12</v>
      </c>
      <c r="D1989">
        <v>5</v>
      </c>
      <c r="E1989" t="b">
        <v>0</v>
      </c>
      <c r="F1989" s="2">
        <v>31.835008021372722</v>
      </c>
      <c r="G1989" t="b">
        <v>0</v>
      </c>
      <c r="H1989" t="s">
        <v>25</v>
      </c>
      <c r="I1989" t="s">
        <v>33</v>
      </c>
    </row>
    <row r="1990" spans="1:9" x14ac:dyDescent="0.3">
      <c r="A1990" t="str">
        <f t="shared" si="31"/>
        <v>CASE-1989</v>
      </c>
      <c r="B1990" s="1">
        <v>46181</v>
      </c>
      <c r="C1990" t="s">
        <v>10</v>
      </c>
      <c r="D1990">
        <v>2</v>
      </c>
      <c r="E1990" t="b">
        <v>0</v>
      </c>
      <c r="F1990" s="2">
        <v>16.227761900904927</v>
      </c>
      <c r="G1990" t="b">
        <v>0</v>
      </c>
      <c r="H1990" t="s">
        <v>18</v>
      </c>
      <c r="I1990" t="s">
        <v>33</v>
      </c>
    </row>
    <row r="1991" spans="1:9" x14ac:dyDescent="0.3">
      <c r="A1991" t="str">
        <f t="shared" si="31"/>
        <v>CASE-1990</v>
      </c>
      <c r="B1991" s="1">
        <v>45654</v>
      </c>
      <c r="C1991" t="s">
        <v>11</v>
      </c>
      <c r="D1991">
        <v>5</v>
      </c>
      <c r="E1991" t="b">
        <v>0</v>
      </c>
      <c r="F1991" s="2">
        <v>11.749792579842687</v>
      </c>
      <c r="G1991" t="b">
        <v>0</v>
      </c>
      <c r="H1991" t="s">
        <v>14</v>
      </c>
      <c r="I1991" t="s">
        <v>33</v>
      </c>
    </row>
    <row r="1992" spans="1:9" x14ac:dyDescent="0.3">
      <c r="A1992" t="str">
        <f t="shared" si="31"/>
        <v>CASE-1991</v>
      </c>
      <c r="B1992" s="1">
        <v>45948</v>
      </c>
      <c r="C1992" t="s">
        <v>12</v>
      </c>
      <c r="D1992">
        <v>1</v>
      </c>
      <c r="E1992" t="b">
        <v>1</v>
      </c>
      <c r="F1992" s="2">
        <v>15.226726102233695</v>
      </c>
      <c r="G1992" t="b">
        <v>0</v>
      </c>
      <c r="H1992" t="s">
        <v>28</v>
      </c>
      <c r="I1992" t="s">
        <v>33</v>
      </c>
    </row>
    <row r="1993" spans="1:9" x14ac:dyDescent="0.3">
      <c r="A1993" t="str">
        <f t="shared" si="31"/>
        <v>CASE-1992</v>
      </c>
      <c r="B1993" s="1">
        <v>45871</v>
      </c>
      <c r="C1993" t="s">
        <v>12</v>
      </c>
      <c r="D1993">
        <v>3</v>
      </c>
      <c r="E1993" t="b">
        <v>1</v>
      </c>
      <c r="F1993" s="2">
        <v>7.6684157254275407</v>
      </c>
      <c r="G1993" t="b">
        <v>0</v>
      </c>
      <c r="H1993" t="s">
        <v>27</v>
      </c>
      <c r="I1993" t="s">
        <v>34</v>
      </c>
    </row>
    <row r="1994" spans="1:9" x14ac:dyDescent="0.3">
      <c r="A1994" t="str">
        <f t="shared" si="31"/>
        <v>CASE-1993</v>
      </c>
      <c r="B1994" s="1">
        <v>45766</v>
      </c>
      <c r="C1994" t="s">
        <v>10</v>
      </c>
      <c r="D1994">
        <v>2</v>
      </c>
      <c r="E1994" t="b">
        <v>0</v>
      </c>
      <c r="F1994" s="2">
        <v>16.495431701105929</v>
      </c>
      <c r="G1994" t="b">
        <v>1</v>
      </c>
      <c r="H1994" t="s">
        <v>30</v>
      </c>
      <c r="I1994" t="s">
        <v>33</v>
      </c>
    </row>
    <row r="1995" spans="1:9" x14ac:dyDescent="0.3">
      <c r="A1995" t="str">
        <f t="shared" si="31"/>
        <v>CASE-1994</v>
      </c>
      <c r="B1995" s="1">
        <v>45931</v>
      </c>
      <c r="C1995" t="s">
        <v>9</v>
      </c>
      <c r="D1995">
        <v>1</v>
      </c>
      <c r="E1995" t="b">
        <v>1</v>
      </c>
      <c r="F1995" s="2">
        <v>7.6744393645556288</v>
      </c>
      <c r="G1995" t="b">
        <v>0</v>
      </c>
      <c r="H1995" t="s">
        <v>21</v>
      </c>
      <c r="I1995" t="s">
        <v>34</v>
      </c>
    </row>
    <row r="1996" spans="1:9" x14ac:dyDescent="0.3">
      <c r="A1996" t="str">
        <f t="shared" si="31"/>
        <v>CASE-1995</v>
      </c>
      <c r="B1996" s="1">
        <v>45579</v>
      </c>
      <c r="C1996" t="s">
        <v>11</v>
      </c>
      <c r="D1996">
        <v>3</v>
      </c>
      <c r="E1996" t="b">
        <v>0</v>
      </c>
      <c r="F1996" s="2">
        <v>21.360345794189485</v>
      </c>
      <c r="G1996" t="b">
        <v>0</v>
      </c>
      <c r="H1996" t="s">
        <v>16</v>
      </c>
      <c r="I1996" t="s">
        <v>33</v>
      </c>
    </row>
    <row r="1997" spans="1:9" x14ac:dyDescent="0.3">
      <c r="A1997" t="str">
        <f t="shared" si="31"/>
        <v>CASE-1996</v>
      </c>
      <c r="B1997" s="1">
        <v>45725</v>
      </c>
      <c r="C1997" t="s">
        <v>10</v>
      </c>
      <c r="D1997">
        <v>1</v>
      </c>
      <c r="E1997" t="b">
        <v>1</v>
      </c>
      <c r="F1997" s="2">
        <v>5.3810479727914959</v>
      </c>
      <c r="G1997" t="b">
        <v>0</v>
      </c>
      <c r="H1997" t="s">
        <v>23</v>
      </c>
      <c r="I1997" t="s">
        <v>34</v>
      </c>
    </row>
    <row r="1998" spans="1:9" x14ac:dyDescent="0.3">
      <c r="A1998" t="str">
        <f t="shared" si="31"/>
        <v>CASE-1997</v>
      </c>
      <c r="B1998" s="1">
        <v>46157</v>
      </c>
      <c r="C1998" t="s">
        <v>11</v>
      </c>
      <c r="D1998">
        <v>4</v>
      </c>
      <c r="E1998" t="b">
        <v>1</v>
      </c>
      <c r="F1998" s="2">
        <v>5.9336773933391358</v>
      </c>
      <c r="G1998" t="b">
        <v>0</v>
      </c>
      <c r="H1998" t="s">
        <v>30</v>
      </c>
      <c r="I1998" t="s">
        <v>34</v>
      </c>
    </row>
    <row r="1999" spans="1:9" x14ac:dyDescent="0.3">
      <c r="A1999" t="str">
        <f t="shared" si="31"/>
        <v>CASE-1998</v>
      </c>
      <c r="B1999" s="1">
        <v>45599</v>
      </c>
      <c r="C1999" t="s">
        <v>9</v>
      </c>
      <c r="D1999">
        <v>2</v>
      </c>
      <c r="E1999" t="b">
        <v>0</v>
      </c>
      <c r="F1999" s="2">
        <v>26.124619958194458</v>
      </c>
      <c r="G1999" t="b">
        <v>0</v>
      </c>
      <c r="H1999" t="s">
        <v>31</v>
      </c>
      <c r="I1999" t="s">
        <v>33</v>
      </c>
    </row>
    <row r="2000" spans="1:9" x14ac:dyDescent="0.3">
      <c r="A2000" t="str">
        <f t="shared" si="31"/>
        <v>CASE-1999</v>
      </c>
      <c r="B2000" s="1">
        <v>45934</v>
      </c>
      <c r="C2000" t="s">
        <v>9</v>
      </c>
      <c r="D2000">
        <v>3</v>
      </c>
      <c r="E2000" t="b">
        <v>1</v>
      </c>
      <c r="F2000" s="2">
        <v>11.266710140687955</v>
      </c>
      <c r="G2000" t="b">
        <v>0</v>
      </c>
      <c r="H2000" t="s">
        <v>23</v>
      </c>
      <c r="I2000" t="s">
        <v>33</v>
      </c>
    </row>
    <row r="2001" spans="1:9" x14ac:dyDescent="0.3">
      <c r="A2001" t="str">
        <f t="shared" si="31"/>
        <v>CASE-2000</v>
      </c>
      <c r="B2001" s="1">
        <v>45516</v>
      </c>
      <c r="C2001" t="s">
        <v>10</v>
      </c>
      <c r="D2001">
        <v>4</v>
      </c>
      <c r="E2001" t="b">
        <v>0</v>
      </c>
      <c r="F2001" s="2">
        <v>19.823327900766149</v>
      </c>
      <c r="G2001" t="b">
        <v>0</v>
      </c>
      <c r="H2001" t="s">
        <v>30</v>
      </c>
      <c r="I2001" t="s">
        <v>33</v>
      </c>
    </row>
    <row r="2002" spans="1:9" x14ac:dyDescent="0.3">
      <c r="A2002" t="str">
        <f t="shared" si="31"/>
        <v>CASE-2001</v>
      </c>
      <c r="B2002" s="1">
        <v>46144</v>
      </c>
      <c r="C2002" t="s">
        <v>11</v>
      </c>
      <c r="D2002">
        <v>2</v>
      </c>
      <c r="E2002" t="b">
        <v>1</v>
      </c>
      <c r="F2002" s="2">
        <v>5.6844873307384631</v>
      </c>
      <c r="G2002" t="b">
        <v>0</v>
      </c>
      <c r="H2002" t="s">
        <v>23</v>
      </c>
      <c r="I2002" t="s">
        <v>34</v>
      </c>
    </row>
    <row r="2003" spans="1:9" x14ac:dyDescent="0.3">
      <c r="A2003" t="str">
        <f t="shared" si="31"/>
        <v>CASE-2002</v>
      </c>
      <c r="B2003" s="1">
        <v>46203</v>
      </c>
      <c r="C2003" t="s">
        <v>9</v>
      </c>
      <c r="D2003">
        <v>3</v>
      </c>
      <c r="E2003" t="b">
        <v>1</v>
      </c>
      <c r="F2003" s="2">
        <v>7.0958050471251051</v>
      </c>
      <c r="G2003" t="b">
        <v>0</v>
      </c>
      <c r="H2003" t="s">
        <v>32</v>
      </c>
      <c r="I2003" t="s">
        <v>34</v>
      </c>
    </row>
    <row r="2004" spans="1:9" x14ac:dyDescent="0.3">
      <c r="A2004" t="str">
        <f t="shared" si="31"/>
        <v>CASE-2003</v>
      </c>
      <c r="B2004" s="1">
        <v>45629</v>
      </c>
      <c r="C2004" t="s">
        <v>9</v>
      </c>
      <c r="D2004">
        <v>4</v>
      </c>
      <c r="E2004" t="b">
        <v>0</v>
      </c>
      <c r="F2004" s="2">
        <v>21.763136950191942</v>
      </c>
      <c r="G2004" t="b">
        <v>0</v>
      </c>
      <c r="H2004" t="s">
        <v>15</v>
      </c>
      <c r="I2004" t="s">
        <v>33</v>
      </c>
    </row>
    <row r="2005" spans="1:9" x14ac:dyDescent="0.3">
      <c r="A2005" t="str">
        <f t="shared" si="31"/>
        <v>CASE-2004</v>
      </c>
      <c r="B2005" s="1">
        <v>46202</v>
      </c>
      <c r="C2005" t="s">
        <v>9</v>
      </c>
      <c r="D2005">
        <v>3</v>
      </c>
      <c r="E2005" t="b">
        <v>0</v>
      </c>
      <c r="F2005" s="2">
        <v>7.2690909157613923</v>
      </c>
      <c r="G2005" t="b">
        <v>0</v>
      </c>
      <c r="H2005" t="s">
        <v>27</v>
      </c>
      <c r="I2005" t="s">
        <v>34</v>
      </c>
    </row>
    <row r="2006" spans="1:9" x14ac:dyDescent="0.3">
      <c r="A2006" t="str">
        <f t="shared" si="31"/>
        <v>CASE-2005</v>
      </c>
      <c r="B2006" s="1">
        <v>45596</v>
      </c>
      <c r="C2006" t="s">
        <v>11</v>
      </c>
      <c r="D2006">
        <v>4</v>
      </c>
      <c r="E2006" t="b">
        <v>0</v>
      </c>
      <c r="F2006" s="2">
        <v>26.778843661956781</v>
      </c>
      <c r="G2006" t="b">
        <v>0</v>
      </c>
      <c r="H2006" t="s">
        <v>24</v>
      </c>
      <c r="I2006" t="s">
        <v>33</v>
      </c>
    </row>
    <row r="2007" spans="1:9" x14ac:dyDescent="0.3">
      <c r="A2007" t="str">
        <f t="shared" si="31"/>
        <v>CASE-2006</v>
      </c>
      <c r="B2007" s="1">
        <v>45686</v>
      </c>
      <c r="C2007" t="s">
        <v>11</v>
      </c>
      <c r="D2007">
        <v>1</v>
      </c>
      <c r="E2007" t="b">
        <v>1</v>
      </c>
      <c r="F2007" s="2">
        <v>24.520261777089392</v>
      </c>
      <c r="G2007" t="b">
        <v>0</v>
      </c>
      <c r="H2007" t="s">
        <v>29</v>
      </c>
      <c r="I2007" t="s">
        <v>33</v>
      </c>
    </row>
    <row r="2008" spans="1:9" x14ac:dyDescent="0.3">
      <c r="A2008" t="str">
        <f t="shared" si="31"/>
        <v>CASE-2007</v>
      </c>
      <c r="B2008" s="1">
        <v>45792</v>
      </c>
      <c r="C2008" t="s">
        <v>10</v>
      </c>
      <c r="D2008">
        <v>5</v>
      </c>
      <c r="E2008" t="b">
        <v>0</v>
      </c>
      <c r="F2008" s="2">
        <v>37.603995125240573</v>
      </c>
      <c r="G2008" t="b">
        <v>0</v>
      </c>
      <c r="H2008" t="s">
        <v>23</v>
      </c>
      <c r="I2008" t="s">
        <v>33</v>
      </c>
    </row>
    <row r="2009" spans="1:9" x14ac:dyDescent="0.3">
      <c r="A2009" t="str">
        <f t="shared" si="31"/>
        <v>CASE-2008</v>
      </c>
      <c r="B2009" s="1">
        <v>45974</v>
      </c>
      <c r="C2009" t="s">
        <v>11</v>
      </c>
      <c r="D2009">
        <v>5</v>
      </c>
      <c r="E2009" t="b">
        <v>1</v>
      </c>
      <c r="F2009" s="2">
        <v>24.590067040167238</v>
      </c>
      <c r="G2009" t="b">
        <v>0</v>
      </c>
      <c r="H2009" t="s">
        <v>20</v>
      </c>
      <c r="I2009" t="s">
        <v>33</v>
      </c>
    </row>
    <row r="2010" spans="1:9" x14ac:dyDescent="0.3">
      <c r="A2010" t="str">
        <f t="shared" si="31"/>
        <v>CASE-2009</v>
      </c>
      <c r="B2010" s="1">
        <v>45821</v>
      </c>
      <c r="C2010" t="s">
        <v>10</v>
      </c>
      <c r="D2010">
        <v>3</v>
      </c>
      <c r="E2010" t="b">
        <v>1</v>
      </c>
      <c r="F2010" s="2">
        <v>7.5159697037540631</v>
      </c>
      <c r="G2010" t="b">
        <v>0</v>
      </c>
      <c r="H2010" t="s">
        <v>14</v>
      </c>
      <c r="I2010" t="s">
        <v>34</v>
      </c>
    </row>
    <row r="2011" spans="1:9" x14ac:dyDescent="0.3">
      <c r="A2011" t="str">
        <f t="shared" si="31"/>
        <v>CASE-2010</v>
      </c>
      <c r="B2011" s="1">
        <v>45953</v>
      </c>
      <c r="C2011" t="s">
        <v>11</v>
      </c>
      <c r="D2011">
        <v>2</v>
      </c>
      <c r="E2011" t="b">
        <v>1</v>
      </c>
      <c r="F2011" s="2">
        <v>2.0655487648910902</v>
      </c>
      <c r="G2011" t="b">
        <v>0</v>
      </c>
      <c r="H2011" t="s">
        <v>22</v>
      </c>
      <c r="I2011" t="s">
        <v>34</v>
      </c>
    </row>
    <row r="2012" spans="1:9" x14ac:dyDescent="0.3">
      <c r="A2012" t="str">
        <f t="shared" si="31"/>
        <v>CASE-2011</v>
      </c>
      <c r="B2012" s="1">
        <v>45641</v>
      </c>
      <c r="C2012" t="s">
        <v>9</v>
      </c>
      <c r="D2012">
        <v>5</v>
      </c>
      <c r="E2012" t="b">
        <v>0</v>
      </c>
      <c r="F2012" s="2">
        <v>36.730990418700891</v>
      </c>
      <c r="G2012" t="b">
        <v>0</v>
      </c>
      <c r="H2012" t="s">
        <v>20</v>
      </c>
      <c r="I2012" t="s">
        <v>33</v>
      </c>
    </row>
    <row r="2013" spans="1:9" x14ac:dyDescent="0.3">
      <c r="A2013" t="str">
        <f t="shared" si="31"/>
        <v>CASE-2012</v>
      </c>
      <c r="B2013" s="1">
        <v>45553</v>
      </c>
      <c r="C2013" t="s">
        <v>9</v>
      </c>
      <c r="D2013">
        <v>2</v>
      </c>
      <c r="E2013" t="b">
        <v>0</v>
      </c>
      <c r="F2013" s="2">
        <v>25.466038449196635</v>
      </c>
      <c r="G2013" t="b">
        <v>0</v>
      </c>
      <c r="H2013" t="s">
        <v>15</v>
      </c>
      <c r="I2013" t="s">
        <v>33</v>
      </c>
    </row>
    <row r="2014" spans="1:9" x14ac:dyDescent="0.3">
      <c r="A2014" t="str">
        <f t="shared" si="31"/>
        <v>CASE-2013</v>
      </c>
      <c r="B2014" s="1">
        <v>45947</v>
      </c>
      <c r="C2014" t="s">
        <v>12</v>
      </c>
      <c r="D2014">
        <v>2</v>
      </c>
      <c r="E2014" t="b">
        <v>1</v>
      </c>
      <c r="F2014" s="2">
        <v>2.4477583905393456</v>
      </c>
      <c r="G2014" t="b">
        <v>0</v>
      </c>
      <c r="H2014" t="s">
        <v>28</v>
      </c>
      <c r="I2014" t="s">
        <v>34</v>
      </c>
    </row>
    <row r="2015" spans="1:9" x14ac:dyDescent="0.3">
      <c r="A2015" t="str">
        <f t="shared" si="31"/>
        <v>CASE-2014</v>
      </c>
      <c r="B2015" s="1">
        <v>45522</v>
      </c>
      <c r="C2015" t="s">
        <v>10</v>
      </c>
      <c r="D2015">
        <v>5</v>
      </c>
      <c r="E2015" t="b">
        <v>0</v>
      </c>
      <c r="F2015" s="2">
        <v>23.03594682483574</v>
      </c>
      <c r="G2015" t="b">
        <v>0</v>
      </c>
      <c r="H2015" t="s">
        <v>27</v>
      </c>
      <c r="I2015" t="s">
        <v>33</v>
      </c>
    </row>
    <row r="2016" spans="1:9" x14ac:dyDescent="0.3">
      <c r="A2016" t="str">
        <f t="shared" si="31"/>
        <v>CASE-2015</v>
      </c>
      <c r="B2016" s="1">
        <v>45665</v>
      </c>
      <c r="C2016" t="s">
        <v>9</v>
      </c>
      <c r="D2016">
        <v>4</v>
      </c>
      <c r="E2016" t="b">
        <v>1</v>
      </c>
      <c r="F2016" s="2">
        <v>8.2315866534790256</v>
      </c>
      <c r="G2016" t="b">
        <v>0</v>
      </c>
      <c r="H2016" t="s">
        <v>32</v>
      </c>
      <c r="I2016" t="s">
        <v>34</v>
      </c>
    </row>
    <row r="2017" spans="1:9" x14ac:dyDescent="0.3">
      <c r="A2017" t="str">
        <f t="shared" si="31"/>
        <v>CASE-2016</v>
      </c>
      <c r="B2017" s="1">
        <v>45475</v>
      </c>
      <c r="C2017" t="s">
        <v>12</v>
      </c>
      <c r="D2017">
        <v>2</v>
      </c>
      <c r="E2017" t="b">
        <v>0</v>
      </c>
      <c r="F2017" s="2">
        <v>28.863299993874158</v>
      </c>
      <c r="G2017" t="b">
        <v>0</v>
      </c>
      <c r="H2017" t="s">
        <v>29</v>
      </c>
      <c r="I2017" t="s">
        <v>33</v>
      </c>
    </row>
    <row r="2018" spans="1:9" x14ac:dyDescent="0.3">
      <c r="A2018" t="str">
        <f t="shared" si="31"/>
        <v>CASE-2017</v>
      </c>
      <c r="B2018" s="1">
        <v>45680</v>
      </c>
      <c r="C2018" t="s">
        <v>10</v>
      </c>
      <c r="D2018">
        <v>4</v>
      </c>
      <c r="E2018" t="b">
        <v>1</v>
      </c>
      <c r="F2018" s="2">
        <v>4.0765722446810191</v>
      </c>
      <c r="G2018" t="b">
        <v>0</v>
      </c>
      <c r="H2018" t="s">
        <v>18</v>
      </c>
      <c r="I2018" t="s">
        <v>34</v>
      </c>
    </row>
    <row r="2019" spans="1:9" x14ac:dyDescent="0.3">
      <c r="A2019" t="str">
        <f t="shared" si="31"/>
        <v>CASE-2018</v>
      </c>
      <c r="B2019" s="1">
        <v>45588</v>
      </c>
      <c r="C2019" t="s">
        <v>10</v>
      </c>
      <c r="D2019">
        <v>4</v>
      </c>
      <c r="E2019" t="b">
        <v>0</v>
      </c>
      <c r="F2019" s="2">
        <v>19.085543563179055</v>
      </c>
      <c r="G2019" t="b">
        <v>0</v>
      </c>
      <c r="H2019" t="s">
        <v>32</v>
      </c>
      <c r="I2019" t="s">
        <v>33</v>
      </c>
    </row>
    <row r="2020" spans="1:9" x14ac:dyDescent="0.3">
      <c r="A2020" t="str">
        <f t="shared" si="31"/>
        <v>CASE-2019</v>
      </c>
      <c r="B2020" s="1">
        <v>46175</v>
      </c>
      <c r="C2020" t="s">
        <v>10</v>
      </c>
      <c r="D2020">
        <v>2</v>
      </c>
      <c r="E2020" t="b">
        <v>0</v>
      </c>
      <c r="F2020" s="2">
        <v>6.6489972130923052</v>
      </c>
      <c r="G2020" t="b">
        <v>0</v>
      </c>
      <c r="H2020" t="s">
        <v>23</v>
      </c>
      <c r="I2020" t="s">
        <v>34</v>
      </c>
    </row>
    <row r="2021" spans="1:9" x14ac:dyDescent="0.3">
      <c r="A2021" t="str">
        <f t="shared" si="31"/>
        <v>CASE-2020</v>
      </c>
      <c r="B2021" s="1">
        <v>46107</v>
      </c>
      <c r="C2021" t="s">
        <v>11</v>
      </c>
      <c r="D2021">
        <v>2</v>
      </c>
      <c r="E2021" t="b">
        <v>1</v>
      </c>
      <c r="F2021" s="2">
        <v>24.699030313152523</v>
      </c>
      <c r="G2021" t="b">
        <v>0</v>
      </c>
      <c r="H2021" t="s">
        <v>30</v>
      </c>
      <c r="I2021" t="s">
        <v>33</v>
      </c>
    </row>
    <row r="2022" spans="1:9" x14ac:dyDescent="0.3">
      <c r="A2022" t="str">
        <f t="shared" si="31"/>
        <v>CASE-2021</v>
      </c>
      <c r="B2022" s="1">
        <v>45743</v>
      </c>
      <c r="C2022" t="s">
        <v>9</v>
      </c>
      <c r="D2022">
        <v>5</v>
      </c>
      <c r="E2022" t="b">
        <v>1</v>
      </c>
      <c r="F2022" s="2">
        <v>5.7319358973100512</v>
      </c>
      <c r="G2022" t="b">
        <v>0</v>
      </c>
      <c r="H2022" t="s">
        <v>27</v>
      </c>
      <c r="I2022" t="s">
        <v>34</v>
      </c>
    </row>
    <row r="2023" spans="1:9" x14ac:dyDescent="0.3">
      <c r="A2023" t="str">
        <f t="shared" si="31"/>
        <v>CASE-2022</v>
      </c>
      <c r="B2023" s="1">
        <v>45824</v>
      </c>
      <c r="C2023" t="s">
        <v>10</v>
      </c>
      <c r="D2023">
        <v>5</v>
      </c>
      <c r="E2023" t="b">
        <v>1</v>
      </c>
      <c r="F2023" s="2">
        <v>27.261461341372694</v>
      </c>
      <c r="G2023" t="b">
        <v>0</v>
      </c>
      <c r="H2023" t="s">
        <v>25</v>
      </c>
      <c r="I2023" t="s">
        <v>33</v>
      </c>
    </row>
    <row r="2024" spans="1:9" x14ac:dyDescent="0.3">
      <c r="A2024" t="str">
        <f t="shared" si="31"/>
        <v>CASE-2023</v>
      </c>
      <c r="B2024" s="1">
        <v>46175</v>
      </c>
      <c r="C2024" t="s">
        <v>9</v>
      </c>
      <c r="D2024">
        <v>3</v>
      </c>
      <c r="E2024" t="b">
        <v>0</v>
      </c>
      <c r="F2024" s="2">
        <v>4.8097897508530778</v>
      </c>
      <c r="G2024" t="b">
        <v>0</v>
      </c>
      <c r="H2024" t="s">
        <v>29</v>
      </c>
      <c r="I2024" t="s">
        <v>34</v>
      </c>
    </row>
    <row r="2025" spans="1:9" x14ac:dyDescent="0.3">
      <c r="A2025" t="str">
        <f t="shared" si="31"/>
        <v>CASE-2024</v>
      </c>
      <c r="B2025" s="1">
        <v>45894</v>
      </c>
      <c r="C2025" t="s">
        <v>10</v>
      </c>
      <c r="D2025">
        <v>4</v>
      </c>
      <c r="E2025" t="b">
        <v>0</v>
      </c>
      <c r="F2025" s="2">
        <v>1.178423665058757</v>
      </c>
      <c r="G2025" t="b">
        <v>0</v>
      </c>
      <c r="H2025" t="s">
        <v>23</v>
      </c>
      <c r="I2025" t="s">
        <v>34</v>
      </c>
    </row>
    <row r="2026" spans="1:9" x14ac:dyDescent="0.3">
      <c r="A2026" t="str">
        <f t="shared" si="31"/>
        <v>CASE-2025</v>
      </c>
      <c r="B2026" s="1">
        <v>45679</v>
      </c>
      <c r="C2026" t="s">
        <v>9</v>
      </c>
      <c r="D2026">
        <v>3</v>
      </c>
      <c r="E2026" t="b">
        <v>1</v>
      </c>
      <c r="F2026" s="2">
        <v>6.371134864897094</v>
      </c>
      <c r="G2026" t="b">
        <v>0</v>
      </c>
      <c r="H2026" t="s">
        <v>22</v>
      </c>
      <c r="I2026" t="s">
        <v>34</v>
      </c>
    </row>
    <row r="2027" spans="1:9" x14ac:dyDescent="0.3">
      <c r="A2027" t="str">
        <f t="shared" si="31"/>
        <v>CASE-2026</v>
      </c>
      <c r="B2027" s="1">
        <v>45749</v>
      </c>
      <c r="C2027" t="s">
        <v>9</v>
      </c>
      <c r="D2027">
        <v>1</v>
      </c>
      <c r="E2027" t="b">
        <v>1</v>
      </c>
      <c r="F2027" s="2">
        <v>5.4766375525389392</v>
      </c>
      <c r="G2027" t="b">
        <v>1</v>
      </c>
      <c r="H2027" t="s">
        <v>24</v>
      </c>
      <c r="I2027" t="s">
        <v>34</v>
      </c>
    </row>
    <row r="2028" spans="1:9" x14ac:dyDescent="0.3">
      <c r="A2028" t="str">
        <f t="shared" si="31"/>
        <v>CASE-2027</v>
      </c>
      <c r="B2028" s="1">
        <v>46014</v>
      </c>
      <c r="C2028" t="s">
        <v>10</v>
      </c>
      <c r="D2028">
        <v>5</v>
      </c>
      <c r="E2028" t="b">
        <v>1</v>
      </c>
      <c r="F2028" s="2">
        <v>5.9734284032163423</v>
      </c>
      <c r="G2028" t="b">
        <v>0</v>
      </c>
      <c r="H2028" t="s">
        <v>29</v>
      </c>
      <c r="I2028" t="s">
        <v>34</v>
      </c>
    </row>
    <row r="2029" spans="1:9" x14ac:dyDescent="0.3">
      <c r="A2029" t="str">
        <f t="shared" si="31"/>
        <v>CASE-2028</v>
      </c>
      <c r="B2029" s="1">
        <v>45998</v>
      </c>
      <c r="C2029" t="s">
        <v>10</v>
      </c>
      <c r="D2029">
        <v>5</v>
      </c>
      <c r="E2029" t="b">
        <v>1</v>
      </c>
      <c r="F2029" s="2">
        <v>6.0715697725729703</v>
      </c>
      <c r="G2029" t="b">
        <v>0</v>
      </c>
      <c r="H2029" t="s">
        <v>25</v>
      </c>
      <c r="I2029" t="s">
        <v>34</v>
      </c>
    </row>
    <row r="2030" spans="1:9" x14ac:dyDescent="0.3">
      <c r="A2030" t="str">
        <f t="shared" si="31"/>
        <v>CASE-2029</v>
      </c>
      <c r="B2030" s="1">
        <v>45987</v>
      </c>
      <c r="C2030" t="s">
        <v>11</v>
      </c>
      <c r="D2030">
        <v>4</v>
      </c>
      <c r="E2030" t="b">
        <v>1</v>
      </c>
      <c r="F2030" s="2">
        <v>22.8403919629101</v>
      </c>
      <c r="G2030" t="b">
        <v>0</v>
      </c>
      <c r="H2030" t="s">
        <v>26</v>
      </c>
      <c r="I2030" t="s">
        <v>33</v>
      </c>
    </row>
    <row r="2031" spans="1:9" x14ac:dyDescent="0.3">
      <c r="A2031" t="str">
        <f t="shared" si="31"/>
        <v>CASE-2030</v>
      </c>
      <c r="B2031" s="1">
        <v>45937</v>
      </c>
      <c r="C2031" t="s">
        <v>10</v>
      </c>
      <c r="D2031">
        <v>2</v>
      </c>
      <c r="E2031" t="b">
        <v>1</v>
      </c>
      <c r="F2031" s="2">
        <v>5.4891517845547799</v>
      </c>
      <c r="G2031" t="b">
        <v>0</v>
      </c>
      <c r="H2031" t="s">
        <v>14</v>
      </c>
      <c r="I2031" t="s">
        <v>34</v>
      </c>
    </row>
    <row r="2032" spans="1:9" x14ac:dyDescent="0.3">
      <c r="A2032" t="str">
        <f t="shared" si="31"/>
        <v>CASE-2031</v>
      </c>
      <c r="B2032" s="1">
        <v>45989</v>
      </c>
      <c r="C2032" t="s">
        <v>11</v>
      </c>
      <c r="D2032">
        <v>4</v>
      </c>
      <c r="E2032" t="b">
        <v>1</v>
      </c>
      <c r="F2032" s="2">
        <v>9.5881635725752119</v>
      </c>
      <c r="G2032" t="b">
        <v>0</v>
      </c>
      <c r="H2032" t="s">
        <v>14</v>
      </c>
      <c r="I2032" t="s">
        <v>34</v>
      </c>
    </row>
    <row r="2033" spans="1:9" x14ac:dyDescent="0.3">
      <c r="A2033" t="str">
        <f t="shared" si="31"/>
        <v>CASE-2032</v>
      </c>
      <c r="B2033" s="1">
        <v>45509</v>
      </c>
      <c r="C2033" t="s">
        <v>10</v>
      </c>
      <c r="D2033">
        <v>5</v>
      </c>
      <c r="E2033" t="b">
        <v>0</v>
      </c>
      <c r="F2033" s="2">
        <v>31.171506067012466</v>
      </c>
      <c r="G2033" t="b">
        <v>0</v>
      </c>
      <c r="H2033" t="s">
        <v>17</v>
      </c>
      <c r="I2033" t="s">
        <v>33</v>
      </c>
    </row>
    <row r="2034" spans="1:9" x14ac:dyDescent="0.3">
      <c r="A2034" t="str">
        <f t="shared" si="31"/>
        <v>CASE-2033</v>
      </c>
      <c r="B2034" s="1">
        <v>45733</v>
      </c>
      <c r="C2034" t="s">
        <v>12</v>
      </c>
      <c r="D2034">
        <v>3</v>
      </c>
      <c r="E2034" t="b">
        <v>1</v>
      </c>
      <c r="F2034" s="2">
        <v>5.7260902653894608</v>
      </c>
      <c r="G2034" t="b">
        <v>0</v>
      </c>
      <c r="H2034" t="s">
        <v>16</v>
      </c>
      <c r="I2034" t="s">
        <v>34</v>
      </c>
    </row>
    <row r="2035" spans="1:9" x14ac:dyDescent="0.3">
      <c r="A2035" t="str">
        <f t="shared" si="31"/>
        <v>CASE-2034</v>
      </c>
      <c r="B2035" s="1">
        <v>46172</v>
      </c>
      <c r="C2035" t="s">
        <v>11</v>
      </c>
      <c r="D2035">
        <v>5</v>
      </c>
      <c r="E2035" t="b">
        <v>1</v>
      </c>
      <c r="F2035" s="2">
        <v>5.0887110585763224</v>
      </c>
      <c r="G2035" t="b">
        <v>0</v>
      </c>
      <c r="H2035" t="s">
        <v>29</v>
      </c>
      <c r="I2035" t="s">
        <v>34</v>
      </c>
    </row>
    <row r="2036" spans="1:9" x14ac:dyDescent="0.3">
      <c r="A2036" t="str">
        <f t="shared" si="31"/>
        <v>CASE-2035</v>
      </c>
      <c r="B2036" s="1">
        <v>45708</v>
      </c>
      <c r="C2036" t="s">
        <v>11</v>
      </c>
      <c r="D2036">
        <v>4</v>
      </c>
      <c r="E2036" t="b">
        <v>1</v>
      </c>
      <c r="F2036" s="2">
        <v>7.332195146778818</v>
      </c>
      <c r="G2036" t="b">
        <v>0</v>
      </c>
      <c r="H2036" t="s">
        <v>17</v>
      </c>
      <c r="I2036" t="s">
        <v>34</v>
      </c>
    </row>
    <row r="2037" spans="1:9" x14ac:dyDescent="0.3">
      <c r="A2037" t="str">
        <f t="shared" si="31"/>
        <v>CASE-2036</v>
      </c>
      <c r="B2037" s="1">
        <v>45759</v>
      </c>
      <c r="C2037" t="s">
        <v>9</v>
      </c>
      <c r="D2037">
        <v>4</v>
      </c>
      <c r="E2037" t="b">
        <v>1</v>
      </c>
      <c r="F2037" s="2">
        <v>5.8499310886525482</v>
      </c>
      <c r="G2037" t="b">
        <v>0</v>
      </c>
      <c r="H2037" t="s">
        <v>26</v>
      </c>
      <c r="I2037" t="s">
        <v>34</v>
      </c>
    </row>
    <row r="2038" spans="1:9" x14ac:dyDescent="0.3">
      <c r="A2038" t="str">
        <f t="shared" si="31"/>
        <v>CASE-2037</v>
      </c>
      <c r="B2038" s="1">
        <v>45940</v>
      </c>
      <c r="C2038" t="s">
        <v>10</v>
      </c>
      <c r="D2038">
        <v>3</v>
      </c>
      <c r="E2038" t="b">
        <v>1</v>
      </c>
      <c r="F2038" s="2">
        <v>5.6822266022202585</v>
      </c>
      <c r="G2038" t="b">
        <v>0</v>
      </c>
      <c r="H2038" t="s">
        <v>30</v>
      </c>
      <c r="I2038" t="s">
        <v>35</v>
      </c>
    </row>
    <row r="2039" spans="1:9" x14ac:dyDescent="0.3">
      <c r="A2039" t="str">
        <f t="shared" si="31"/>
        <v>CASE-2038</v>
      </c>
      <c r="B2039" s="1">
        <v>45512</v>
      </c>
      <c r="C2039" t="s">
        <v>10</v>
      </c>
      <c r="D2039">
        <v>4</v>
      </c>
      <c r="E2039" t="b">
        <v>0</v>
      </c>
      <c r="F2039" s="2">
        <v>30.954660731141765</v>
      </c>
      <c r="G2039" t="b">
        <v>0</v>
      </c>
      <c r="H2039" t="s">
        <v>29</v>
      </c>
      <c r="I2039" t="s">
        <v>33</v>
      </c>
    </row>
    <row r="2040" spans="1:9" x14ac:dyDescent="0.3">
      <c r="A2040" t="str">
        <f t="shared" si="31"/>
        <v>CASE-2039</v>
      </c>
      <c r="B2040" s="1">
        <v>45565</v>
      </c>
      <c r="C2040" t="s">
        <v>10</v>
      </c>
      <c r="D2040">
        <v>1</v>
      </c>
      <c r="E2040" t="b">
        <v>0</v>
      </c>
      <c r="F2040" s="2">
        <v>30.206117454262653</v>
      </c>
      <c r="G2040" t="b">
        <v>0</v>
      </c>
      <c r="H2040" t="s">
        <v>15</v>
      </c>
      <c r="I2040" t="s">
        <v>33</v>
      </c>
    </row>
    <row r="2041" spans="1:9" x14ac:dyDescent="0.3">
      <c r="A2041" t="str">
        <f t="shared" si="31"/>
        <v>CASE-2040</v>
      </c>
      <c r="B2041" s="1">
        <v>45625</v>
      </c>
      <c r="C2041" t="s">
        <v>12</v>
      </c>
      <c r="D2041">
        <v>4</v>
      </c>
      <c r="E2041" t="b">
        <v>0</v>
      </c>
      <c r="F2041" s="2">
        <v>19.169896739749056</v>
      </c>
      <c r="G2041" t="b">
        <v>1</v>
      </c>
      <c r="H2041" t="s">
        <v>22</v>
      </c>
      <c r="I2041" t="s">
        <v>33</v>
      </c>
    </row>
    <row r="2042" spans="1:9" x14ac:dyDescent="0.3">
      <c r="A2042" t="str">
        <f t="shared" si="31"/>
        <v>CASE-2041</v>
      </c>
      <c r="B2042" s="1">
        <v>46140</v>
      </c>
      <c r="C2042" t="s">
        <v>10</v>
      </c>
      <c r="D2042">
        <v>3</v>
      </c>
      <c r="E2042" t="b">
        <v>0</v>
      </c>
      <c r="F2042" s="2">
        <v>6.2659763342589176</v>
      </c>
      <c r="G2042" t="b">
        <v>0</v>
      </c>
      <c r="H2042" t="s">
        <v>21</v>
      </c>
      <c r="I2042" t="s">
        <v>34</v>
      </c>
    </row>
    <row r="2043" spans="1:9" x14ac:dyDescent="0.3">
      <c r="A2043" t="str">
        <f t="shared" si="31"/>
        <v>CASE-2042</v>
      </c>
      <c r="B2043" s="1">
        <v>46050</v>
      </c>
      <c r="C2043" t="s">
        <v>11</v>
      </c>
      <c r="D2043">
        <v>2</v>
      </c>
      <c r="E2043" t="b">
        <v>1</v>
      </c>
      <c r="F2043" s="2">
        <v>3.3655006360497031</v>
      </c>
      <c r="G2043" t="b">
        <v>0</v>
      </c>
      <c r="H2043" t="s">
        <v>13</v>
      </c>
      <c r="I2043" t="s">
        <v>34</v>
      </c>
    </row>
    <row r="2044" spans="1:9" x14ac:dyDescent="0.3">
      <c r="A2044" t="str">
        <f t="shared" si="31"/>
        <v>CASE-2043</v>
      </c>
      <c r="B2044" s="1">
        <v>45499</v>
      </c>
      <c r="C2044" t="s">
        <v>11</v>
      </c>
      <c r="D2044">
        <v>3</v>
      </c>
      <c r="E2044" t="b">
        <v>0</v>
      </c>
      <c r="F2044" s="2">
        <v>29.738842409768939</v>
      </c>
      <c r="G2044" t="b">
        <v>0</v>
      </c>
      <c r="H2044" t="s">
        <v>32</v>
      </c>
      <c r="I2044" t="s">
        <v>33</v>
      </c>
    </row>
    <row r="2045" spans="1:9" x14ac:dyDescent="0.3">
      <c r="A2045" t="str">
        <f t="shared" si="31"/>
        <v>CASE-2044</v>
      </c>
      <c r="B2045" s="1">
        <v>45681</v>
      </c>
      <c r="C2045" t="s">
        <v>10</v>
      </c>
      <c r="D2045">
        <v>3</v>
      </c>
      <c r="E2045" t="b">
        <v>1</v>
      </c>
      <c r="F2045" s="2">
        <v>7.3967964278998091</v>
      </c>
      <c r="G2045" t="b">
        <v>0</v>
      </c>
      <c r="H2045" t="s">
        <v>20</v>
      </c>
      <c r="I2045" t="s">
        <v>34</v>
      </c>
    </row>
    <row r="2046" spans="1:9" x14ac:dyDescent="0.3">
      <c r="A2046" t="str">
        <f t="shared" si="31"/>
        <v>CASE-2045</v>
      </c>
      <c r="B2046" s="1">
        <v>46125</v>
      </c>
      <c r="C2046" t="s">
        <v>9</v>
      </c>
      <c r="D2046">
        <v>1</v>
      </c>
      <c r="E2046" t="b">
        <v>1</v>
      </c>
      <c r="F2046" s="2">
        <v>17.433387974960034</v>
      </c>
      <c r="G2046" t="b">
        <v>0</v>
      </c>
      <c r="H2046" t="s">
        <v>21</v>
      </c>
      <c r="I2046" t="s">
        <v>33</v>
      </c>
    </row>
    <row r="2047" spans="1:9" x14ac:dyDescent="0.3">
      <c r="A2047" t="str">
        <f t="shared" si="31"/>
        <v>CASE-2046</v>
      </c>
      <c r="B2047" s="1">
        <v>46155</v>
      </c>
      <c r="C2047" t="s">
        <v>10</v>
      </c>
      <c r="D2047">
        <v>1</v>
      </c>
      <c r="E2047" t="b">
        <v>1</v>
      </c>
      <c r="F2047" s="2">
        <v>5.1320348662037567</v>
      </c>
      <c r="G2047" t="b">
        <v>0</v>
      </c>
      <c r="H2047" t="s">
        <v>30</v>
      </c>
      <c r="I2047" t="s">
        <v>34</v>
      </c>
    </row>
    <row r="2048" spans="1:9" x14ac:dyDescent="0.3">
      <c r="A2048" t="str">
        <f t="shared" si="31"/>
        <v>CASE-2047</v>
      </c>
      <c r="B2048" s="1">
        <v>46051</v>
      </c>
      <c r="C2048" t="s">
        <v>9</v>
      </c>
      <c r="D2048">
        <v>2</v>
      </c>
      <c r="E2048" t="b">
        <v>1</v>
      </c>
      <c r="F2048" s="2">
        <v>32.498235195036926</v>
      </c>
      <c r="G2048" t="b">
        <v>0</v>
      </c>
      <c r="H2048" t="s">
        <v>21</v>
      </c>
      <c r="I2048" t="s">
        <v>33</v>
      </c>
    </row>
    <row r="2049" spans="1:9" x14ac:dyDescent="0.3">
      <c r="A2049" t="str">
        <f t="shared" si="31"/>
        <v>CASE-2048</v>
      </c>
      <c r="B2049" s="1">
        <v>45489</v>
      </c>
      <c r="C2049" t="s">
        <v>9</v>
      </c>
      <c r="D2049">
        <v>4</v>
      </c>
      <c r="E2049" t="b">
        <v>0</v>
      </c>
      <c r="F2049" s="2">
        <v>16.946595503855747</v>
      </c>
      <c r="G2049" t="b">
        <v>0</v>
      </c>
      <c r="H2049" t="s">
        <v>17</v>
      </c>
      <c r="I2049" t="s">
        <v>33</v>
      </c>
    </row>
    <row r="2050" spans="1:9" x14ac:dyDescent="0.3">
      <c r="A2050" t="str">
        <f t="shared" si="31"/>
        <v>CASE-2049</v>
      </c>
      <c r="B2050" s="1">
        <v>45749</v>
      </c>
      <c r="C2050" t="s">
        <v>10</v>
      </c>
      <c r="D2050">
        <v>1</v>
      </c>
      <c r="E2050" t="b">
        <v>0</v>
      </c>
      <c r="F2050" s="2">
        <v>29.171410580381927</v>
      </c>
      <c r="G2050" t="b">
        <v>0</v>
      </c>
      <c r="H2050" t="s">
        <v>32</v>
      </c>
      <c r="I2050" t="s">
        <v>33</v>
      </c>
    </row>
    <row r="2051" spans="1:9" x14ac:dyDescent="0.3">
      <c r="A2051" t="str">
        <f t="shared" ref="A2051:A2114" si="32">"CASE-"&amp;TEXT(ROW()-1,"0000")</f>
        <v>CASE-2050</v>
      </c>
      <c r="B2051" s="1">
        <v>45487</v>
      </c>
      <c r="C2051" t="s">
        <v>9</v>
      </c>
      <c r="D2051">
        <v>1</v>
      </c>
      <c r="E2051" t="b">
        <v>0</v>
      </c>
      <c r="F2051" s="2">
        <v>26.349421319090371</v>
      </c>
      <c r="G2051" t="b">
        <v>0</v>
      </c>
      <c r="H2051" t="s">
        <v>31</v>
      </c>
      <c r="I2051" t="s">
        <v>33</v>
      </c>
    </row>
    <row r="2052" spans="1:9" x14ac:dyDescent="0.3">
      <c r="A2052" t="str">
        <f t="shared" si="32"/>
        <v>CASE-2051</v>
      </c>
      <c r="B2052" s="1">
        <v>45832</v>
      </c>
      <c r="C2052" t="s">
        <v>11</v>
      </c>
      <c r="D2052">
        <v>5</v>
      </c>
      <c r="E2052" t="b">
        <v>0</v>
      </c>
      <c r="F2052" s="2">
        <v>2.6272122741793718</v>
      </c>
      <c r="G2052" t="b">
        <v>0</v>
      </c>
      <c r="H2052" t="s">
        <v>26</v>
      </c>
      <c r="I2052" t="s">
        <v>34</v>
      </c>
    </row>
    <row r="2053" spans="1:9" x14ac:dyDescent="0.3">
      <c r="A2053" t="str">
        <f t="shared" si="32"/>
        <v>CASE-2052</v>
      </c>
      <c r="B2053" s="1">
        <v>46050</v>
      </c>
      <c r="C2053" t="s">
        <v>11</v>
      </c>
      <c r="D2053">
        <v>4</v>
      </c>
      <c r="E2053" t="b">
        <v>0</v>
      </c>
      <c r="F2053" s="2">
        <v>7.1652982963343383</v>
      </c>
      <c r="G2053" t="b">
        <v>0</v>
      </c>
      <c r="H2053" t="s">
        <v>30</v>
      </c>
      <c r="I2053" t="s">
        <v>34</v>
      </c>
    </row>
    <row r="2054" spans="1:9" x14ac:dyDescent="0.3">
      <c r="A2054" t="str">
        <f t="shared" si="32"/>
        <v>CASE-2053</v>
      </c>
      <c r="B2054" s="1">
        <v>46050</v>
      </c>
      <c r="C2054" t="s">
        <v>11</v>
      </c>
      <c r="D2054">
        <v>1</v>
      </c>
      <c r="E2054" t="b">
        <v>0</v>
      </c>
      <c r="F2054" s="2">
        <v>7.4544832682426518</v>
      </c>
      <c r="G2054" t="b">
        <v>0</v>
      </c>
      <c r="H2054" t="s">
        <v>26</v>
      </c>
      <c r="I2054" t="s">
        <v>34</v>
      </c>
    </row>
    <row r="2055" spans="1:9" x14ac:dyDescent="0.3">
      <c r="A2055" t="str">
        <f t="shared" si="32"/>
        <v>CASE-2054</v>
      </c>
      <c r="B2055" s="1">
        <v>45960</v>
      </c>
      <c r="C2055" t="s">
        <v>12</v>
      </c>
      <c r="D2055">
        <v>3</v>
      </c>
      <c r="E2055" t="b">
        <v>1</v>
      </c>
      <c r="F2055" s="2">
        <v>27.539167576289479</v>
      </c>
      <c r="G2055" t="b">
        <v>0</v>
      </c>
      <c r="H2055" t="s">
        <v>28</v>
      </c>
      <c r="I2055" t="s">
        <v>33</v>
      </c>
    </row>
    <row r="2056" spans="1:9" x14ac:dyDescent="0.3">
      <c r="A2056" t="str">
        <f t="shared" si="32"/>
        <v>CASE-2055</v>
      </c>
      <c r="B2056" s="1">
        <v>45625</v>
      </c>
      <c r="C2056" t="s">
        <v>10</v>
      </c>
      <c r="D2056">
        <v>4</v>
      </c>
      <c r="E2056" t="b">
        <v>0</v>
      </c>
      <c r="F2056" s="2">
        <v>30.170607274133815</v>
      </c>
      <c r="G2056" t="b">
        <v>0</v>
      </c>
      <c r="H2056" t="s">
        <v>23</v>
      </c>
      <c r="I2056" t="s">
        <v>33</v>
      </c>
    </row>
    <row r="2057" spans="1:9" x14ac:dyDescent="0.3">
      <c r="A2057" t="str">
        <f t="shared" si="32"/>
        <v>CASE-2056</v>
      </c>
      <c r="B2057" s="1">
        <v>45791</v>
      </c>
      <c r="C2057" t="s">
        <v>9</v>
      </c>
      <c r="D2057">
        <v>4</v>
      </c>
      <c r="E2057" t="b">
        <v>0</v>
      </c>
      <c r="F2057" s="2">
        <v>7.2872579674790599</v>
      </c>
      <c r="G2057" t="b">
        <v>0</v>
      </c>
      <c r="H2057" t="s">
        <v>21</v>
      </c>
      <c r="I2057" t="s">
        <v>34</v>
      </c>
    </row>
    <row r="2058" spans="1:9" x14ac:dyDescent="0.3">
      <c r="A2058" t="str">
        <f t="shared" si="32"/>
        <v>CASE-2057</v>
      </c>
      <c r="B2058" s="1">
        <v>45833</v>
      </c>
      <c r="C2058" t="s">
        <v>10</v>
      </c>
      <c r="D2058">
        <v>1</v>
      </c>
      <c r="E2058" t="b">
        <v>0</v>
      </c>
      <c r="F2058" s="2">
        <v>8.4617053466069514</v>
      </c>
      <c r="G2058" t="b">
        <v>0</v>
      </c>
      <c r="H2058" t="s">
        <v>32</v>
      </c>
      <c r="I2058" t="s">
        <v>34</v>
      </c>
    </row>
    <row r="2059" spans="1:9" x14ac:dyDescent="0.3">
      <c r="A2059" t="str">
        <f t="shared" si="32"/>
        <v>CASE-2058</v>
      </c>
      <c r="B2059" s="1">
        <v>46013</v>
      </c>
      <c r="C2059" t="s">
        <v>12</v>
      </c>
      <c r="D2059">
        <v>3</v>
      </c>
      <c r="E2059" t="b">
        <v>1</v>
      </c>
      <c r="F2059" s="2">
        <v>6.1318716203224808</v>
      </c>
      <c r="G2059" t="b">
        <v>0</v>
      </c>
      <c r="H2059" t="s">
        <v>15</v>
      </c>
      <c r="I2059" t="s">
        <v>34</v>
      </c>
    </row>
    <row r="2060" spans="1:9" x14ac:dyDescent="0.3">
      <c r="A2060" t="str">
        <f t="shared" si="32"/>
        <v>CASE-2059</v>
      </c>
      <c r="B2060" s="1">
        <v>45705</v>
      </c>
      <c r="C2060" t="s">
        <v>9</v>
      </c>
      <c r="D2060">
        <v>2</v>
      </c>
      <c r="E2060" t="b">
        <v>0</v>
      </c>
      <c r="F2060" s="2">
        <v>9.3854375522484794</v>
      </c>
      <c r="G2060" t="b">
        <v>0</v>
      </c>
      <c r="H2060" t="s">
        <v>23</v>
      </c>
      <c r="I2060" t="s">
        <v>34</v>
      </c>
    </row>
    <row r="2061" spans="1:9" x14ac:dyDescent="0.3">
      <c r="A2061" t="str">
        <f t="shared" si="32"/>
        <v>CASE-2060</v>
      </c>
      <c r="B2061" s="1">
        <v>45884</v>
      </c>
      <c r="C2061" t="s">
        <v>10</v>
      </c>
      <c r="D2061">
        <v>2</v>
      </c>
      <c r="E2061" t="b">
        <v>1</v>
      </c>
      <c r="F2061" s="2">
        <v>3.6272919967476471</v>
      </c>
      <c r="G2061" t="b">
        <v>0</v>
      </c>
      <c r="H2061" t="s">
        <v>32</v>
      </c>
      <c r="I2061" t="s">
        <v>34</v>
      </c>
    </row>
    <row r="2062" spans="1:9" x14ac:dyDescent="0.3">
      <c r="A2062" t="str">
        <f t="shared" si="32"/>
        <v>CASE-2061</v>
      </c>
      <c r="B2062" s="1">
        <v>45915</v>
      </c>
      <c r="C2062" t="s">
        <v>10</v>
      </c>
      <c r="D2062">
        <v>3</v>
      </c>
      <c r="E2062" t="b">
        <v>1</v>
      </c>
      <c r="F2062" s="2">
        <v>4.7612253397763826</v>
      </c>
      <c r="G2062" t="b">
        <v>0</v>
      </c>
      <c r="H2062" t="s">
        <v>13</v>
      </c>
      <c r="I2062" t="s">
        <v>34</v>
      </c>
    </row>
    <row r="2063" spans="1:9" x14ac:dyDescent="0.3">
      <c r="A2063" t="str">
        <f t="shared" si="32"/>
        <v>CASE-2062</v>
      </c>
      <c r="B2063" s="1">
        <v>45518</v>
      </c>
      <c r="C2063" t="s">
        <v>9</v>
      </c>
      <c r="D2063">
        <v>5</v>
      </c>
      <c r="E2063" t="b">
        <v>0</v>
      </c>
      <c r="F2063" s="2">
        <v>31.393529958621833</v>
      </c>
      <c r="G2063" t="b">
        <v>0</v>
      </c>
      <c r="H2063" t="s">
        <v>14</v>
      </c>
      <c r="I2063" t="s">
        <v>33</v>
      </c>
    </row>
    <row r="2064" spans="1:9" x14ac:dyDescent="0.3">
      <c r="A2064" t="str">
        <f t="shared" si="32"/>
        <v>CASE-2063</v>
      </c>
      <c r="B2064" s="1">
        <v>46175</v>
      </c>
      <c r="C2064" t="s">
        <v>10</v>
      </c>
      <c r="D2064">
        <v>4</v>
      </c>
      <c r="E2064" t="b">
        <v>1</v>
      </c>
      <c r="F2064" s="2">
        <v>4.934285447999379</v>
      </c>
      <c r="G2064" t="b">
        <v>0</v>
      </c>
      <c r="H2064" t="s">
        <v>19</v>
      </c>
      <c r="I2064" t="s">
        <v>34</v>
      </c>
    </row>
    <row r="2065" spans="1:9" x14ac:dyDescent="0.3">
      <c r="A2065" t="str">
        <f t="shared" si="32"/>
        <v>CASE-2064</v>
      </c>
      <c r="B2065" s="1">
        <v>45661</v>
      </c>
      <c r="C2065" t="s">
        <v>12</v>
      </c>
      <c r="D2065">
        <v>4</v>
      </c>
      <c r="E2065" t="b">
        <v>0</v>
      </c>
      <c r="F2065" s="2">
        <v>3.5882544656927577</v>
      </c>
      <c r="G2065" t="b">
        <v>0</v>
      </c>
      <c r="H2065" t="s">
        <v>27</v>
      </c>
      <c r="I2065" t="s">
        <v>34</v>
      </c>
    </row>
    <row r="2066" spans="1:9" x14ac:dyDescent="0.3">
      <c r="A2066" t="str">
        <f t="shared" si="32"/>
        <v>CASE-2065</v>
      </c>
      <c r="B2066" s="1">
        <v>45643</v>
      </c>
      <c r="C2066" t="s">
        <v>12</v>
      </c>
      <c r="D2066">
        <v>5</v>
      </c>
      <c r="E2066" t="b">
        <v>0</v>
      </c>
      <c r="F2066" s="2">
        <v>18.874033553696353</v>
      </c>
      <c r="G2066" t="b">
        <v>0</v>
      </c>
      <c r="H2066" t="s">
        <v>28</v>
      </c>
      <c r="I2066" t="s">
        <v>33</v>
      </c>
    </row>
    <row r="2067" spans="1:9" x14ac:dyDescent="0.3">
      <c r="A2067" t="str">
        <f t="shared" si="32"/>
        <v>CASE-2066</v>
      </c>
      <c r="B2067" s="1">
        <v>46175</v>
      </c>
      <c r="C2067" t="s">
        <v>12</v>
      </c>
      <c r="D2067">
        <v>2</v>
      </c>
      <c r="E2067" t="b">
        <v>1</v>
      </c>
      <c r="F2067" s="2">
        <v>4.8216496450696749</v>
      </c>
      <c r="G2067" t="b">
        <v>0</v>
      </c>
      <c r="H2067" t="s">
        <v>13</v>
      </c>
      <c r="I2067" t="s">
        <v>34</v>
      </c>
    </row>
    <row r="2068" spans="1:9" x14ac:dyDescent="0.3">
      <c r="A2068" t="str">
        <f t="shared" si="32"/>
        <v>CASE-2067</v>
      </c>
      <c r="B2068" s="1">
        <v>45511</v>
      </c>
      <c r="C2068" t="s">
        <v>10</v>
      </c>
      <c r="D2068">
        <v>5</v>
      </c>
      <c r="E2068" t="b">
        <v>0</v>
      </c>
      <c r="F2068" s="2">
        <v>29.049357379415863</v>
      </c>
      <c r="G2068" t="b">
        <v>0</v>
      </c>
      <c r="H2068" t="s">
        <v>21</v>
      </c>
      <c r="I2068" t="s">
        <v>33</v>
      </c>
    </row>
    <row r="2069" spans="1:9" x14ac:dyDescent="0.3">
      <c r="A2069" t="str">
        <f t="shared" si="32"/>
        <v>CASE-2068</v>
      </c>
      <c r="B2069" s="1">
        <v>45915</v>
      </c>
      <c r="C2069" t="s">
        <v>9</v>
      </c>
      <c r="D2069">
        <v>2</v>
      </c>
      <c r="E2069" t="b">
        <v>1</v>
      </c>
      <c r="F2069" s="2">
        <v>4.8586085048512517</v>
      </c>
      <c r="G2069" t="b">
        <v>0</v>
      </c>
      <c r="H2069" t="s">
        <v>26</v>
      </c>
      <c r="I2069" t="s">
        <v>34</v>
      </c>
    </row>
    <row r="2070" spans="1:9" x14ac:dyDescent="0.3">
      <c r="A2070" t="str">
        <f t="shared" si="32"/>
        <v>CASE-2069</v>
      </c>
      <c r="B2070" s="1">
        <v>45831</v>
      </c>
      <c r="C2070" t="s">
        <v>11</v>
      </c>
      <c r="D2070">
        <v>2</v>
      </c>
      <c r="E2070" t="b">
        <v>1</v>
      </c>
      <c r="F2070" s="2">
        <v>8.4251030021893953</v>
      </c>
      <c r="G2070" t="b">
        <v>0</v>
      </c>
      <c r="H2070" t="s">
        <v>16</v>
      </c>
      <c r="I2070" t="s">
        <v>34</v>
      </c>
    </row>
    <row r="2071" spans="1:9" x14ac:dyDescent="0.3">
      <c r="A2071" t="str">
        <f t="shared" si="32"/>
        <v>CASE-2070</v>
      </c>
      <c r="B2071" s="1">
        <v>45898</v>
      </c>
      <c r="C2071" t="s">
        <v>10</v>
      </c>
      <c r="D2071">
        <v>3</v>
      </c>
      <c r="E2071" t="b">
        <v>1</v>
      </c>
      <c r="F2071" s="2">
        <v>5.181182477842742</v>
      </c>
      <c r="G2071" t="b">
        <v>0</v>
      </c>
      <c r="H2071" t="s">
        <v>30</v>
      </c>
      <c r="I2071" t="s">
        <v>34</v>
      </c>
    </row>
    <row r="2072" spans="1:9" x14ac:dyDescent="0.3">
      <c r="A2072" t="str">
        <f t="shared" si="32"/>
        <v>CASE-2071</v>
      </c>
      <c r="B2072" s="1">
        <v>45504</v>
      </c>
      <c r="C2072" t="s">
        <v>9</v>
      </c>
      <c r="D2072">
        <v>1</v>
      </c>
      <c r="E2072" t="b">
        <v>0</v>
      </c>
      <c r="F2072" s="2">
        <v>13.458015738009122</v>
      </c>
      <c r="G2072" t="b">
        <v>0</v>
      </c>
      <c r="H2072" t="s">
        <v>30</v>
      </c>
      <c r="I2072" t="s">
        <v>33</v>
      </c>
    </row>
    <row r="2073" spans="1:9" x14ac:dyDescent="0.3">
      <c r="A2073" t="str">
        <f t="shared" si="32"/>
        <v>CASE-2072</v>
      </c>
      <c r="B2073" s="1">
        <v>46081</v>
      </c>
      <c r="C2073" t="s">
        <v>10</v>
      </c>
      <c r="D2073">
        <v>2</v>
      </c>
      <c r="E2073" t="b">
        <v>1</v>
      </c>
      <c r="F2073" s="2">
        <v>36.885967209950863</v>
      </c>
      <c r="G2073" t="b">
        <v>0</v>
      </c>
      <c r="H2073" t="s">
        <v>29</v>
      </c>
      <c r="I2073" t="s">
        <v>33</v>
      </c>
    </row>
    <row r="2074" spans="1:9" x14ac:dyDescent="0.3">
      <c r="A2074" t="str">
        <f t="shared" si="32"/>
        <v>CASE-2073</v>
      </c>
      <c r="B2074" s="1">
        <v>45704</v>
      </c>
      <c r="C2074" t="s">
        <v>10</v>
      </c>
      <c r="D2074">
        <v>2</v>
      </c>
      <c r="E2074" t="b">
        <v>1</v>
      </c>
      <c r="F2074" s="2">
        <v>2.7066774094867911</v>
      </c>
      <c r="G2074" t="b">
        <v>0</v>
      </c>
      <c r="H2074" t="s">
        <v>23</v>
      </c>
      <c r="I2074" t="s">
        <v>34</v>
      </c>
    </row>
    <row r="2075" spans="1:9" x14ac:dyDescent="0.3">
      <c r="A2075" t="str">
        <f t="shared" si="32"/>
        <v>CASE-2074</v>
      </c>
      <c r="B2075" s="1">
        <v>45616</v>
      </c>
      <c r="C2075" t="s">
        <v>11</v>
      </c>
      <c r="D2075">
        <v>1</v>
      </c>
      <c r="E2075" t="b">
        <v>0</v>
      </c>
      <c r="F2075" s="2">
        <v>27.642803549576563</v>
      </c>
      <c r="G2075" t="b">
        <v>0</v>
      </c>
      <c r="H2075" t="s">
        <v>23</v>
      </c>
      <c r="I2075" t="s">
        <v>33</v>
      </c>
    </row>
    <row r="2076" spans="1:9" x14ac:dyDescent="0.3">
      <c r="A2076" t="str">
        <f t="shared" si="32"/>
        <v>CASE-2075</v>
      </c>
      <c r="B2076" s="1">
        <v>45837</v>
      </c>
      <c r="C2076" t="s">
        <v>11</v>
      </c>
      <c r="D2076">
        <v>1</v>
      </c>
      <c r="E2076" t="b">
        <v>1</v>
      </c>
      <c r="F2076" s="2">
        <v>6.5238312164731305</v>
      </c>
      <c r="G2076" t="b">
        <v>0</v>
      </c>
      <c r="H2076" t="s">
        <v>16</v>
      </c>
      <c r="I2076" t="s">
        <v>34</v>
      </c>
    </row>
    <row r="2077" spans="1:9" x14ac:dyDescent="0.3">
      <c r="A2077" t="str">
        <f t="shared" si="32"/>
        <v>CASE-2076</v>
      </c>
      <c r="B2077" s="1">
        <v>45927</v>
      </c>
      <c r="C2077" t="s">
        <v>10</v>
      </c>
      <c r="D2077">
        <v>2</v>
      </c>
      <c r="E2077" t="b">
        <v>1</v>
      </c>
      <c r="F2077" s="2">
        <v>5.7868970181257646</v>
      </c>
      <c r="G2077" t="b">
        <v>0</v>
      </c>
      <c r="H2077" t="s">
        <v>19</v>
      </c>
      <c r="I2077" t="s">
        <v>34</v>
      </c>
    </row>
    <row r="2078" spans="1:9" x14ac:dyDescent="0.3">
      <c r="A2078" t="str">
        <f t="shared" si="32"/>
        <v>CASE-2077</v>
      </c>
      <c r="B2078" s="1">
        <v>45611</v>
      </c>
      <c r="C2078" t="s">
        <v>10</v>
      </c>
      <c r="D2078">
        <v>5</v>
      </c>
      <c r="E2078" t="b">
        <v>0</v>
      </c>
      <c r="F2078" s="2">
        <v>26.844607112003992</v>
      </c>
      <c r="G2078" t="b">
        <v>0</v>
      </c>
      <c r="H2078" t="s">
        <v>17</v>
      </c>
      <c r="I2078" t="s">
        <v>33</v>
      </c>
    </row>
    <row r="2079" spans="1:9" x14ac:dyDescent="0.3">
      <c r="A2079" t="str">
        <f t="shared" si="32"/>
        <v>CASE-2078</v>
      </c>
      <c r="B2079" s="1">
        <v>46054</v>
      </c>
      <c r="C2079" t="s">
        <v>9</v>
      </c>
      <c r="D2079">
        <v>3</v>
      </c>
      <c r="E2079" t="b">
        <v>1</v>
      </c>
      <c r="F2079" s="2">
        <v>23.218093039922895</v>
      </c>
      <c r="G2079" t="b">
        <v>0</v>
      </c>
      <c r="H2079" t="s">
        <v>16</v>
      </c>
      <c r="I2079" t="s">
        <v>33</v>
      </c>
    </row>
    <row r="2080" spans="1:9" x14ac:dyDescent="0.3">
      <c r="A2080" t="str">
        <f t="shared" si="32"/>
        <v>CASE-2079</v>
      </c>
      <c r="B2080" s="1">
        <v>46017</v>
      </c>
      <c r="C2080" t="s">
        <v>9</v>
      </c>
      <c r="D2080">
        <v>2</v>
      </c>
      <c r="E2080" t="b">
        <v>1</v>
      </c>
      <c r="F2080" s="2">
        <v>26.522522649739209</v>
      </c>
      <c r="G2080" t="b">
        <v>0</v>
      </c>
      <c r="H2080" t="s">
        <v>22</v>
      </c>
      <c r="I2080" t="s">
        <v>33</v>
      </c>
    </row>
    <row r="2081" spans="1:9" x14ac:dyDescent="0.3">
      <c r="A2081" t="str">
        <f t="shared" si="32"/>
        <v>CASE-2080</v>
      </c>
      <c r="B2081" s="1">
        <v>45666</v>
      </c>
      <c r="C2081" t="s">
        <v>10</v>
      </c>
      <c r="D2081">
        <v>2</v>
      </c>
      <c r="E2081" t="b">
        <v>1</v>
      </c>
      <c r="F2081" s="2">
        <v>6.7394414333144788</v>
      </c>
      <c r="G2081" t="b">
        <v>0</v>
      </c>
      <c r="H2081" t="s">
        <v>31</v>
      </c>
      <c r="I2081" t="s">
        <v>34</v>
      </c>
    </row>
    <row r="2082" spans="1:9" x14ac:dyDescent="0.3">
      <c r="A2082" t="str">
        <f t="shared" si="32"/>
        <v>CASE-2081</v>
      </c>
      <c r="B2082" s="1">
        <v>45581</v>
      </c>
      <c r="C2082" t="s">
        <v>11</v>
      </c>
      <c r="D2082">
        <v>2</v>
      </c>
      <c r="E2082" t="b">
        <v>0</v>
      </c>
      <c r="F2082" s="2">
        <v>23.33243007718777</v>
      </c>
      <c r="G2082" t="b">
        <v>0</v>
      </c>
      <c r="H2082" t="s">
        <v>13</v>
      </c>
      <c r="I2082" t="s">
        <v>33</v>
      </c>
    </row>
    <row r="2083" spans="1:9" x14ac:dyDescent="0.3">
      <c r="A2083" t="str">
        <f t="shared" si="32"/>
        <v>CASE-2082</v>
      </c>
      <c r="B2083" s="1">
        <v>45645</v>
      </c>
      <c r="C2083" t="s">
        <v>10</v>
      </c>
      <c r="D2083">
        <v>1</v>
      </c>
      <c r="E2083" t="b">
        <v>0</v>
      </c>
      <c r="F2083" s="2">
        <v>23.421513018933922</v>
      </c>
      <c r="G2083" t="b">
        <v>0</v>
      </c>
      <c r="H2083" t="s">
        <v>18</v>
      </c>
      <c r="I2083" t="s">
        <v>33</v>
      </c>
    </row>
    <row r="2084" spans="1:9" x14ac:dyDescent="0.3">
      <c r="A2084" t="str">
        <f t="shared" si="32"/>
        <v>CASE-2083</v>
      </c>
      <c r="B2084" s="1">
        <v>45917</v>
      </c>
      <c r="C2084" t="s">
        <v>11</v>
      </c>
      <c r="D2084">
        <v>3</v>
      </c>
      <c r="E2084" t="b">
        <v>1</v>
      </c>
      <c r="F2084" s="2">
        <v>4.971998403525407</v>
      </c>
      <c r="G2084" t="b">
        <v>0</v>
      </c>
      <c r="H2084" t="s">
        <v>13</v>
      </c>
      <c r="I2084" t="s">
        <v>34</v>
      </c>
    </row>
    <row r="2085" spans="1:9" x14ac:dyDescent="0.3">
      <c r="A2085" t="str">
        <f t="shared" si="32"/>
        <v>CASE-2084</v>
      </c>
      <c r="B2085" s="1">
        <v>46138</v>
      </c>
      <c r="C2085" t="s">
        <v>12</v>
      </c>
      <c r="D2085">
        <v>1</v>
      </c>
      <c r="E2085" t="b">
        <v>1</v>
      </c>
      <c r="F2085" s="2">
        <v>8.3080824891674183</v>
      </c>
      <c r="G2085" t="b">
        <v>0</v>
      </c>
      <c r="H2085" t="s">
        <v>14</v>
      </c>
      <c r="I2085" t="s">
        <v>34</v>
      </c>
    </row>
    <row r="2086" spans="1:9" x14ac:dyDescent="0.3">
      <c r="A2086" t="str">
        <f t="shared" si="32"/>
        <v>CASE-2085</v>
      </c>
      <c r="B2086" s="1">
        <v>45501</v>
      </c>
      <c r="C2086" t="s">
        <v>10</v>
      </c>
      <c r="D2086">
        <v>5</v>
      </c>
      <c r="E2086" t="b">
        <v>0</v>
      </c>
      <c r="F2086" s="2">
        <v>28.766211303163292</v>
      </c>
      <c r="G2086" t="b">
        <v>0</v>
      </c>
      <c r="H2086" t="s">
        <v>29</v>
      </c>
      <c r="I2086" t="s">
        <v>33</v>
      </c>
    </row>
    <row r="2087" spans="1:9" x14ac:dyDescent="0.3">
      <c r="A2087" t="str">
        <f t="shared" si="32"/>
        <v>CASE-2086</v>
      </c>
      <c r="B2087" s="1">
        <v>45492</v>
      </c>
      <c r="C2087" t="s">
        <v>11</v>
      </c>
      <c r="D2087">
        <v>4</v>
      </c>
      <c r="E2087" t="b">
        <v>0</v>
      </c>
      <c r="F2087" s="2">
        <v>31.774657980509218</v>
      </c>
      <c r="G2087" t="b">
        <v>0</v>
      </c>
      <c r="H2087" t="s">
        <v>32</v>
      </c>
      <c r="I2087" t="s">
        <v>33</v>
      </c>
    </row>
    <row r="2088" spans="1:9" x14ac:dyDescent="0.3">
      <c r="A2088" t="str">
        <f t="shared" si="32"/>
        <v>CASE-2087</v>
      </c>
      <c r="B2088" s="1">
        <v>46203</v>
      </c>
      <c r="C2088" t="s">
        <v>11</v>
      </c>
      <c r="D2088">
        <v>3</v>
      </c>
      <c r="E2088" t="b">
        <v>1</v>
      </c>
      <c r="F2088" s="2">
        <v>9.2633544764255777</v>
      </c>
      <c r="G2088" t="b">
        <v>0</v>
      </c>
      <c r="H2088" t="s">
        <v>23</v>
      </c>
      <c r="I2088" t="s">
        <v>35</v>
      </c>
    </row>
    <row r="2089" spans="1:9" x14ac:dyDescent="0.3">
      <c r="A2089" t="str">
        <f t="shared" si="32"/>
        <v>CASE-2088</v>
      </c>
      <c r="B2089" s="1">
        <v>46004</v>
      </c>
      <c r="C2089" t="s">
        <v>9</v>
      </c>
      <c r="D2089">
        <v>2</v>
      </c>
      <c r="E2089" t="b">
        <v>1</v>
      </c>
      <c r="F2089" s="2">
        <v>3.952656663840393</v>
      </c>
      <c r="G2089" t="b">
        <v>0</v>
      </c>
      <c r="H2089" t="s">
        <v>13</v>
      </c>
      <c r="I2089" t="s">
        <v>35</v>
      </c>
    </row>
    <row r="2090" spans="1:9" x14ac:dyDescent="0.3">
      <c r="A2090" t="str">
        <f t="shared" si="32"/>
        <v>CASE-2089</v>
      </c>
      <c r="B2090" s="1">
        <v>45725</v>
      </c>
      <c r="C2090" t="s">
        <v>9</v>
      </c>
      <c r="D2090">
        <v>5</v>
      </c>
      <c r="E2090" t="b">
        <v>1</v>
      </c>
      <c r="F2090" s="2">
        <v>3.9540158574691944</v>
      </c>
      <c r="G2090" t="b">
        <v>0</v>
      </c>
      <c r="H2090" t="s">
        <v>29</v>
      </c>
      <c r="I2090" t="s">
        <v>35</v>
      </c>
    </row>
    <row r="2091" spans="1:9" x14ac:dyDescent="0.3">
      <c r="A2091" t="str">
        <f t="shared" si="32"/>
        <v>CASE-2090</v>
      </c>
      <c r="B2091" s="1">
        <v>45975</v>
      </c>
      <c r="C2091" t="s">
        <v>10</v>
      </c>
      <c r="D2091">
        <v>5</v>
      </c>
      <c r="E2091" t="b">
        <v>1</v>
      </c>
      <c r="F2091" s="2">
        <v>5.0813206383589922</v>
      </c>
      <c r="G2091" t="b">
        <v>0</v>
      </c>
      <c r="H2091" t="s">
        <v>26</v>
      </c>
      <c r="I2091" t="s">
        <v>34</v>
      </c>
    </row>
    <row r="2092" spans="1:9" x14ac:dyDescent="0.3">
      <c r="A2092" t="str">
        <f t="shared" si="32"/>
        <v>CASE-2091</v>
      </c>
      <c r="B2092" s="1">
        <v>46023</v>
      </c>
      <c r="C2092" t="s">
        <v>10</v>
      </c>
      <c r="D2092">
        <v>5</v>
      </c>
      <c r="E2092" t="b">
        <v>0</v>
      </c>
      <c r="F2092" s="2">
        <v>34.35349466338328</v>
      </c>
      <c r="G2092" t="b">
        <v>0</v>
      </c>
      <c r="H2092" t="s">
        <v>21</v>
      </c>
      <c r="I2092" t="s">
        <v>33</v>
      </c>
    </row>
    <row r="2093" spans="1:9" x14ac:dyDescent="0.3">
      <c r="A2093" t="str">
        <f t="shared" si="32"/>
        <v>CASE-2092</v>
      </c>
      <c r="B2093" s="1">
        <v>45745</v>
      </c>
      <c r="C2093" t="s">
        <v>11</v>
      </c>
      <c r="D2093">
        <v>3</v>
      </c>
      <c r="E2093" t="b">
        <v>1</v>
      </c>
      <c r="F2093" s="2">
        <v>4.7576456892213272</v>
      </c>
      <c r="G2093" t="b">
        <v>0</v>
      </c>
      <c r="H2093" t="s">
        <v>13</v>
      </c>
      <c r="I2093" t="s">
        <v>34</v>
      </c>
    </row>
    <row r="2094" spans="1:9" x14ac:dyDescent="0.3">
      <c r="A2094" t="str">
        <f t="shared" si="32"/>
        <v>CASE-2093</v>
      </c>
      <c r="B2094" s="1">
        <v>45970</v>
      </c>
      <c r="C2094" t="s">
        <v>12</v>
      </c>
      <c r="D2094">
        <v>2</v>
      </c>
      <c r="E2094" t="b">
        <v>0</v>
      </c>
      <c r="F2094" s="2">
        <v>4.3775748447683158</v>
      </c>
      <c r="G2094" t="b">
        <v>0</v>
      </c>
      <c r="H2094" t="s">
        <v>18</v>
      </c>
      <c r="I2094" t="s">
        <v>35</v>
      </c>
    </row>
    <row r="2095" spans="1:9" x14ac:dyDescent="0.3">
      <c r="A2095" t="str">
        <f t="shared" si="32"/>
        <v>CASE-2094</v>
      </c>
      <c r="B2095" s="1">
        <v>46155</v>
      </c>
      <c r="C2095" t="s">
        <v>9</v>
      </c>
      <c r="D2095">
        <v>1</v>
      </c>
      <c r="E2095" t="b">
        <v>1</v>
      </c>
      <c r="F2095" s="2">
        <v>7.2409839920424357</v>
      </c>
      <c r="G2095" t="b">
        <v>0</v>
      </c>
      <c r="H2095" t="s">
        <v>22</v>
      </c>
      <c r="I2095" t="s">
        <v>34</v>
      </c>
    </row>
    <row r="2096" spans="1:9" x14ac:dyDescent="0.3">
      <c r="A2096" t="str">
        <f t="shared" si="32"/>
        <v>CASE-2095</v>
      </c>
      <c r="B2096" s="1">
        <v>45896</v>
      </c>
      <c r="C2096" t="s">
        <v>12</v>
      </c>
      <c r="D2096">
        <v>1</v>
      </c>
      <c r="E2096" t="b">
        <v>1</v>
      </c>
      <c r="F2096" s="2">
        <v>3.0370870299687804</v>
      </c>
      <c r="G2096" t="b">
        <v>0</v>
      </c>
      <c r="H2096" t="s">
        <v>30</v>
      </c>
      <c r="I2096" t="s">
        <v>34</v>
      </c>
    </row>
    <row r="2097" spans="1:9" x14ac:dyDescent="0.3">
      <c r="A2097" t="str">
        <f t="shared" si="32"/>
        <v>CASE-2096</v>
      </c>
      <c r="B2097" s="1">
        <v>45933</v>
      </c>
      <c r="C2097" t="s">
        <v>12</v>
      </c>
      <c r="D2097">
        <v>5</v>
      </c>
      <c r="E2097" t="b">
        <v>1</v>
      </c>
      <c r="F2097" s="2">
        <v>6.3847853629676896</v>
      </c>
      <c r="G2097" t="b">
        <v>0</v>
      </c>
      <c r="H2097" t="s">
        <v>21</v>
      </c>
      <c r="I2097" t="s">
        <v>34</v>
      </c>
    </row>
    <row r="2098" spans="1:9" x14ac:dyDescent="0.3">
      <c r="A2098" t="str">
        <f t="shared" si="32"/>
        <v>CASE-2097</v>
      </c>
      <c r="B2098" s="1">
        <v>45911</v>
      </c>
      <c r="C2098" t="s">
        <v>11</v>
      </c>
      <c r="D2098">
        <v>1</v>
      </c>
      <c r="E2098" t="b">
        <v>1</v>
      </c>
      <c r="F2098" s="2">
        <v>5.8031743370374871</v>
      </c>
      <c r="G2098" t="b">
        <v>0</v>
      </c>
      <c r="H2098" t="s">
        <v>18</v>
      </c>
      <c r="I2098" t="s">
        <v>34</v>
      </c>
    </row>
    <row r="2099" spans="1:9" x14ac:dyDescent="0.3">
      <c r="A2099" t="str">
        <f t="shared" si="32"/>
        <v>CASE-2098</v>
      </c>
      <c r="B2099" s="1">
        <v>45775</v>
      </c>
      <c r="C2099" t="s">
        <v>11</v>
      </c>
      <c r="D2099">
        <v>2</v>
      </c>
      <c r="E2099" t="b">
        <v>1</v>
      </c>
      <c r="F2099" s="2">
        <v>6.021942534753892</v>
      </c>
      <c r="G2099" t="b">
        <v>0</v>
      </c>
      <c r="H2099" t="s">
        <v>17</v>
      </c>
      <c r="I2099" t="s">
        <v>34</v>
      </c>
    </row>
    <row r="2100" spans="1:9" x14ac:dyDescent="0.3">
      <c r="A2100" t="str">
        <f t="shared" si="32"/>
        <v>CASE-2099</v>
      </c>
      <c r="B2100" s="1">
        <v>45794</v>
      </c>
      <c r="C2100" t="s">
        <v>12</v>
      </c>
      <c r="D2100">
        <v>3</v>
      </c>
      <c r="E2100" t="b">
        <v>1</v>
      </c>
      <c r="F2100" s="2">
        <v>5.3608978773645628</v>
      </c>
      <c r="G2100" t="b">
        <v>0</v>
      </c>
      <c r="H2100" t="s">
        <v>30</v>
      </c>
      <c r="I2100" t="s">
        <v>34</v>
      </c>
    </row>
    <row r="2101" spans="1:9" x14ac:dyDescent="0.3">
      <c r="A2101" t="str">
        <f t="shared" si="32"/>
        <v>CASE-2100</v>
      </c>
      <c r="B2101" s="1">
        <v>45854</v>
      </c>
      <c r="C2101" t="s">
        <v>12</v>
      </c>
      <c r="D2101">
        <v>2</v>
      </c>
      <c r="E2101" t="b">
        <v>1</v>
      </c>
      <c r="F2101" s="2">
        <v>4.4291711209186042</v>
      </c>
      <c r="G2101" t="b">
        <v>0</v>
      </c>
      <c r="H2101" t="s">
        <v>18</v>
      </c>
      <c r="I2101" t="s">
        <v>34</v>
      </c>
    </row>
    <row r="2102" spans="1:9" x14ac:dyDescent="0.3">
      <c r="A2102" t="str">
        <f t="shared" si="32"/>
        <v>CASE-2101</v>
      </c>
      <c r="B2102" s="1">
        <v>46160</v>
      </c>
      <c r="C2102" t="s">
        <v>12</v>
      </c>
      <c r="D2102">
        <v>3</v>
      </c>
      <c r="E2102" t="b">
        <v>1</v>
      </c>
      <c r="F2102" s="2">
        <v>4.8725661746465736</v>
      </c>
      <c r="G2102" t="b">
        <v>0</v>
      </c>
      <c r="H2102" t="s">
        <v>20</v>
      </c>
      <c r="I2102" t="s">
        <v>34</v>
      </c>
    </row>
    <row r="2103" spans="1:9" x14ac:dyDescent="0.3">
      <c r="A2103" t="str">
        <f t="shared" si="32"/>
        <v>CASE-2102</v>
      </c>
      <c r="B2103" s="1">
        <v>45954</v>
      </c>
      <c r="C2103" t="s">
        <v>10</v>
      </c>
      <c r="D2103">
        <v>1</v>
      </c>
      <c r="E2103" t="b">
        <v>0</v>
      </c>
      <c r="F2103" s="2">
        <v>9.057979804481711</v>
      </c>
      <c r="G2103" t="b">
        <v>1</v>
      </c>
      <c r="H2103" t="s">
        <v>16</v>
      </c>
      <c r="I2103" t="s">
        <v>34</v>
      </c>
    </row>
    <row r="2104" spans="1:9" x14ac:dyDescent="0.3">
      <c r="A2104" t="str">
        <f t="shared" si="32"/>
        <v>CASE-2103</v>
      </c>
      <c r="B2104" s="1">
        <v>45580</v>
      </c>
      <c r="C2104" t="s">
        <v>11</v>
      </c>
      <c r="D2104">
        <v>4</v>
      </c>
      <c r="E2104" t="b">
        <v>0</v>
      </c>
      <c r="F2104" s="2">
        <v>25.205142364857089</v>
      </c>
      <c r="G2104" t="b">
        <v>0</v>
      </c>
      <c r="H2104" t="s">
        <v>15</v>
      </c>
      <c r="I2104" t="s">
        <v>33</v>
      </c>
    </row>
    <row r="2105" spans="1:9" x14ac:dyDescent="0.3">
      <c r="A2105" t="str">
        <f t="shared" si="32"/>
        <v>CASE-2104</v>
      </c>
      <c r="B2105" s="1">
        <v>45752</v>
      </c>
      <c r="C2105" t="s">
        <v>12</v>
      </c>
      <c r="D2105">
        <v>4</v>
      </c>
      <c r="E2105" t="b">
        <v>1</v>
      </c>
      <c r="F2105" s="2">
        <v>18.370818318878761</v>
      </c>
      <c r="G2105" t="b">
        <v>0</v>
      </c>
      <c r="H2105" t="s">
        <v>30</v>
      </c>
      <c r="I2105" t="s">
        <v>33</v>
      </c>
    </row>
    <row r="2106" spans="1:9" x14ac:dyDescent="0.3">
      <c r="A2106" t="str">
        <f t="shared" si="32"/>
        <v>CASE-2105</v>
      </c>
      <c r="B2106" s="1">
        <v>45707</v>
      </c>
      <c r="C2106" t="s">
        <v>11</v>
      </c>
      <c r="D2106">
        <v>1</v>
      </c>
      <c r="E2106" t="b">
        <v>1</v>
      </c>
      <c r="F2106" s="2">
        <v>5.6205192698528128</v>
      </c>
      <c r="G2106" t="b">
        <v>0</v>
      </c>
      <c r="H2106" t="s">
        <v>20</v>
      </c>
      <c r="I2106" t="s">
        <v>34</v>
      </c>
    </row>
    <row r="2107" spans="1:9" x14ac:dyDescent="0.3">
      <c r="A2107" t="str">
        <f t="shared" si="32"/>
        <v>CASE-2106</v>
      </c>
      <c r="B2107" s="1">
        <v>45894</v>
      </c>
      <c r="C2107" t="s">
        <v>10</v>
      </c>
      <c r="D2107">
        <v>1</v>
      </c>
      <c r="E2107" t="b">
        <v>0</v>
      </c>
      <c r="F2107" s="2">
        <v>11.393640235787664</v>
      </c>
      <c r="G2107" t="b">
        <v>0</v>
      </c>
      <c r="H2107" t="s">
        <v>24</v>
      </c>
      <c r="I2107" t="s">
        <v>34</v>
      </c>
    </row>
    <row r="2108" spans="1:9" x14ac:dyDescent="0.3">
      <c r="A2108" t="str">
        <f t="shared" si="32"/>
        <v>CASE-2107</v>
      </c>
      <c r="B2108" s="1">
        <v>45540</v>
      </c>
      <c r="C2108" t="s">
        <v>11</v>
      </c>
      <c r="D2108">
        <v>5</v>
      </c>
      <c r="E2108" t="b">
        <v>0</v>
      </c>
      <c r="F2108" s="2">
        <v>33.668837176814769</v>
      </c>
      <c r="G2108" t="b">
        <v>0</v>
      </c>
      <c r="H2108" t="s">
        <v>30</v>
      </c>
      <c r="I2108" t="s">
        <v>33</v>
      </c>
    </row>
    <row r="2109" spans="1:9" x14ac:dyDescent="0.3">
      <c r="A2109" t="str">
        <f t="shared" si="32"/>
        <v>CASE-2108</v>
      </c>
      <c r="B2109" s="1">
        <v>45658</v>
      </c>
      <c r="C2109" t="s">
        <v>9</v>
      </c>
      <c r="D2109">
        <v>4</v>
      </c>
      <c r="E2109" t="b">
        <v>0</v>
      </c>
      <c r="F2109" s="2">
        <v>7.9538224884667175</v>
      </c>
      <c r="G2109" t="b">
        <v>0</v>
      </c>
      <c r="H2109" t="s">
        <v>13</v>
      </c>
      <c r="I2109" t="s">
        <v>34</v>
      </c>
    </row>
    <row r="2110" spans="1:9" x14ac:dyDescent="0.3">
      <c r="A2110" t="str">
        <f t="shared" si="32"/>
        <v>CASE-2109</v>
      </c>
      <c r="B2110" s="1">
        <v>45712</v>
      </c>
      <c r="C2110" t="s">
        <v>11</v>
      </c>
      <c r="D2110">
        <v>3</v>
      </c>
      <c r="E2110" t="b">
        <v>1</v>
      </c>
      <c r="F2110" s="2">
        <v>2.701562454875833</v>
      </c>
      <c r="G2110" t="b">
        <v>0</v>
      </c>
      <c r="H2110" t="s">
        <v>18</v>
      </c>
      <c r="I2110" t="s">
        <v>34</v>
      </c>
    </row>
    <row r="2111" spans="1:9" x14ac:dyDescent="0.3">
      <c r="A2111" t="str">
        <f t="shared" si="32"/>
        <v>CASE-2110</v>
      </c>
      <c r="B2111" s="1">
        <v>46134</v>
      </c>
      <c r="C2111" t="s">
        <v>9</v>
      </c>
      <c r="D2111">
        <v>5</v>
      </c>
      <c r="E2111" t="b">
        <v>1</v>
      </c>
      <c r="F2111" s="2">
        <v>2.5115736688505419</v>
      </c>
      <c r="G2111" t="b">
        <v>0</v>
      </c>
      <c r="H2111" t="s">
        <v>28</v>
      </c>
      <c r="I2111" t="s">
        <v>35</v>
      </c>
    </row>
    <row r="2112" spans="1:9" x14ac:dyDescent="0.3">
      <c r="A2112" t="str">
        <f t="shared" si="32"/>
        <v>CASE-2111</v>
      </c>
      <c r="B2112" s="1">
        <v>45508</v>
      </c>
      <c r="C2112" t="s">
        <v>10</v>
      </c>
      <c r="D2112">
        <v>3</v>
      </c>
      <c r="E2112" t="b">
        <v>0</v>
      </c>
      <c r="F2112" s="2">
        <v>19.665876312850017</v>
      </c>
      <c r="G2112" t="b">
        <v>0</v>
      </c>
      <c r="H2112" t="s">
        <v>31</v>
      </c>
      <c r="I2112" t="s">
        <v>33</v>
      </c>
    </row>
    <row r="2113" spans="1:9" x14ac:dyDescent="0.3">
      <c r="A2113" t="str">
        <f t="shared" si="32"/>
        <v>CASE-2112</v>
      </c>
      <c r="B2113" s="1">
        <v>45870</v>
      </c>
      <c r="C2113" t="s">
        <v>10</v>
      </c>
      <c r="D2113">
        <v>1</v>
      </c>
      <c r="E2113" t="b">
        <v>0</v>
      </c>
      <c r="F2113" s="2">
        <v>25.087408842365758</v>
      </c>
      <c r="G2113" t="b">
        <v>0</v>
      </c>
      <c r="H2113" t="s">
        <v>31</v>
      </c>
      <c r="I2113" t="s">
        <v>33</v>
      </c>
    </row>
    <row r="2114" spans="1:9" x14ac:dyDescent="0.3">
      <c r="A2114" t="str">
        <f t="shared" si="32"/>
        <v>CASE-2113</v>
      </c>
      <c r="B2114" s="1">
        <v>45777</v>
      </c>
      <c r="C2114" t="s">
        <v>10</v>
      </c>
      <c r="D2114">
        <v>4</v>
      </c>
      <c r="E2114" t="b">
        <v>1</v>
      </c>
      <c r="F2114" s="2">
        <v>7.3650027963975404</v>
      </c>
      <c r="G2114" t="b">
        <v>0</v>
      </c>
      <c r="H2114" t="s">
        <v>26</v>
      </c>
      <c r="I2114" t="s">
        <v>34</v>
      </c>
    </row>
    <row r="2115" spans="1:9" x14ac:dyDescent="0.3">
      <c r="A2115" t="str">
        <f t="shared" ref="A2115:A2178" si="33">"CASE-"&amp;TEXT(ROW()-1,"0000")</f>
        <v>CASE-2114</v>
      </c>
      <c r="B2115" s="1">
        <v>45902</v>
      </c>
      <c r="C2115" t="s">
        <v>9</v>
      </c>
      <c r="D2115">
        <v>3</v>
      </c>
      <c r="E2115" t="b">
        <v>1</v>
      </c>
      <c r="F2115" s="2">
        <v>5.0588303880474923</v>
      </c>
      <c r="G2115" t="b">
        <v>0</v>
      </c>
      <c r="H2115" t="s">
        <v>25</v>
      </c>
      <c r="I2115" t="s">
        <v>35</v>
      </c>
    </row>
    <row r="2116" spans="1:9" x14ac:dyDescent="0.3">
      <c r="A2116" t="str">
        <f t="shared" si="33"/>
        <v>CASE-2115</v>
      </c>
      <c r="B2116" s="1">
        <v>45790</v>
      </c>
      <c r="C2116" t="s">
        <v>12</v>
      </c>
      <c r="D2116">
        <v>4</v>
      </c>
      <c r="E2116" t="b">
        <v>1</v>
      </c>
      <c r="F2116" s="2">
        <v>5.5737028000131899</v>
      </c>
      <c r="G2116" t="b">
        <v>0</v>
      </c>
      <c r="H2116" t="s">
        <v>19</v>
      </c>
      <c r="I2116" t="s">
        <v>34</v>
      </c>
    </row>
    <row r="2117" spans="1:9" x14ac:dyDescent="0.3">
      <c r="A2117" t="str">
        <f t="shared" si="33"/>
        <v>CASE-2116</v>
      </c>
      <c r="B2117" s="1">
        <v>45686</v>
      </c>
      <c r="C2117" t="s">
        <v>10</v>
      </c>
      <c r="D2117">
        <v>3</v>
      </c>
      <c r="E2117" t="b">
        <v>1</v>
      </c>
      <c r="F2117" s="2">
        <v>26.225543209789802</v>
      </c>
      <c r="G2117" t="b">
        <v>0</v>
      </c>
      <c r="H2117" t="s">
        <v>22</v>
      </c>
      <c r="I2117" t="s">
        <v>33</v>
      </c>
    </row>
    <row r="2118" spans="1:9" x14ac:dyDescent="0.3">
      <c r="A2118" t="str">
        <f t="shared" si="33"/>
        <v>CASE-2117</v>
      </c>
      <c r="B2118" s="1">
        <v>45706</v>
      </c>
      <c r="C2118" t="s">
        <v>9</v>
      </c>
      <c r="D2118">
        <v>1</v>
      </c>
      <c r="E2118" t="b">
        <v>0</v>
      </c>
      <c r="F2118" s="2">
        <v>23.651794381230232</v>
      </c>
      <c r="G2118" t="b">
        <v>0</v>
      </c>
      <c r="H2118" t="s">
        <v>30</v>
      </c>
      <c r="I2118" t="s">
        <v>33</v>
      </c>
    </row>
    <row r="2119" spans="1:9" x14ac:dyDescent="0.3">
      <c r="A2119" t="str">
        <f t="shared" si="33"/>
        <v>CASE-2118</v>
      </c>
      <c r="B2119" s="1">
        <v>45649</v>
      </c>
      <c r="C2119" t="s">
        <v>10</v>
      </c>
      <c r="D2119">
        <v>3</v>
      </c>
      <c r="E2119" t="b">
        <v>0</v>
      </c>
      <c r="F2119" s="2">
        <v>22.433436278075728</v>
      </c>
      <c r="G2119" t="b">
        <v>0</v>
      </c>
      <c r="H2119" t="s">
        <v>25</v>
      </c>
      <c r="I2119" t="s">
        <v>33</v>
      </c>
    </row>
    <row r="2120" spans="1:9" x14ac:dyDescent="0.3">
      <c r="A2120" t="str">
        <f t="shared" si="33"/>
        <v>CASE-2119</v>
      </c>
      <c r="B2120" s="1">
        <v>45622</v>
      </c>
      <c r="C2120" t="s">
        <v>11</v>
      </c>
      <c r="D2120">
        <v>3</v>
      </c>
      <c r="E2120" t="b">
        <v>0</v>
      </c>
      <c r="F2120" s="2">
        <v>30.647651232723135</v>
      </c>
      <c r="G2120" t="b">
        <v>0</v>
      </c>
      <c r="H2120" t="s">
        <v>28</v>
      </c>
      <c r="I2120" t="s">
        <v>33</v>
      </c>
    </row>
    <row r="2121" spans="1:9" x14ac:dyDescent="0.3">
      <c r="A2121" t="str">
        <f t="shared" si="33"/>
        <v>CASE-2120</v>
      </c>
      <c r="B2121" s="1">
        <v>45777</v>
      </c>
      <c r="C2121" t="s">
        <v>11</v>
      </c>
      <c r="D2121">
        <v>2</v>
      </c>
      <c r="E2121" t="b">
        <v>1</v>
      </c>
      <c r="F2121" s="2">
        <v>5.0696857131193633</v>
      </c>
      <c r="G2121" t="b">
        <v>0</v>
      </c>
      <c r="H2121" t="s">
        <v>18</v>
      </c>
      <c r="I2121" t="s">
        <v>34</v>
      </c>
    </row>
    <row r="2122" spans="1:9" x14ac:dyDescent="0.3">
      <c r="A2122" t="str">
        <f t="shared" si="33"/>
        <v>CASE-2121</v>
      </c>
      <c r="B2122" s="1">
        <v>45578</v>
      </c>
      <c r="C2122" t="s">
        <v>9</v>
      </c>
      <c r="D2122">
        <v>4</v>
      </c>
      <c r="E2122" t="b">
        <v>0</v>
      </c>
      <c r="F2122" s="2">
        <v>17.664954241461729</v>
      </c>
      <c r="G2122" t="b">
        <v>0</v>
      </c>
      <c r="H2122" t="s">
        <v>27</v>
      </c>
      <c r="I2122" t="s">
        <v>33</v>
      </c>
    </row>
    <row r="2123" spans="1:9" x14ac:dyDescent="0.3">
      <c r="A2123" t="str">
        <f t="shared" si="33"/>
        <v>CASE-2122</v>
      </c>
      <c r="B2123" s="1">
        <v>45903</v>
      </c>
      <c r="C2123" t="s">
        <v>10</v>
      </c>
      <c r="D2123">
        <v>1</v>
      </c>
      <c r="E2123" t="b">
        <v>1</v>
      </c>
      <c r="F2123" s="2">
        <v>16.950694632366208</v>
      </c>
      <c r="G2123" t="b">
        <v>0</v>
      </c>
      <c r="H2123" t="s">
        <v>16</v>
      </c>
      <c r="I2123" t="s">
        <v>33</v>
      </c>
    </row>
    <row r="2124" spans="1:9" x14ac:dyDescent="0.3">
      <c r="A2124" t="str">
        <f t="shared" si="33"/>
        <v>CASE-2123</v>
      </c>
      <c r="B2124" s="1">
        <v>45998</v>
      </c>
      <c r="C2124" t="s">
        <v>9</v>
      </c>
      <c r="D2124">
        <v>3</v>
      </c>
      <c r="E2124" t="b">
        <v>1</v>
      </c>
      <c r="F2124" s="2">
        <v>5.473096652475343</v>
      </c>
      <c r="G2124" t="b">
        <v>0</v>
      </c>
      <c r="H2124" t="s">
        <v>26</v>
      </c>
      <c r="I2124" t="s">
        <v>34</v>
      </c>
    </row>
    <row r="2125" spans="1:9" x14ac:dyDescent="0.3">
      <c r="A2125" t="str">
        <f t="shared" si="33"/>
        <v>CASE-2124</v>
      </c>
      <c r="B2125" s="1">
        <v>46155</v>
      </c>
      <c r="C2125" t="s">
        <v>10</v>
      </c>
      <c r="D2125">
        <v>5</v>
      </c>
      <c r="E2125" t="b">
        <v>1</v>
      </c>
      <c r="F2125" s="2">
        <v>8.538612902271419</v>
      </c>
      <c r="G2125" t="b">
        <v>0</v>
      </c>
      <c r="H2125" t="s">
        <v>23</v>
      </c>
      <c r="I2125" t="s">
        <v>34</v>
      </c>
    </row>
    <row r="2126" spans="1:9" x14ac:dyDescent="0.3">
      <c r="A2126" t="str">
        <f t="shared" si="33"/>
        <v>CASE-2125</v>
      </c>
      <c r="B2126" s="1">
        <v>45760</v>
      </c>
      <c r="C2126" t="s">
        <v>12</v>
      </c>
      <c r="D2126">
        <v>1</v>
      </c>
      <c r="E2126" t="b">
        <v>1</v>
      </c>
      <c r="F2126" s="2">
        <v>1.1836192535647374</v>
      </c>
      <c r="G2126" t="b">
        <v>0</v>
      </c>
      <c r="H2126" t="s">
        <v>24</v>
      </c>
      <c r="I2126" t="s">
        <v>34</v>
      </c>
    </row>
    <row r="2127" spans="1:9" x14ac:dyDescent="0.3">
      <c r="A2127" t="str">
        <f t="shared" si="33"/>
        <v>CASE-2126</v>
      </c>
      <c r="B2127" s="1">
        <v>46153</v>
      </c>
      <c r="C2127" t="s">
        <v>12</v>
      </c>
      <c r="D2127">
        <v>4</v>
      </c>
      <c r="E2127" t="b">
        <v>1</v>
      </c>
      <c r="F2127" s="2">
        <v>35.705968457929991</v>
      </c>
      <c r="G2127" t="b">
        <v>0</v>
      </c>
      <c r="H2127" t="s">
        <v>14</v>
      </c>
      <c r="I2127" t="s">
        <v>33</v>
      </c>
    </row>
    <row r="2128" spans="1:9" x14ac:dyDescent="0.3">
      <c r="A2128" t="str">
        <f t="shared" si="33"/>
        <v>CASE-2127</v>
      </c>
      <c r="B2128" s="1">
        <v>46024</v>
      </c>
      <c r="C2128" t="s">
        <v>10</v>
      </c>
      <c r="D2128">
        <v>4</v>
      </c>
      <c r="E2128" t="b">
        <v>1</v>
      </c>
      <c r="F2128" s="2">
        <v>17.702410048702152</v>
      </c>
      <c r="G2128" t="b">
        <v>0</v>
      </c>
      <c r="H2128" t="s">
        <v>13</v>
      </c>
      <c r="I2128" t="s">
        <v>33</v>
      </c>
    </row>
    <row r="2129" spans="1:9" x14ac:dyDescent="0.3">
      <c r="A2129" t="str">
        <f t="shared" si="33"/>
        <v>CASE-2128</v>
      </c>
      <c r="B2129" s="1">
        <v>45541</v>
      </c>
      <c r="C2129" t="s">
        <v>11</v>
      </c>
      <c r="D2129">
        <v>1</v>
      </c>
      <c r="E2129" t="b">
        <v>0</v>
      </c>
      <c r="F2129" s="2">
        <v>28.461921538124635</v>
      </c>
      <c r="G2129" t="b">
        <v>0</v>
      </c>
      <c r="H2129" t="s">
        <v>25</v>
      </c>
      <c r="I2129" t="s">
        <v>33</v>
      </c>
    </row>
    <row r="2130" spans="1:9" x14ac:dyDescent="0.3">
      <c r="A2130" t="str">
        <f t="shared" si="33"/>
        <v>CASE-2129</v>
      </c>
      <c r="B2130" s="1">
        <v>45553</v>
      </c>
      <c r="C2130" t="s">
        <v>10</v>
      </c>
      <c r="D2130">
        <v>5</v>
      </c>
      <c r="E2130" t="b">
        <v>0</v>
      </c>
      <c r="F2130" s="2">
        <v>21.975635682151175</v>
      </c>
      <c r="G2130" t="b">
        <v>0</v>
      </c>
      <c r="H2130" t="s">
        <v>16</v>
      </c>
      <c r="I2130" t="s">
        <v>33</v>
      </c>
    </row>
    <row r="2131" spans="1:9" x14ac:dyDescent="0.3">
      <c r="A2131" t="str">
        <f t="shared" si="33"/>
        <v>CASE-2130</v>
      </c>
      <c r="B2131" s="1">
        <v>45742</v>
      </c>
      <c r="C2131" t="s">
        <v>11</v>
      </c>
      <c r="D2131">
        <v>3</v>
      </c>
      <c r="E2131" t="b">
        <v>1</v>
      </c>
      <c r="F2131" s="2">
        <v>5.8209419128534181</v>
      </c>
      <c r="G2131" t="b">
        <v>0</v>
      </c>
      <c r="H2131" t="s">
        <v>17</v>
      </c>
      <c r="I2131" t="s">
        <v>34</v>
      </c>
    </row>
    <row r="2132" spans="1:9" x14ac:dyDescent="0.3">
      <c r="A2132" t="str">
        <f t="shared" si="33"/>
        <v>CASE-2131</v>
      </c>
      <c r="B2132" s="1">
        <v>45916</v>
      </c>
      <c r="C2132" t="s">
        <v>9</v>
      </c>
      <c r="D2132">
        <v>5</v>
      </c>
      <c r="E2132" t="b">
        <v>0</v>
      </c>
      <c r="F2132" s="2">
        <v>7.5632809443096676</v>
      </c>
      <c r="G2132" t="b">
        <v>0</v>
      </c>
      <c r="H2132" t="s">
        <v>17</v>
      </c>
      <c r="I2132" t="s">
        <v>34</v>
      </c>
    </row>
    <row r="2133" spans="1:9" x14ac:dyDescent="0.3">
      <c r="A2133" t="str">
        <f t="shared" si="33"/>
        <v>CASE-2132</v>
      </c>
      <c r="B2133" s="1">
        <v>45959</v>
      </c>
      <c r="C2133" t="s">
        <v>9</v>
      </c>
      <c r="D2133">
        <v>4</v>
      </c>
      <c r="E2133" t="b">
        <v>1</v>
      </c>
      <c r="F2133" s="2">
        <v>5.0043197476645984</v>
      </c>
      <c r="G2133" t="b">
        <v>0</v>
      </c>
      <c r="H2133" t="s">
        <v>14</v>
      </c>
      <c r="I2133" t="s">
        <v>34</v>
      </c>
    </row>
    <row r="2134" spans="1:9" x14ac:dyDescent="0.3">
      <c r="A2134" t="str">
        <f t="shared" si="33"/>
        <v>CASE-2133</v>
      </c>
      <c r="B2134" s="1">
        <v>46137</v>
      </c>
      <c r="C2134" t="s">
        <v>12</v>
      </c>
      <c r="D2134">
        <v>3</v>
      </c>
      <c r="E2134" t="b">
        <v>1</v>
      </c>
      <c r="F2134" s="2">
        <v>8.0990622250191215</v>
      </c>
      <c r="G2134" t="b">
        <v>0</v>
      </c>
      <c r="H2134" t="s">
        <v>16</v>
      </c>
      <c r="I2134" t="s">
        <v>34</v>
      </c>
    </row>
    <row r="2135" spans="1:9" x14ac:dyDescent="0.3">
      <c r="A2135" t="str">
        <f t="shared" si="33"/>
        <v>CASE-2134</v>
      </c>
      <c r="B2135" s="1">
        <v>46041</v>
      </c>
      <c r="C2135" t="s">
        <v>9</v>
      </c>
      <c r="D2135">
        <v>3</v>
      </c>
      <c r="E2135" t="b">
        <v>1</v>
      </c>
      <c r="F2135" s="2">
        <v>7.6463540005504615</v>
      </c>
      <c r="G2135" t="b">
        <v>0</v>
      </c>
      <c r="H2135" t="s">
        <v>31</v>
      </c>
      <c r="I2135" t="s">
        <v>34</v>
      </c>
    </row>
    <row r="2136" spans="1:9" x14ac:dyDescent="0.3">
      <c r="A2136" t="str">
        <f t="shared" si="33"/>
        <v>CASE-2135</v>
      </c>
      <c r="B2136" s="1">
        <v>45657</v>
      </c>
      <c r="C2136" t="s">
        <v>9</v>
      </c>
      <c r="D2136">
        <v>2</v>
      </c>
      <c r="E2136" t="b">
        <v>0</v>
      </c>
      <c r="F2136" s="2">
        <v>36.330100390584683</v>
      </c>
      <c r="G2136" t="b">
        <v>0</v>
      </c>
      <c r="H2136" t="s">
        <v>27</v>
      </c>
      <c r="I2136" t="s">
        <v>33</v>
      </c>
    </row>
    <row r="2137" spans="1:9" x14ac:dyDescent="0.3">
      <c r="A2137" t="str">
        <f t="shared" si="33"/>
        <v>CASE-2136</v>
      </c>
      <c r="B2137" s="1">
        <v>45809</v>
      </c>
      <c r="C2137" t="s">
        <v>12</v>
      </c>
      <c r="D2137">
        <v>5</v>
      </c>
      <c r="E2137" t="b">
        <v>1</v>
      </c>
      <c r="F2137" s="2">
        <v>7.4445112087492298</v>
      </c>
      <c r="G2137" t="b">
        <v>0</v>
      </c>
      <c r="H2137" t="s">
        <v>15</v>
      </c>
      <c r="I2137" t="s">
        <v>34</v>
      </c>
    </row>
    <row r="2138" spans="1:9" x14ac:dyDescent="0.3">
      <c r="A2138" t="str">
        <f t="shared" si="33"/>
        <v>CASE-2137</v>
      </c>
      <c r="B2138" s="1">
        <v>45512</v>
      </c>
      <c r="C2138" t="s">
        <v>10</v>
      </c>
      <c r="D2138">
        <v>4</v>
      </c>
      <c r="E2138" t="b">
        <v>0</v>
      </c>
      <c r="F2138" s="2">
        <v>23.545642881757459</v>
      </c>
      <c r="G2138" t="b">
        <v>0</v>
      </c>
      <c r="H2138" t="s">
        <v>17</v>
      </c>
      <c r="I2138" t="s">
        <v>33</v>
      </c>
    </row>
    <row r="2139" spans="1:9" x14ac:dyDescent="0.3">
      <c r="A2139" t="str">
        <f t="shared" si="33"/>
        <v>CASE-2138</v>
      </c>
      <c r="B2139" s="1">
        <v>46082</v>
      </c>
      <c r="C2139" t="s">
        <v>12</v>
      </c>
      <c r="D2139">
        <v>2</v>
      </c>
      <c r="E2139" t="b">
        <v>0</v>
      </c>
      <c r="F2139" s="2">
        <v>15.298703976947435</v>
      </c>
      <c r="G2139" t="b">
        <v>0</v>
      </c>
      <c r="H2139" t="s">
        <v>22</v>
      </c>
      <c r="I2139" t="s">
        <v>33</v>
      </c>
    </row>
    <row r="2140" spans="1:9" x14ac:dyDescent="0.3">
      <c r="A2140" t="str">
        <f t="shared" si="33"/>
        <v>CASE-2139</v>
      </c>
      <c r="B2140" s="1">
        <v>46104</v>
      </c>
      <c r="C2140" t="s">
        <v>12</v>
      </c>
      <c r="D2140">
        <v>5</v>
      </c>
      <c r="E2140" t="b">
        <v>1</v>
      </c>
      <c r="F2140" s="2">
        <v>26.438341985856557</v>
      </c>
      <c r="G2140" t="b">
        <v>0</v>
      </c>
      <c r="H2140" t="s">
        <v>16</v>
      </c>
      <c r="I2140" t="s">
        <v>33</v>
      </c>
    </row>
    <row r="2141" spans="1:9" x14ac:dyDescent="0.3">
      <c r="A2141" t="str">
        <f t="shared" si="33"/>
        <v>CASE-2140</v>
      </c>
      <c r="B2141" s="1">
        <v>45931</v>
      </c>
      <c r="C2141" t="s">
        <v>9</v>
      </c>
      <c r="D2141">
        <v>3</v>
      </c>
      <c r="E2141" t="b">
        <v>1</v>
      </c>
      <c r="F2141" s="2">
        <v>4.6253779152628498</v>
      </c>
      <c r="G2141" t="b">
        <v>0</v>
      </c>
      <c r="H2141" t="s">
        <v>30</v>
      </c>
      <c r="I2141" t="s">
        <v>34</v>
      </c>
    </row>
    <row r="2142" spans="1:9" x14ac:dyDescent="0.3">
      <c r="A2142" t="str">
        <f t="shared" si="33"/>
        <v>CASE-2141</v>
      </c>
      <c r="B2142" s="1">
        <v>45548</v>
      </c>
      <c r="C2142" t="s">
        <v>10</v>
      </c>
      <c r="D2142">
        <v>2</v>
      </c>
      <c r="E2142" t="b">
        <v>0</v>
      </c>
      <c r="F2142" s="2">
        <v>22.233522436691391</v>
      </c>
      <c r="G2142" t="b">
        <v>0</v>
      </c>
      <c r="H2142" t="s">
        <v>16</v>
      </c>
      <c r="I2142" t="s">
        <v>33</v>
      </c>
    </row>
    <row r="2143" spans="1:9" x14ac:dyDescent="0.3">
      <c r="A2143" t="str">
        <f t="shared" si="33"/>
        <v>CASE-2142</v>
      </c>
      <c r="B2143" s="1">
        <v>46013</v>
      </c>
      <c r="C2143" t="s">
        <v>10</v>
      </c>
      <c r="D2143">
        <v>1</v>
      </c>
      <c r="E2143" t="b">
        <v>1</v>
      </c>
      <c r="F2143" s="2">
        <v>4.7918257336939059</v>
      </c>
      <c r="G2143" t="b">
        <v>0</v>
      </c>
      <c r="H2143" t="s">
        <v>16</v>
      </c>
      <c r="I2143" t="s">
        <v>34</v>
      </c>
    </row>
    <row r="2144" spans="1:9" x14ac:dyDescent="0.3">
      <c r="A2144" t="str">
        <f t="shared" si="33"/>
        <v>CASE-2143</v>
      </c>
      <c r="B2144" s="1">
        <v>45634</v>
      </c>
      <c r="C2144" t="s">
        <v>12</v>
      </c>
      <c r="D2144">
        <v>2</v>
      </c>
      <c r="E2144" t="b">
        <v>0</v>
      </c>
      <c r="F2144" s="2">
        <v>26.63680570278607</v>
      </c>
      <c r="G2144" t="b">
        <v>0</v>
      </c>
      <c r="H2144" t="s">
        <v>26</v>
      </c>
      <c r="I2144" t="s">
        <v>33</v>
      </c>
    </row>
    <row r="2145" spans="1:9" x14ac:dyDescent="0.3">
      <c r="A2145" t="str">
        <f t="shared" si="33"/>
        <v>CASE-2144</v>
      </c>
      <c r="B2145" s="1">
        <v>46018</v>
      </c>
      <c r="C2145" t="s">
        <v>11</v>
      </c>
      <c r="D2145">
        <v>1</v>
      </c>
      <c r="E2145" t="b">
        <v>1</v>
      </c>
      <c r="F2145" s="2">
        <v>3.6741543822657436</v>
      </c>
      <c r="G2145" t="b">
        <v>0</v>
      </c>
      <c r="H2145" t="s">
        <v>17</v>
      </c>
      <c r="I2145" t="s">
        <v>34</v>
      </c>
    </row>
    <row r="2146" spans="1:9" x14ac:dyDescent="0.3">
      <c r="A2146" t="str">
        <f t="shared" si="33"/>
        <v>CASE-2145</v>
      </c>
      <c r="B2146" s="1">
        <v>46030</v>
      </c>
      <c r="C2146" t="s">
        <v>12</v>
      </c>
      <c r="D2146">
        <v>3</v>
      </c>
      <c r="E2146" t="b">
        <v>1</v>
      </c>
      <c r="F2146" s="2">
        <v>5.4016735621938219</v>
      </c>
      <c r="G2146" t="b">
        <v>0</v>
      </c>
      <c r="H2146" t="s">
        <v>16</v>
      </c>
      <c r="I2146" t="s">
        <v>34</v>
      </c>
    </row>
    <row r="2147" spans="1:9" x14ac:dyDescent="0.3">
      <c r="A2147" t="str">
        <f t="shared" si="33"/>
        <v>CASE-2146</v>
      </c>
      <c r="B2147" s="1">
        <v>45819</v>
      </c>
      <c r="C2147" t="s">
        <v>9</v>
      </c>
      <c r="D2147">
        <v>2</v>
      </c>
      <c r="E2147" t="b">
        <v>1</v>
      </c>
      <c r="F2147" s="2">
        <v>9.1112308760661449</v>
      </c>
      <c r="G2147" t="b">
        <v>0</v>
      </c>
      <c r="H2147" t="s">
        <v>19</v>
      </c>
      <c r="I2147" t="s">
        <v>34</v>
      </c>
    </row>
    <row r="2148" spans="1:9" x14ac:dyDescent="0.3">
      <c r="A2148" t="str">
        <f t="shared" si="33"/>
        <v>CASE-2147</v>
      </c>
      <c r="B2148" s="1">
        <v>46014</v>
      </c>
      <c r="C2148" t="s">
        <v>10</v>
      </c>
      <c r="D2148">
        <v>3</v>
      </c>
      <c r="E2148" t="b">
        <v>1</v>
      </c>
      <c r="F2148" s="2">
        <v>4.2692446858114002</v>
      </c>
      <c r="G2148" t="b">
        <v>0</v>
      </c>
      <c r="H2148" t="s">
        <v>16</v>
      </c>
      <c r="I2148" t="s">
        <v>34</v>
      </c>
    </row>
    <row r="2149" spans="1:9" x14ac:dyDescent="0.3">
      <c r="A2149" t="str">
        <f t="shared" si="33"/>
        <v>CASE-2148</v>
      </c>
      <c r="B2149" s="1">
        <v>45636</v>
      </c>
      <c r="C2149" t="s">
        <v>9</v>
      </c>
      <c r="D2149">
        <v>2</v>
      </c>
      <c r="E2149" t="b">
        <v>0</v>
      </c>
      <c r="F2149" s="2">
        <v>5.6076688646436246</v>
      </c>
      <c r="G2149" t="b">
        <v>0</v>
      </c>
      <c r="H2149" t="s">
        <v>22</v>
      </c>
      <c r="I2149" t="s">
        <v>33</v>
      </c>
    </row>
    <row r="2150" spans="1:9" x14ac:dyDescent="0.3">
      <c r="A2150" t="str">
        <f t="shared" si="33"/>
        <v>CASE-2149</v>
      </c>
      <c r="B2150" s="1">
        <v>45917</v>
      </c>
      <c r="C2150" t="s">
        <v>9</v>
      </c>
      <c r="D2150">
        <v>3</v>
      </c>
      <c r="E2150" t="b">
        <v>1</v>
      </c>
      <c r="F2150" s="2">
        <v>4.7631858016935436</v>
      </c>
      <c r="G2150" t="b">
        <v>0</v>
      </c>
      <c r="H2150" t="s">
        <v>14</v>
      </c>
      <c r="I2150" t="s">
        <v>34</v>
      </c>
    </row>
    <row r="2151" spans="1:9" x14ac:dyDescent="0.3">
      <c r="A2151" t="str">
        <f t="shared" si="33"/>
        <v>CASE-2150</v>
      </c>
      <c r="B2151" s="1">
        <v>45621</v>
      </c>
      <c r="C2151" t="s">
        <v>12</v>
      </c>
      <c r="D2151">
        <v>4</v>
      </c>
      <c r="E2151" t="b">
        <v>0</v>
      </c>
      <c r="F2151" s="2">
        <v>18.025792894682951</v>
      </c>
      <c r="G2151" t="b">
        <v>0</v>
      </c>
      <c r="H2151" t="s">
        <v>21</v>
      </c>
      <c r="I2151" t="s">
        <v>33</v>
      </c>
    </row>
    <row r="2152" spans="1:9" x14ac:dyDescent="0.3">
      <c r="A2152" t="str">
        <f t="shared" si="33"/>
        <v>CASE-2151</v>
      </c>
      <c r="B2152" s="1">
        <v>46015</v>
      </c>
      <c r="C2152" t="s">
        <v>11</v>
      </c>
      <c r="D2152">
        <v>3</v>
      </c>
      <c r="E2152" t="b">
        <v>1</v>
      </c>
      <c r="F2152" s="2">
        <v>30.8499459025923</v>
      </c>
      <c r="G2152" t="b">
        <v>0</v>
      </c>
      <c r="H2152" t="s">
        <v>31</v>
      </c>
      <c r="I2152" t="s">
        <v>33</v>
      </c>
    </row>
    <row r="2153" spans="1:9" x14ac:dyDescent="0.3">
      <c r="A2153" t="str">
        <f t="shared" si="33"/>
        <v>CASE-2152</v>
      </c>
      <c r="B2153" s="1">
        <v>45521</v>
      </c>
      <c r="C2153" t="s">
        <v>10</v>
      </c>
      <c r="D2153">
        <v>4</v>
      </c>
      <c r="E2153" t="b">
        <v>0</v>
      </c>
      <c r="F2153" s="2">
        <v>25.158737152141484</v>
      </c>
      <c r="G2153" t="b">
        <v>0</v>
      </c>
      <c r="H2153" t="s">
        <v>30</v>
      </c>
      <c r="I2153" t="s">
        <v>33</v>
      </c>
    </row>
    <row r="2154" spans="1:9" x14ac:dyDescent="0.3">
      <c r="A2154" t="str">
        <f t="shared" si="33"/>
        <v>CASE-2153</v>
      </c>
      <c r="B2154" s="1">
        <v>45787</v>
      </c>
      <c r="C2154" t="s">
        <v>11</v>
      </c>
      <c r="D2154">
        <v>2</v>
      </c>
      <c r="E2154" t="b">
        <v>1</v>
      </c>
      <c r="F2154" s="2">
        <v>8.7161263046232911</v>
      </c>
      <c r="G2154" t="b">
        <v>0</v>
      </c>
      <c r="H2154" t="s">
        <v>30</v>
      </c>
      <c r="I2154" t="s">
        <v>35</v>
      </c>
    </row>
    <row r="2155" spans="1:9" x14ac:dyDescent="0.3">
      <c r="A2155" t="str">
        <f t="shared" si="33"/>
        <v>CASE-2154</v>
      </c>
      <c r="B2155" s="1">
        <v>45703</v>
      </c>
      <c r="C2155" t="s">
        <v>10</v>
      </c>
      <c r="D2155">
        <v>4</v>
      </c>
      <c r="E2155" t="b">
        <v>1</v>
      </c>
      <c r="F2155" s="2">
        <v>8.1184013666380164</v>
      </c>
      <c r="G2155" t="b">
        <v>0</v>
      </c>
      <c r="H2155" t="s">
        <v>21</v>
      </c>
      <c r="I2155" t="s">
        <v>34</v>
      </c>
    </row>
    <row r="2156" spans="1:9" x14ac:dyDescent="0.3">
      <c r="A2156" t="str">
        <f t="shared" si="33"/>
        <v>CASE-2155</v>
      </c>
      <c r="B2156" s="1">
        <v>45541</v>
      </c>
      <c r="C2156" t="s">
        <v>10</v>
      </c>
      <c r="D2156">
        <v>5</v>
      </c>
      <c r="E2156" t="b">
        <v>0</v>
      </c>
      <c r="F2156" s="2">
        <v>17.990579479006811</v>
      </c>
      <c r="G2156" t="b">
        <v>0</v>
      </c>
      <c r="H2156" t="s">
        <v>32</v>
      </c>
      <c r="I2156" t="s">
        <v>33</v>
      </c>
    </row>
    <row r="2157" spans="1:9" x14ac:dyDescent="0.3">
      <c r="A2157" t="str">
        <f t="shared" si="33"/>
        <v>CASE-2156</v>
      </c>
      <c r="B2157" s="1">
        <v>45687</v>
      </c>
      <c r="C2157" t="s">
        <v>12</v>
      </c>
      <c r="D2157">
        <v>3</v>
      </c>
      <c r="E2157" t="b">
        <v>1</v>
      </c>
      <c r="F2157" s="2">
        <v>7.8398246953630375</v>
      </c>
      <c r="G2157" t="b">
        <v>0</v>
      </c>
      <c r="H2157" t="s">
        <v>19</v>
      </c>
      <c r="I2157" t="s">
        <v>34</v>
      </c>
    </row>
    <row r="2158" spans="1:9" x14ac:dyDescent="0.3">
      <c r="A2158" t="str">
        <f t="shared" si="33"/>
        <v>CASE-2157</v>
      </c>
      <c r="B2158" s="1">
        <v>45895</v>
      </c>
      <c r="C2158" t="s">
        <v>11</v>
      </c>
      <c r="D2158">
        <v>5</v>
      </c>
      <c r="E2158" t="b">
        <v>0</v>
      </c>
      <c r="F2158" s="2">
        <v>11.139077827123558</v>
      </c>
      <c r="G2158" t="b">
        <v>0</v>
      </c>
      <c r="H2158" t="s">
        <v>14</v>
      </c>
      <c r="I2158" t="s">
        <v>34</v>
      </c>
    </row>
    <row r="2159" spans="1:9" x14ac:dyDescent="0.3">
      <c r="A2159" t="str">
        <f t="shared" si="33"/>
        <v>CASE-2158</v>
      </c>
      <c r="B2159" s="1">
        <v>46194</v>
      </c>
      <c r="C2159" t="s">
        <v>10</v>
      </c>
      <c r="D2159">
        <v>3</v>
      </c>
      <c r="E2159" t="b">
        <v>1</v>
      </c>
      <c r="F2159" s="2">
        <v>26.08382331290677</v>
      </c>
      <c r="G2159" t="b">
        <v>0</v>
      </c>
      <c r="H2159" t="s">
        <v>22</v>
      </c>
      <c r="I2159" t="s">
        <v>33</v>
      </c>
    </row>
    <row r="2160" spans="1:9" x14ac:dyDescent="0.3">
      <c r="A2160" t="str">
        <f t="shared" si="33"/>
        <v>CASE-2159</v>
      </c>
      <c r="B2160" s="1">
        <v>45825</v>
      </c>
      <c r="C2160" t="s">
        <v>10</v>
      </c>
      <c r="D2160">
        <v>3</v>
      </c>
      <c r="E2160" t="b">
        <v>0</v>
      </c>
      <c r="F2160" s="2">
        <v>6.671429970159422</v>
      </c>
      <c r="G2160" t="b">
        <v>0</v>
      </c>
      <c r="H2160" t="s">
        <v>30</v>
      </c>
      <c r="I2160" t="s">
        <v>35</v>
      </c>
    </row>
    <row r="2161" spans="1:9" x14ac:dyDescent="0.3">
      <c r="A2161" t="str">
        <f t="shared" si="33"/>
        <v>CASE-2160</v>
      </c>
      <c r="B2161" s="1">
        <v>45987</v>
      </c>
      <c r="C2161" t="s">
        <v>12</v>
      </c>
      <c r="D2161">
        <v>2</v>
      </c>
      <c r="E2161" t="b">
        <v>1</v>
      </c>
      <c r="F2161" s="2">
        <v>3.7517857894358744</v>
      </c>
      <c r="G2161" t="b">
        <v>0</v>
      </c>
      <c r="H2161" t="s">
        <v>31</v>
      </c>
      <c r="I2161" t="s">
        <v>34</v>
      </c>
    </row>
    <row r="2162" spans="1:9" x14ac:dyDescent="0.3">
      <c r="A2162" t="str">
        <f t="shared" si="33"/>
        <v>CASE-2161</v>
      </c>
      <c r="B2162" s="1">
        <v>45687</v>
      </c>
      <c r="C2162" t="s">
        <v>10</v>
      </c>
      <c r="D2162">
        <v>5</v>
      </c>
      <c r="E2162" t="b">
        <v>0</v>
      </c>
      <c r="F2162" s="2">
        <v>3.3455678094351851</v>
      </c>
      <c r="G2162" t="b">
        <v>0</v>
      </c>
      <c r="H2162" t="s">
        <v>22</v>
      </c>
      <c r="I2162" t="s">
        <v>34</v>
      </c>
    </row>
    <row r="2163" spans="1:9" x14ac:dyDescent="0.3">
      <c r="A2163" t="str">
        <f t="shared" si="33"/>
        <v>CASE-2162</v>
      </c>
      <c r="B2163" s="1">
        <v>45897</v>
      </c>
      <c r="C2163" t="s">
        <v>9</v>
      </c>
      <c r="D2163">
        <v>5</v>
      </c>
      <c r="E2163" t="b">
        <v>0</v>
      </c>
      <c r="F2163" s="2">
        <v>7.2157019458970471</v>
      </c>
      <c r="G2163" t="b">
        <v>0</v>
      </c>
      <c r="H2163" t="s">
        <v>18</v>
      </c>
      <c r="I2163" t="s">
        <v>34</v>
      </c>
    </row>
    <row r="2164" spans="1:9" x14ac:dyDescent="0.3">
      <c r="A2164" t="str">
        <f t="shared" si="33"/>
        <v>CASE-2163</v>
      </c>
      <c r="B2164" s="1">
        <v>45749</v>
      </c>
      <c r="C2164" t="s">
        <v>11</v>
      </c>
      <c r="D2164">
        <v>5</v>
      </c>
      <c r="E2164" t="b">
        <v>1</v>
      </c>
      <c r="F2164" s="2">
        <v>3.3095713785832168</v>
      </c>
      <c r="G2164" t="b">
        <v>0</v>
      </c>
      <c r="H2164" t="s">
        <v>26</v>
      </c>
      <c r="I2164" t="s">
        <v>34</v>
      </c>
    </row>
    <row r="2165" spans="1:9" x14ac:dyDescent="0.3">
      <c r="A2165" t="str">
        <f t="shared" si="33"/>
        <v>CASE-2164</v>
      </c>
      <c r="B2165" s="1">
        <v>45483</v>
      </c>
      <c r="C2165" t="s">
        <v>12</v>
      </c>
      <c r="D2165">
        <v>2</v>
      </c>
      <c r="E2165" t="b">
        <v>0</v>
      </c>
      <c r="F2165" s="2">
        <v>14.205704315174511</v>
      </c>
      <c r="G2165" t="b">
        <v>0</v>
      </c>
      <c r="H2165" t="s">
        <v>15</v>
      </c>
      <c r="I2165" t="s">
        <v>33</v>
      </c>
    </row>
    <row r="2166" spans="1:9" x14ac:dyDescent="0.3">
      <c r="A2166" t="str">
        <f t="shared" si="33"/>
        <v>CASE-2165</v>
      </c>
      <c r="B2166" s="1">
        <v>46157</v>
      </c>
      <c r="C2166" t="s">
        <v>12</v>
      </c>
      <c r="D2166">
        <v>1</v>
      </c>
      <c r="E2166" t="b">
        <v>1</v>
      </c>
      <c r="F2166" s="2">
        <v>10.583349767671098</v>
      </c>
      <c r="G2166" t="b">
        <v>0</v>
      </c>
      <c r="H2166" t="s">
        <v>31</v>
      </c>
      <c r="I2166" t="s">
        <v>33</v>
      </c>
    </row>
    <row r="2167" spans="1:9" x14ac:dyDescent="0.3">
      <c r="A2167" t="str">
        <f t="shared" si="33"/>
        <v>CASE-2166</v>
      </c>
      <c r="B2167" s="1">
        <v>45654</v>
      </c>
      <c r="C2167" t="s">
        <v>12</v>
      </c>
      <c r="D2167">
        <v>4</v>
      </c>
      <c r="E2167" t="b">
        <v>0</v>
      </c>
      <c r="F2167" s="2">
        <v>18.259107935135329</v>
      </c>
      <c r="G2167" t="b">
        <v>0</v>
      </c>
      <c r="H2167" t="s">
        <v>27</v>
      </c>
      <c r="I2167" t="s">
        <v>33</v>
      </c>
    </row>
    <row r="2168" spans="1:9" x14ac:dyDescent="0.3">
      <c r="A2168" t="str">
        <f t="shared" si="33"/>
        <v>CASE-2167</v>
      </c>
      <c r="B2168" s="1">
        <v>46153</v>
      </c>
      <c r="C2168" t="s">
        <v>12</v>
      </c>
      <c r="D2168">
        <v>3</v>
      </c>
      <c r="E2168" t="b">
        <v>1</v>
      </c>
      <c r="F2168" s="2">
        <v>7.5599730763302233</v>
      </c>
      <c r="G2168" t="b">
        <v>0</v>
      </c>
      <c r="H2168" t="s">
        <v>25</v>
      </c>
      <c r="I2168" t="s">
        <v>34</v>
      </c>
    </row>
    <row r="2169" spans="1:9" x14ac:dyDescent="0.3">
      <c r="A2169" t="str">
        <f t="shared" si="33"/>
        <v>CASE-2168</v>
      </c>
      <c r="B2169" s="1">
        <v>45482</v>
      </c>
      <c r="C2169" t="s">
        <v>10</v>
      </c>
      <c r="D2169">
        <v>1</v>
      </c>
      <c r="E2169" t="b">
        <v>0</v>
      </c>
      <c r="F2169" s="2">
        <v>21.97144068398854</v>
      </c>
      <c r="G2169" t="b">
        <v>0</v>
      </c>
      <c r="H2169" t="s">
        <v>24</v>
      </c>
      <c r="I2169" t="s">
        <v>33</v>
      </c>
    </row>
    <row r="2170" spans="1:9" x14ac:dyDescent="0.3">
      <c r="A2170" t="str">
        <f t="shared" si="33"/>
        <v>CASE-2169</v>
      </c>
      <c r="B2170" s="1">
        <v>46008</v>
      </c>
      <c r="C2170" t="s">
        <v>12</v>
      </c>
      <c r="D2170">
        <v>4</v>
      </c>
      <c r="E2170" t="b">
        <v>1</v>
      </c>
      <c r="F2170" s="2">
        <v>4.0123019675320464</v>
      </c>
      <c r="G2170" t="b">
        <v>0</v>
      </c>
      <c r="H2170" t="s">
        <v>19</v>
      </c>
      <c r="I2170" t="s">
        <v>34</v>
      </c>
    </row>
    <row r="2171" spans="1:9" x14ac:dyDescent="0.3">
      <c r="A2171" t="str">
        <f t="shared" si="33"/>
        <v>CASE-2170</v>
      </c>
      <c r="B2171" s="1">
        <v>45761</v>
      </c>
      <c r="C2171" t="s">
        <v>9</v>
      </c>
      <c r="D2171">
        <v>4</v>
      </c>
      <c r="E2171" t="b">
        <v>1</v>
      </c>
      <c r="F2171" s="2">
        <v>5.1756915947072439</v>
      </c>
      <c r="G2171" t="b">
        <v>0</v>
      </c>
      <c r="H2171" t="s">
        <v>26</v>
      </c>
      <c r="I2171" t="s">
        <v>34</v>
      </c>
    </row>
    <row r="2172" spans="1:9" x14ac:dyDescent="0.3">
      <c r="A2172" t="str">
        <f t="shared" si="33"/>
        <v>CASE-2171</v>
      </c>
      <c r="B2172" s="1">
        <v>46124</v>
      </c>
      <c r="C2172" t="s">
        <v>12</v>
      </c>
      <c r="D2172">
        <v>5</v>
      </c>
      <c r="E2172" t="b">
        <v>1</v>
      </c>
      <c r="F2172" s="2">
        <v>29.688620707892788</v>
      </c>
      <c r="G2172" t="b">
        <v>0</v>
      </c>
      <c r="H2172" t="s">
        <v>26</v>
      </c>
      <c r="I2172" t="s">
        <v>33</v>
      </c>
    </row>
    <row r="2173" spans="1:9" x14ac:dyDescent="0.3">
      <c r="A2173" t="str">
        <f t="shared" si="33"/>
        <v>CASE-2172</v>
      </c>
      <c r="B2173" s="1">
        <v>45745</v>
      </c>
      <c r="C2173" t="s">
        <v>10</v>
      </c>
      <c r="D2173">
        <v>5</v>
      </c>
      <c r="E2173" t="b">
        <v>1</v>
      </c>
      <c r="F2173" s="2">
        <v>2.9331443568410926</v>
      </c>
      <c r="G2173" t="b">
        <v>0</v>
      </c>
      <c r="H2173" t="s">
        <v>17</v>
      </c>
      <c r="I2173" t="s">
        <v>34</v>
      </c>
    </row>
    <row r="2174" spans="1:9" x14ac:dyDescent="0.3">
      <c r="A2174" t="str">
        <f t="shared" si="33"/>
        <v>CASE-2173</v>
      </c>
      <c r="B2174" s="1">
        <v>46090</v>
      </c>
      <c r="C2174" t="s">
        <v>9</v>
      </c>
      <c r="D2174">
        <v>1</v>
      </c>
      <c r="E2174" t="b">
        <v>1</v>
      </c>
      <c r="F2174" s="2">
        <v>5.4522928775570723</v>
      </c>
      <c r="G2174" t="b">
        <v>0</v>
      </c>
      <c r="H2174" t="s">
        <v>17</v>
      </c>
      <c r="I2174" t="s">
        <v>34</v>
      </c>
    </row>
    <row r="2175" spans="1:9" x14ac:dyDescent="0.3">
      <c r="A2175" t="str">
        <f t="shared" si="33"/>
        <v>CASE-2174</v>
      </c>
      <c r="B2175" s="1">
        <v>45909</v>
      </c>
      <c r="C2175" t="s">
        <v>10</v>
      </c>
      <c r="D2175">
        <v>4</v>
      </c>
      <c r="E2175" t="b">
        <v>1</v>
      </c>
      <c r="F2175" s="2">
        <v>3.0763800236570438</v>
      </c>
      <c r="G2175" t="b">
        <v>0</v>
      </c>
      <c r="H2175" t="s">
        <v>25</v>
      </c>
      <c r="I2175" t="s">
        <v>34</v>
      </c>
    </row>
    <row r="2176" spans="1:9" x14ac:dyDescent="0.3">
      <c r="A2176" t="str">
        <f t="shared" si="33"/>
        <v>CASE-2175</v>
      </c>
      <c r="B2176" s="1">
        <v>46174</v>
      </c>
      <c r="C2176" t="s">
        <v>10</v>
      </c>
      <c r="D2176">
        <v>5</v>
      </c>
      <c r="E2176" t="b">
        <v>1</v>
      </c>
      <c r="F2176" s="2">
        <v>5.8501100889187496</v>
      </c>
      <c r="G2176" t="b">
        <v>0</v>
      </c>
      <c r="H2176" t="s">
        <v>23</v>
      </c>
      <c r="I2176" t="s">
        <v>34</v>
      </c>
    </row>
    <row r="2177" spans="1:9" x14ac:dyDescent="0.3">
      <c r="A2177" t="str">
        <f t="shared" si="33"/>
        <v>CASE-2176</v>
      </c>
      <c r="B2177" s="1">
        <v>46088</v>
      </c>
      <c r="C2177" t="s">
        <v>9</v>
      </c>
      <c r="D2177">
        <v>2</v>
      </c>
      <c r="E2177" t="b">
        <v>1</v>
      </c>
      <c r="F2177" s="2">
        <v>6.1519439601944192</v>
      </c>
      <c r="G2177" t="b">
        <v>0</v>
      </c>
      <c r="H2177" t="s">
        <v>24</v>
      </c>
      <c r="I2177" t="s">
        <v>34</v>
      </c>
    </row>
    <row r="2178" spans="1:9" x14ac:dyDescent="0.3">
      <c r="A2178" t="str">
        <f t="shared" si="33"/>
        <v>CASE-2177</v>
      </c>
      <c r="B2178" s="1">
        <v>46108</v>
      </c>
      <c r="C2178" t="s">
        <v>10</v>
      </c>
      <c r="D2178">
        <v>5</v>
      </c>
      <c r="E2178" t="b">
        <v>1</v>
      </c>
      <c r="F2178" s="2">
        <v>23.590819597971464</v>
      </c>
      <c r="G2178" t="b">
        <v>0</v>
      </c>
      <c r="H2178" t="s">
        <v>19</v>
      </c>
      <c r="I2178" t="s">
        <v>33</v>
      </c>
    </row>
    <row r="2179" spans="1:9" x14ac:dyDescent="0.3">
      <c r="A2179" t="str">
        <f t="shared" ref="A2179:A2242" si="34">"CASE-"&amp;TEXT(ROW()-1,"0000")</f>
        <v>CASE-2178</v>
      </c>
      <c r="B2179" s="1">
        <v>45660</v>
      </c>
      <c r="C2179" t="s">
        <v>11</v>
      </c>
      <c r="D2179">
        <v>5</v>
      </c>
      <c r="E2179" t="b">
        <v>1</v>
      </c>
      <c r="F2179" s="2">
        <v>19.970145951138559</v>
      </c>
      <c r="G2179" t="b">
        <v>0</v>
      </c>
      <c r="H2179" t="s">
        <v>15</v>
      </c>
      <c r="I2179" t="s">
        <v>33</v>
      </c>
    </row>
    <row r="2180" spans="1:9" x14ac:dyDescent="0.3">
      <c r="A2180" t="str">
        <f t="shared" si="34"/>
        <v>CASE-2179</v>
      </c>
      <c r="B2180" s="1">
        <v>45560</v>
      </c>
      <c r="C2180" t="s">
        <v>12</v>
      </c>
      <c r="D2180">
        <v>2</v>
      </c>
      <c r="E2180" t="b">
        <v>0</v>
      </c>
      <c r="F2180" s="2">
        <v>24.043500195421363</v>
      </c>
      <c r="G2180" t="b">
        <v>0</v>
      </c>
      <c r="H2180" t="s">
        <v>18</v>
      </c>
      <c r="I2180" t="s">
        <v>33</v>
      </c>
    </row>
    <row r="2181" spans="1:9" x14ac:dyDescent="0.3">
      <c r="A2181" t="str">
        <f t="shared" si="34"/>
        <v>CASE-2180</v>
      </c>
      <c r="B2181" s="1">
        <v>45585</v>
      </c>
      <c r="C2181" t="s">
        <v>10</v>
      </c>
      <c r="D2181">
        <v>1</v>
      </c>
      <c r="E2181" t="b">
        <v>0</v>
      </c>
      <c r="F2181" s="2">
        <v>32.741600807509599</v>
      </c>
      <c r="G2181" t="b">
        <v>0</v>
      </c>
      <c r="H2181" t="s">
        <v>23</v>
      </c>
      <c r="I2181" t="s">
        <v>33</v>
      </c>
    </row>
    <row r="2182" spans="1:9" x14ac:dyDescent="0.3">
      <c r="A2182" t="str">
        <f t="shared" si="34"/>
        <v>CASE-2181</v>
      </c>
      <c r="B2182" s="1">
        <v>45967</v>
      </c>
      <c r="C2182" t="s">
        <v>10</v>
      </c>
      <c r="D2182">
        <v>2</v>
      </c>
      <c r="E2182" t="b">
        <v>1</v>
      </c>
      <c r="F2182" s="2">
        <v>9.1148641097974128</v>
      </c>
      <c r="G2182" t="b">
        <v>0</v>
      </c>
      <c r="H2182" t="s">
        <v>29</v>
      </c>
      <c r="I2182" t="s">
        <v>34</v>
      </c>
    </row>
    <row r="2183" spans="1:9" x14ac:dyDescent="0.3">
      <c r="A2183" t="str">
        <f t="shared" si="34"/>
        <v>CASE-2182</v>
      </c>
      <c r="B2183" s="1">
        <v>45561</v>
      </c>
      <c r="C2183" t="s">
        <v>12</v>
      </c>
      <c r="D2183">
        <v>2</v>
      </c>
      <c r="E2183" t="b">
        <v>0</v>
      </c>
      <c r="F2183" s="2">
        <v>8.7145717110373688</v>
      </c>
      <c r="G2183" t="b">
        <v>0</v>
      </c>
      <c r="H2183" t="s">
        <v>24</v>
      </c>
      <c r="I2183" t="s">
        <v>33</v>
      </c>
    </row>
    <row r="2184" spans="1:9" x14ac:dyDescent="0.3">
      <c r="A2184" t="str">
        <f t="shared" si="34"/>
        <v>CASE-2183</v>
      </c>
      <c r="B2184" s="1">
        <v>45761</v>
      </c>
      <c r="C2184" t="s">
        <v>10</v>
      </c>
      <c r="D2184">
        <v>3</v>
      </c>
      <c r="E2184" t="b">
        <v>1</v>
      </c>
      <c r="F2184" s="2">
        <v>5.4165208173661572</v>
      </c>
      <c r="G2184" t="b">
        <v>0</v>
      </c>
      <c r="H2184" t="s">
        <v>17</v>
      </c>
      <c r="I2184" t="s">
        <v>34</v>
      </c>
    </row>
    <row r="2185" spans="1:9" x14ac:dyDescent="0.3">
      <c r="A2185" t="str">
        <f t="shared" si="34"/>
        <v>CASE-2184</v>
      </c>
      <c r="B2185" s="1">
        <v>45922</v>
      </c>
      <c r="C2185" t="s">
        <v>10</v>
      </c>
      <c r="D2185">
        <v>2</v>
      </c>
      <c r="E2185" t="b">
        <v>1</v>
      </c>
      <c r="F2185" s="2">
        <v>8.3272877100115075</v>
      </c>
      <c r="G2185" t="b">
        <v>0</v>
      </c>
      <c r="H2185" t="s">
        <v>19</v>
      </c>
      <c r="I2185" t="s">
        <v>34</v>
      </c>
    </row>
    <row r="2186" spans="1:9" x14ac:dyDescent="0.3">
      <c r="A2186" t="str">
        <f t="shared" si="34"/>
        <v>CASE-2185</v>
      </c>
      <c r="B2186" s="1">
        <v>45844</v>
      </c>
      <c r="C2186" t="s">
        <v>12</v>
      </c>
      <c r="D2186">
        <v>2</v>
      </c>
      <c r="E2186" t="b">
        <v>1</v>
      </c>
      <c r="F2186" s="2">
        <v>5.4760434455675666</v>
      </c>
      <c r="G2186" t="b">
        <v>0</v>
      </c>
      <c r="H2186" t="s">
        <v>26</v>
      </c>
      <c r="I2186" t="s">
        <v>34</v>
      </c>
    </row>
    <row r="2187" spans="1:9" x14ac:dyDescent="0.3">
      <c r="A2187" t="str">
        <f t="shared" si="34"/>
        <v>CASE-2186</v>
      </c>
      <c r="B2187" s="1">
        <v>45641</v>
      </c>
      <c r="C2187" t="s">
        <v>10</v>
      </c>
      <c r="D2187">
        <v>5</v>
      </c>
      <c r="E2187" t="b">
        <v>0</v>
      </c>
      <c r="F2187" s="2">
        <v>21.461399292840284</v>
      </c>
      <c r="G2187" t="b">
        <v>0</v>
      </c>
      <c r="H2187" t="s">
        <v>26</v>
      </c>
      <c r="I2187" t="s">
        <v>33</v>
      </c>
    </row>
    <row r="2188" spans="1:9" x14ac:dyDescent="0.3">
      <c r="A2188" t="str">
        <f t="shared" si="34"/>
        <v>CASE-2187</v>
      </c>
      <c r="B2188" s="1">
        <v>45538</v>
      </c>
      <c r="C2188" t="s">
        <v>10</v>
      </c>
      <c r="D2188">
        <v>1</v>
      </c>
      <c r="E2188" t="b">
        <v>0</v>
      </c>
      <c r="F2188" s="2">
        <v>33.599535553736132</v>
      </c>
      <c r="G2188" t="b">
        <v>0</v>
      </c>
      <c r="H2188" t="s">
        <v>27</v>
      </c>
      <c r="I2188" t="s">
        <v>33</v>
      </c>
    </row>
    <row r="2189" spans="1:9" x14ac:dyDescent="0.3">
      <c r="A2189" t="str">
        <f t="shared" si="34"/>
        <v>CASE-2188</v>
      </c>
      <c r="B2189" s="1">
        <v>46078</v>
      </c>
      <c r="C2189" t="s">
        <v>12</v>
      </c>
      <c r="D2189">
        <v>5</v>
      </c>
      <c r="E2189" t="b">
        <v>1</v>
      </c>
      <c r="F2189" s="2">
        <v>17.891150753836754</v>
      </c>
      <c r="G2189" t="b">
        <v>0</v>
      </c>
      <c r="H2189" t="s">
        <v>21</v>
      </c>
      <c r="I2189" t="s">
        <v>33</v>
      </c>
    </row>
    <row r="2190" spans="1:9" x14ac:dyDescent="0.3">
      <c r="A2190" t="str">
        <f t="shared" si="34"/>
        <v>CASE-2189</v>
      </c>
      <c r="B2190" s="1">
        <v>45764</v>
      </c>
      <c r="C2190" t="s">
        <v>9</v>
      </c>
      <c r="D2190">
        <v>5</v>
      </c>
      <c r="E2190" t="b">
        <v>1</v>
      </c>
      <c r="F2190" s="2">
        <v>4.3246874818767687</v>
      </c>
      <c r="G2190" t="b">
        <v>0</v>
      </c>
      <c r="H2190" t="s">
        <v>19</v>
      </c>
      <c r="I2190" t="s">
        <v>33</v>
      </c>
    </row>
    <row r="2191" spans="1:9" x14ac:dyDescent="0.3">
      <c r="A2191" t="str">
        <f t="shared" si="34"/>
        <v>CASE-2190</v>
      </c>
      <c r="B2191" s="1">
        <v>46083</v>
      </c>
      <c r="C2191" t="s">
        <v>12</v>
      </c>
      <c r="D2191">
        <v>2</v>
      </c>
      <c r="E2191" t="b">
        <v>0</v>
      </c>
      <c r="F2191" s="2">
        <v>7.3521180452950983</v>
      </c>
      <c r="G2191" t="b">
        <v>0</v>
      </c>
      <c r="H2191" t="s">
        <v>21</v>
      </c>
      <c r="I2191" t="s">
        <v>35</v>
      </c>
    </row>
    <row r="2192" spans="1:9" x14ac:dyDescent="0.3">
      <c r="A2192" t="str">
        <f t="shared" si="34"/>
        <v>CASE-2191</v>
      </c>
      <c r="B2192" s="1">
        <v>46150</v>
      </c>
      <c r="C2192" t="s">
        <v>12</v>
      </c>
      <c r="D2192">
        <v>2</v>
      </c>
      <c r="E2192" t="b">
        <v>1</v>
      </c>
      <c r="F2192" s="2">
        <v>5.1154424105783214</v>
      </c>
      <c r="G2192" t="b">
        <v>0</v>
      </c>
      <c r="H2192" t="s">
        <v>26</v>
      </c>
      <c r="I2192" t="s">
        <v>35</v>
      </c>
    </row>
    <row r="2193" spans="1:9" x14ac:dyDescent="0.3">
      <c r="A2193" t="str">
        <f t="shared" si="34"/>
        <v>CASE-2192</v>
      </c>
      <c r="B2193" s="1">
        <v>45930</v>
      </c>
      <c r="C2193" t="s">
        <v>10</v>
      </c>
      <c r="D2193">
        <v>1</v>
      </c>
      <c r="E2193" t="b">
        <v>1</v>
      </c>
      <c r="F2193" s="2">
        <v>7.4353519272477726</v>
      </c>
      <c r="G2193" t="b">
        <v>0</v>
      </c>
      <c r="H2193" t="s">
        <v>13</v>
      </c>
      <c r="I2193" t="s">
        <v>34</v>
      </c>
    </row>
    <row r="2194" spans="1:9" x14ac:dyDescent="0.3">
      <c r="A2194" t="str">
        <f t="shared" si="34"/>
        <v>CASE-2193</v>
      </c>
      <c r="B2194" s="1">
        <v>45937</v>
      </c>
      <c r="C2194" t="s">
        <v>12</v>
      </c>
      <c r="D2194">
        <v>3</v>
      </c>
      <c r="E2194" t="b">
        <v>1</v>
      </c>
      <c r="F2194" s="2">
        <v>4.3990783107473543</v>
      </c>
      <c r="G2194" t="b">
        <v>0</v>
      </c>
      <c r="H2194" t="s">
        <v>29</v>
      </c>
      <c r="I2194" t="s">
        <v>34</v>
      </c>
    </row>
    <row r="2195" spans="1:9" x14ac:dyDescent="0.3">
      <c r="A2195" t="str">
        <f t="shared" si="34"/>
        <v>CASE-2194</v>
      </c>
      <c r="B2195" s="1">
        <v>45581</v>
      </c>
      <c r="C2195" t="s">
        <v>9</v>
      </c>
      <c r="D2195">
        <v>5</v>
      </c>
      <c r="E2195" t="b">
        <v>0</v>
      </c>
      <c r="F2195" s="2">
        <v>39.642945991981009</v>
      </c>
      <c r="G2195" t="b">
        <v>0</v>
      </c>
      <c r="H2195" t="s">
        <v>14</v>
      </c>
      <c r="I2195" t="s">
        <v>33</v>
      </c>
    </row>
    <row r="2196" spans="1:9" x14ac:dyDescent="0.3">
      <c r="A2196" t="str">
        <f t="shared" si="34"/>
        <v>CASE-2195</v>
      </c>
      <c r="B2196" s="1">
        <v>45587</v>
      </c>
      <c r="C2196" t="s">
        <v>11</v>
      </c>
      <c r="D2196">
        <v>3</v>
      </c>
      <c r="E2196" t="b">
        <v>0</v>
      </c>
      <c r="F2196" s="2">
        <v>25.803632833910498</v>
      </c>
      <c r="G2196" t="b">
        <v>0</v>
      </c>
      <c r="H2196" t="s">
        <v>16</v>
      </c>
      <c r="I2196" t="s">
        <v>33</v>
      </c>
    </row>
    <row r="2197" spans="1:9" x14ac:dyDescent="0.3">
      <c r="A2197" t="str">
        <f t="shared" si="34"/>
        <v>CASE-2196</v>
      </c>
      <c r="B2197" s="1">
        <v>45774</v>
      </c>
      <c r="C2197" t="s">
        <v>10</v>
      </c>
      <c r="D2197">
        <v>2</v>
      </c>
      <c r="E2197" t="b">
        <v>1</v>
      </c>
      <c r="F2197" s="2">
        <v>8.4414121384033933</v>
      </c>
      <c r="G2197" t="b">
        <v>0</v>
      </c>
      <c r="H2197" t="s">
        <v>16</v>
      </c>
      <c r="I2197" t="s">
        <v>35</v>
      </c>
    </row>
    <row r="2198" spans="1:9" x14ac:dyDescent="0.3">
      <c r="A2198" t="str">
        <f t="shared" si="34"/>
        <v>CASE-2197</v>
      </c>
      <c r="B2198" s="1">
        <v>45871</v>
      </c>
      <c r="C2198" t="s">
        <v>12</v>
      </c>
      <c r="D2198">
        <v>4</v>
      </c>
      <c r="E2198" t="b">
        <v>1</v>
      </c>
      <c r="F2198" s="2">
        <v>7.5916988834537715</v>
      </c>
      <c r="G2198" t="b">
        <v>0</v>
      </c>
      <c r="H2198" t="s">
        <v>28</v>
      </c>
      <c r="I2198" t="s">
        <v>34</v>
      </c>
    </row>
    <row r="2199" spans="1:9" x14ac:dyDescent="0.3">
      <c r="A2199" t="str">
        <f t="shared" si="34"/>
        <v>CASE-2198</v>
      </c>
      <c r="B2199" s="1">
        <v>45663</v>
      </c>
      <c r="C2199" t="s">
        <v>10</v>
      </c>
      <c r="D2199">
        <v>2</v>
      </c>
      <c r="E2199" t="b">
        <v>0</v>
      </c>
      <c r="F2199" s="2">
        <v>2.4166562310585937</v>
      </c>
      <c r="G2199" t="b">
        <v>0</v>
      </c>
      <c r="H2199" t="s">
        <v>15</v>
      </c>
      <c r="I2199" t="s">
        <v>34</v>
      </c>
    </row>
    <row r="2200" spans="1:9" x14ac:dyDescent="0.3">
      <c r="A2200" t="str">
        <f t="shared" si="34"/>
        <v>CASE-2199</v>
      </c>
      <c r="B2200" s="1">
        <v>45909</v>
      </c>
      <c r="C2200" t="s">
        <v>10</v>
      </c>
      <c r="D2200">
        <v>5</v>
      </c>
      <c r="E2200" t="b">
        <v>1</v>
      </c>
      <c r="F2200" s="2">
        <v>5.9001129969354009</v>
      </c>
      <c r="G2200" t="b">
        <v>0</v>
      </c>
      <c r="H2200" t="s">
        <v>29</v>
      </c>
      <c r="I2200" t="s">
        <v>34</v>
      </c>
    </row>
    <row r="2201" spans="1:9" x14ac:dyDescent="0.3">
      <c r="A2201" t="str">
        <f t="shared" si="34"/>
        <v>CASE-2200</v>
      </c>
      <c r="B2201" s="1">
        <v>45672</v>
      </c>
      <c r="C2201" t="s">
        <v>12</v>
      </c>
      <c r="D2201">
        <v>4</v>
      </c>
      <c r="E2201" t="b">
        <v>0</v>
      </c>
      <c r="F2201" s="2">
        <v>5.6033941902580411</v>
      </c>
      <c r="G2201" t="b">
        <v>0</v>
      </c>
      <c r="H2201" t="s">
        <v>14</v>
      </c>
      <c r="I2201" t="s">
        <v>34</v>
      </c>
    </row>
    <row r="2202" spans="1:9" x14ac:dyDescent="0.3">
      <c r="A2202" t="str">
        <f t="shared" si="34"/>
        <v>CASE-2201</v>
      </c>
      <c r="B2202" s="1">
        <v>45731</v>
      </c>
      <c r="C2202" t="s">
        <v>10</v>
      </c>
      <c r="D2202">
        <v>2</v>
      </c>
      <c r="E2202" t="b">
        <v>1</v>
      </c>
      <c r="F2202" s="2">
        <v>8.7185026203023135</v>
      </c>
      <c r="G2202" t="b">
        <v>0</v>
      </c>
      <c r="H2202" t="s">
        <v>20</v>
      </c>
      <c r="I2202" t="s">
        <v>34</v>
      </c>
    </row>
    <row r="2203" spans="1:9" x14ac:dyDescent="0.3">
      <c r="A2203" t="str">
        <f t="shared" si="34"/>
        <v>CASE-2202</v>
      </c>
      <c r="B2203" s="1">
        <v>45481</v>
      </c>
      <c r="C2203" t="s">
        <v>9</v>
      </c>
      <c r="D2203">
        <v>4</v>
      </c>
      <c r="E2203" t="b">
        <v>0</v>
      </c>
      <c r="F2203" s="2">
        <v>22.902143772138391</v>
      </c>
      <c r="G2203" t="b">
        <v>0</v>
      </c>
      <c r="H2203" t="s">
        <v>27</v>
      </c>
      <c r="I2203" t="s">
        <v>33</v>
      </c>
    </row>
    <row r="2204" spans="1:9" x14ac:dyDescent="0.3">
      <c r="A2204" t="str">
        <f t="shared" si="34"/>
        <v>CASE-2203</v>
      </c>
      <c r="B2204" s="1">
        <v>45556</v>
      </c>
      <c r="C2204" t="s">
        <v>12</v>
      </c>
      <c r="D2204">
        <v>3</v>
      </c>
      <c r="E2204" t="b">
        <v>0</v>
      </c>
      <c r="F2204" s="2">
        <v>24.503281047786842</v>
      </c>
      <c r="G2204" t="b">
        <v>1</v>
      </c>
      <c r="H2204" t="s">
        <v>24</v>
      </c>
      <c r="I2204" t="s">
        <v>33</v>
      </c>
    </row>
    <row r="2205" spans="1:9" x14ac:dyDescent="0.3">
      <c r="A2205" t="str">
        <f t="shared" si="34"/>
        <v>CASE-2204</v>
      </c>
      <c r="B2205" s="1">
        <v>45717</v>
      </c>
      <c r="C2205" t="s">
        <v>11</v>
      </c>
      <c r="D2205">
        <v>1</v>
      </c>
      <c r="E2205" t="b">
        <v>1</v>
      </c>
      <c r="F2205" s="2">
        <v>15.12380384532319</v>
      </c>
      <c r="G2205" t="b">
        <v>0</v>
      </c>
      <c r="H2205" t="s">
        <v>20</v>
      </c>
      <c r="I2205" t="s">
        <v>33</v>
      </c>
    </row>
    <row r="2206" spans="1:9" x14ac:dyDescent="0.3">
      <c r="A2206" t="str">
        <f t="shared" si="34"/>
        <v>CASE-2205</v>
      </c>
      <c r="B2206" s="1">
        <v>45868</v>
      </c>
      <c r="C2206" t="s">
        <v>10</v>
      </c>
      <c r="D2206">
        <v>1</v>
      </c>
      <c r="E2206" t="b">
        <v>1</v>
      </c>
      <c r="F2206" s="2">
        <v>26.562089515698666</v>
      </c>
      <c r="G2206" t="b">
        <v>0</v>
      </c>
      <c r="H2206" t="s">
        <v>28</v>
      </c>
      <c r="I2206" t="s">
        <v>33</v>
      </c>
    </row>
    <row r="2207" spans="1:9" x14ac:dyDescent="0.3">
      <c r="A2207" t="str">
        <f t="shared" si="34"/>
        <v>CASE-2206</v>
      </c>
      <c r="B2207" s="1">
        <v>46044</v>
      </c>
      <c r="C2207" t="s">
        <v>9</v>
      </c>
      <c r="D2207">
        <v>5</v>
      </c>
      <c r="E2207" t="b">
        <v>1</v>
      </c>
      <c r="F2207" s="2">
        <v>5.6906627624461894</v>
      </c>
      <c r="G2207" t="b">
        <v>0</v>
      </c>
      <c r="H2207" t="s">
        <v>16</v>
      </c>
      <c r="I2207" t="s">
        <v>34</v>
      </c>
    </row>
    <row r="2208" spans="1:9" x14ac:dyDescent="0.3">
      <c r="A2208" t="str">
        <f t="shared" si="34"/>
        <v>CASE-2207</v>
      </c>
      <c r="B2208" s="1">
        <v>45624</v>
      </c>
      <c r="C2208" t="s">
        <v>10</v>
      </c>
      <c r="D2208">
        <v>5</v>
      </c>
      <c r="E2208" t="b">
        <v>0</v>
      </c>
      <c r="F2208" s="2">
        <v>17.801675175174957</v>
      </c>
      <c r="G2208" t="b">
        <v>0</v>
      </c>
      <c r="H2208" t="s">
        <v>23</v>
      </c>
      <c r="I2208" t="s">
        <v>33</v>
      </c>
    </row>
    <row r="2209" spans="1:9" x14ac:dyDescent="0.3">
      <c r="A2209" t="str">
        <f t="shared" si="34"/>
        <v>CASE-2208</v>
      </c>
      <c r="B2209" s="1">
        <v>45933</v>
      </c>
      <c r="C2209" t="s">
        <v>12</v>
      </c>
      <c r="D2209">
        <v>4</v>
      </c>
      <c r="E2209" t="b">
        <v>1</v>
      </c>
      <c r="F2209" s="2">
        <v>4.166187563237691</v>
      </c>
      <c r="G2209" t="b">
        <v>0</v>
      </c>
      <c r="H2209" t="s">
        <v>20</v>
      </c>
      <c r="I2209" t="s">
        <v>34</v>
      </c>
    </row>
    <row r="2210" spans="1:9" x14ac:dyDescent="0.3">
      <c r="A2210" t="str">
        <f t="shared" si="34"/>
        <v>CASE-2209</v>
      </c>
      <c r="B2210" s="1">
        <v>45916</v>
      </c>
      <c r="C2210" t="s">
        <v>9</v>
      </c>
      <c r="D2210">
        <v>2</v>
      </c>
      <c r="E2210" t="b">
        <v>1</v>
      </c>
      <c r="F2210" s="2">
        <v>36.757794846786553</v>
      </c>
      <c r="G2210" t="b">
        <v>0</v>
      </c>
      <c r="H2210" t="s">
        <v>14</v>
      </c>
      <c r="I2210" t="s">
        <v>33</v>
      </c>
    </row>
    <row r="2211" spans="1:9" x14ac:dyDescent="0.3">
      <c r="A2211" t="str">
        <f t="shared" si="34"/>
        <v>CASE-2210</v>
      </c>
      <c r="B2211" s="1">
        <v>45676</v>
      </c>
      <c r="C2211" t="s">
        <v>12</v>
      </c>
      <c r="D2211">
        <v>5</v>
      </c>
      <c r="E2211" t="b">
        <v>1</v>
      </c>
      <c r="F2211" s="2">
        <v>4.8895266491926312</v>
      </c>
      <c r="G2211" t="b">
        <v>0</v>
      </c>
      <c r="H2211" t="s">
        <v>27</v>
      </c>
      <c r="I2211" t="s">
        <v>34</v>
      </c>
    </row>
    <row r="2212" spans="1:9" x14ac:dyDescent="0.3">
      <c r="A2212" t="str">
        <f t="shared" si="34"/>
        <v>CASE-2211</v>
      </c>
      <c r="B2212" s="1">
        <v>45621</v>
      </c>
      <c r="C2212" t="s">
        <v>11</v>
      </c>
      <c r="D2212">
        <v>2</v>
      </c>
      <c r="E2212" t="b">
        <v>0</v>
      </c>
      <c r="F2212" s="2">
        <v>16.450071817901868</v>
      </c>
      <c r="G2212" t="b">
        <v>0</v>
      </c>
      <c r="H2212" t="s">
        <v>21</v>
      </c>
      <c r="I2212" t="s">
        <v>33</v>
      </c>
    </row>
    <row r="2213" spans="1:9" x14ac:dyDescent="0.3">
      <c r="A2213" t="str">
        <f t="shared" si="34"/>
        <v>CASE-2212</v>
      </c>
      <c r="B2213" s="1">
        <v>45793</v>
      </c>
      <c r="C2213" t="s">
        <v>12</v>
      </c>
      <c r="D2213">
        <v>4</v>
      </c>
      <c r="E2213" t="b">
        <v>1</v>
      </c>
      <c r="F2213" s="2">
        <v>6.2877124890789107</v>
      </c>
      <c r="G2213" t="b">
        <v>0</v>
      </c>
      <c r="H2213" t="s">
        <v>26</v>
      </c>
      <c r="I2213" t="s">
        <v>34</v>
      </c>
    </row>
    <row r="2214" spans="1:9" x14ac:dyDescent="0.3">
      <c r="A2214" t="str">
        <f t="shared" si="34"/>
        <v>CASE-2213</v>
      </c>
      <c r="B2214" s="1">
        <v>46063</v>
      </c>
      <c r="C2214" t="s">
        <v>12</v>
      </c>
      <c r="D2214">
        <v>1</v>
      </c>
      <c r="E2214" t="b">
        <v>1</v>
      </c>
      <c r="F2214" s="2">
        <v>25.927690966114472</v>
      </c>
      <c r="G2214" t="b">
        <v>0</v>
      </c>
      <c r="H2214" t="s">
        <v>31</v>
      </c>
      <c r="I2214" t="s">
        <v>33</v>
      </c>
    </row>
    <row r="2215" spans="1:9" x14ac:dyDescent="0.3">
      <c r="A2215" t="str">
        <f t="shared" si="34"/>
        <v>CASE-2214</v>
      </c>
      <c r="B2215" s="1">
        <v>45481</v>
      </c>
      <c r="C2215" t="s">
        <v>12</v>
      </c>
      <c r="D2215">
        <v>4</v>
      </c>
      <c r="E2215" t="b">
        <v>0</v>
      </c>
      <c r="F2215" s="2">
        <v>30.660007106459684</v>
      </c>
      <c r="G2215" t="b">
        <v>0</v>
      </c>
      <c r="H2215" t="s">
        <v>30</v>
      </c>
      <c r="I2215" t="s">
        <v>33</v>
      </c>
    </row>
    <row r="2216" spans="1:9" x14ac:dyDescent="0.3">
      <c r="A2216" t="str">
        <f t="shared" si="34"/>
        <v>CASE-2215</v>
      </c>
      <c r="B2216" s="1">
        <v>45943</v>
      </c>
      <c r="C2216" t="s">
        <v>10</v>
      </c>
      <c r="D2216">
        <v>1</v>
      </c>
      <c r="E2216" t="b">
        <v>1</v>
      </c>
      <c r="F2216" s="2">
        <v>17.190689075237117</v>
      </c>
      <c r="G2216" t="b">
        <v>0</v>
      </c>
      <c r="H2216" t="s">
        <v>24</v>
      </c>
      <c r="I2216" t="s">
        <v>33</v>
      </c>
    </row>
    <row r="2217" spans="1:9" x14ac:dyDescent="0.3">
      <c r="A2217" t="str">
        <f t="shared" si="34"/>
        <v>CASE-2216</v>
      </c>
      <c r="B2217" s="1">
        <v>45805</v>
      </c>
      <c r="C2217" t="s">
        <v>11</v>
      </c>
      <c r="D2217">
        <v>5</v>
      </c>
      <c r="E2217" t="b">
        <v>1</v>
      </c>
      <c r="F2217" s="2">
        <v>2.4574507998826407</v>
      </c>
      <c r="G2217" t="b">
        <v>0</v>
      </c>
      <c r="H2217" t="s">
        <v>30</v>
      </c>
      <c r="I2217" t="s">
        <v>34</v>
      </c>
    </row>
    <row r="2218" spans="1:9" x14ac:dyDescent="0.3">
      <c r="A2218" t="str">
        <f t="shared" si="34"/>
        <v>CASE-2217</v>
      </c>
      <c r="B2218" s="1">
        <v>45982</v>
      </c>
      <c r="C2218" t="s">
        <v>9</v>
      </c>
      <c r="D2218">
        <v>4</v>
      </c>
      <c r="E2218" t="b">
        <v>1</v>
      </c>
      <c r="F2218" s="2">
        <v>7.3179485164216365</v>
      </c>
      <c r="G2218" t="b">
        <v>0</v>
      </c>
      <c r="H2218" t="s">
        <v>22</v>
      </c>
      <c r="I2218" t="s">
        <v>34</v>
      </c>
    </row>
    <row r="2219" spans="1:9" x14ac:dyDescent="0.3">
      <c r="A2219" t="str">
        <f t="shared" si="34"/>
        <v>CASE-2218</v>
      </c>
      <c r="B2219" s="1">
        <v>46074</v>
      </c>
      <c r="C2219" t="s">
        <v>9</v>
      </c>
      <c r="D2219">
        <v>5</v>
      </c>
      <c r="E2219" t="b">
        <v>1</v>
      </c>
      <c r="F2219" s="2">
        <v>5.7011503058481496</v>
      </c>
      <c r="G2219" t="b">
        <v>0</v>
      </c>
      <c r="H2219" t="s">
        <v>28</v>
      </c>
      <c r="I2219" t="s">
        <v>34</v>
      </c>
    </row>
    <row r="2220" spans="1:9" x14ac:dyDescent="0.3">
      <c r="A2220" t="str">
        <f t="shared" si="34"/>
        <v>CASE-2219</v>
      </c>
      <c r="B2220" s="1">
        <v>45912</v>
      </c>
      <c r="C2220" t="s">
        <v>12</v>
      </c>
      <c r="D2220">
        <v>5</v>
      </c>
      <c r="E2220" t="b">
        <v>1</v>
      </c>
      <c r="F2220" s="2">
        <v>5.6285325012481655</v>
      </c>
      <c r="G2220" t="b">
        <v>0</v>
      </c>
      <c r="H2220" t="s">
        <v>27</v>
      </c>
      <c r="I2220" t="s">
        <v>34</v>
      </c>
    </row>
    <row r="2221" spans="1:9" x14ac:dyDescent="0.3">
      <c r="A2221" t="str">
        <f t="shared" si="34"/>
        <v>CASE-2220</v>
      </c>
      <c r="B2221" s="1">
        <v>46068</v>
      </c>
      <c r="C2221" t="s">
        <v>11</v>
      </c>
      <c r="D2221">
        <v>5</v>
      </c>
      <c r="E2221" t="b">
        <v>1</v>
      </c>
      <c r="F2221" s="2">
        <v>3.4207783235937907</v>
      </c>
      <c r="G2221" t="b">
        <v>0</v>
      </c>
      <c r="H2221" t="s">
        <v>29</v>
      </c>
      <c r="I2221" t="s">
        <v>34</v>
      </c>
    </row>
    <row r="2222" spans="1:9" x14ac:dyDescent="0.3">
      <c r="A2222" t="str">
        <f t="shared" si="34"/>
        <v>CASE-2221</v>
      </c>
      <c r="B2222" s="1">
        <v>45912</v>
      </c>
      <c r="C2222" t="s">
        <v>9</v>
      </c>
      <c r="D2222">
        <v>1</v>
      </c>
      <c r="E2222" t="b">
        <v>1</v>
      </c>
      <c r="F2222" s="2">
        <v>7.4941806509961806</v>
      </c>
      <c r="G2222" t="b">
        <v>0</v>
      </c>
      <c r="H2222" t="s">
        <v>18</v>
      </c>
      <c r="I2222" t="s">
        <v>34</v>
      </c>
    </row>
    <row r="2223" spans="1:9" x14ac:dyDescent="0.3">
      <c r="A2223" t="str">
        <f t="shared" si="34"/>
        <v>CASE-2222</v>
      </c>
      <c r="B2223" s="1">
        <v>45482</v>
      </c>
      <c r="C2223" t="s">
        <v>11</v>
      </c>
      <c r="D2223">
        <v>4</v>
      </c>
      <c r="E2223" t="b">
        <v>0</v>
      </c>
      <c r="F2223" s="2">
        <v>39.217356166910072</v>
      </c>
      <c r="G2223" t="b">
        <v>0</v>
      </c>
      <c r="H2223" t="s">
        <v>26</v>
      </c>
      <c r="I2223" t="s">
        <v>33</v>
      </c>
    </row>
    <row r="2224" spans="1:9" x14ac:dyDescent="0.3">
      <c r="A2224" t="str">
        <f t="shared" si="34"/>
        <v>CASE-2223</v>
      </c>
      <c r="B2224" s="1">
        <v>45510</v>
      </c>
      <c r="C2224" t="s">
        <v>12</v>
      </c>
      <c r="D2224">
        <v>2</v>
      </c>
      <c r="E2224" t="b">
        <v>0</v>
      </c>
      <c r="F2224" s="2">
        <v>22.517485111885282</v>
      </c>
      <c r="G2224" t="b">
        <v>0</v>
      </c>
      <c r="H2224" t="s">
        <v>18</v>
      </c>
      <c r="I2224" t="s">
        <v>33</v>
      </c>
    </row>
    <row r="2225" spans="1:9" x14ac:dyDescent="0.3">
      <c r="A2225" t="str">
        <f t="shared" si="34"/>
        <v>CASE-2224</v>
      </c>
      <c r="B2225" s="1">
        <v>45830</v>
      </c>
      <c r="C2225" t="s">
        <v>10</v>
      </c>
      <c r="D2225">
        <v>3</v>
      </c>
      <c r="E2225" t="b">
        <v>1</v>
      </c>
      <c r="F2225" s="2">
        <v>5.5416221895773381</v>
      </c>
      <c r="G2225" t="b">
        <v>0</v>
      </c>
      <c r="H2225" t="s">
        <v>29</v>
      </c>
      <c r="I2225" t="s">
        <v>34</v>
      </c>
    </row>
    <row r="2226" spans="1:9" x14ac:dyDescent="0.3">
      <c r="A2226" t="str">
        <f t="shared" si="34"/>
        <v>CASE-2225</v>
      </c>
      <c r="B2226" s="1">
        <v>45943</v>
      </c>
      <c r="C2226" t="s">
        <v>12</v>
      </c>
      <c r="D2226">
        <v>3</v>
      </c>
      <c r="E2226" t="b">
        <v>1</v>
      </c>
      <c r="F2226" s="2">
        <v>7.6383533225187694</v>
      </c>
      <c r="G2226" t="b">
        <v>0</v>
      </c>
      <c r="H2226" t="s">
        <v>27</v>
      </c>
      <c r="I2226" t="s">
        <v>34</v>
      </c>
    </row>
    <row r="2227" spans="1:9" x14ac:dyDescent="0.3">
      <c r="A2227" t="str">
        <f t="shared" si="34"/>
        <v>CASE-2226</v>
      </c>
      <c r="B2227" s="1">
        <v>45885</v>
      </c>
      <c r="C2227" t="s">
        <v>10</v>
      </c>
      <c r="D2227">
        <v>1</v>
      </c>
      <c r="E2227" t="b">
        <v>1</v>
      </c>
      <c r="F2227" s="2">
        <v>2.8080485125660868</v>
      </c>
      <c r="G2227" t="b">
        <v>0</v>
      </c>
      <c r="H2227" t="s">
        <v>29</v>
      </c>
      <c r="I2227" t="s">
        <v>34</v>
      </c>
    </row>
    <row r="2228" spans="1:9" x14ac:dyDescent="0.3">
      <c r="A2228" t="str">
        <f t="shared" si="34"/>
        <v>CASE-2227</v>
      </c>
      <c r="B2228" s="1">
        <v>45730</v>
      </c>
      <c r="C2228" t="s">
        <v>12</v>
      </c>
      <c r="D2228">
        <v>4</v>
      </c>
      <c r="E2228" t="b">
        <v>0</v>
      </c>
      <c r="F2228" s="2">
        <v>22.054023940157265</v>
      </c>
      <c r="G2228" t="b">
        <v>0</v>
      </c>
      <c r="H2228" t="s">
        <v>28</v>
      </c>
      <c r="I2228" t="s">
        <v>33</v>
      </c>
    </row>
    <row r="2229" spans="1:9" x14ac:dyDescent="0.3">
      <c r="A2229" t="str">
        <f t="shared" si="34"/>
        <v>CASE-2228</v>
      </c>
      <c r="B2229" s="1">
        <v>46176</v>
      </c>
      <c r="C2229" t="s">
        <v>11</v>
      </c>
      <c r="D2229">
        <v>2</v>
      </c>
      <c r="E2229" t="b">
        <v>1</v>
      </c>
      <c r="F2229" s="2">
        <v>8.3485536649748493</v>
      </c>
      <c r="G2229" t="b">
        <v>0</v>
      </c>
      <c r="H2229" t="s">
        <v>15</v>
      </c>
      <c r="I2229" t="s">
        <v>34</v>
      </c>
    </row>
    <row r="2230" spans="1:9" x14ac:dyDescent="0.3">
      <c r="A2230" t="str">
        <f t="shared" si="34"/>
        <v>CASE-2229</v>
      </c>
      <c r="B2230" s="1">
        <v>45772</v>
      </c>
      <c r="C2230" t="s">
        <v>9</v>
      </c>
      <c r="D2230">
        <v>4</v>
      </c>
      <c r="E2230" t="b">
        <v>1</v>
      </c>
      <c r="F2230" s="2">
        <v>7.7004902723919226</v>
      </c>
      <c r="G2230" t="b">
        <v>0</v>
      </c>
      <c r="H2230" t="s">
        <v>23</v>
      </c>
      <c r="I2230" t="s">
        <v>34</v>
      </c>
    </row>
    <row r="2231" spans="1:9" x14ac:dyDescent="0.3">
      <c r="A2231" t="str">
        <f t="shared" si="34"/>
        <v>CASE-2230</v>
      </c>
      <c r="B2231" s="1">
        <v>45479</v>
      </c>
      <c r="C2231" t="s">
        <v>11</v>
      </c>
      <c r="D2231">
        <v>1</v>
      </c>
      <c r="E2231" t="b">
        <v>0</v>
      </c>
      <c r="F2231" s="2">
        <v>47.165099750477651</v>
      </c>
      <c r="G2231" t="b">
        <v>0</v>
      </c>
      <c r="H2231" t="s">
        <v>16</v>
      </c>
      <c r="I2231" t="s">
        <v>33</v>
      </c>
    </row>
    <row r="2232" spans="1:9" x14ac:dyDescent="0.3">
      <c r="A2232" t="str">
        <f t="shared" si="34"/>
        <v>CASE-2231</v>
      </c>
      <c r="B2232" s="1">
        <v>46137</v>
      </c>
      <c r="C2232" t="s">
        <v>9</v>
      </c>
      <c r="D2232">
        <v>3</v>
      </c>
      <c r="E2232" t="b">
        <v>1</v>
      </c>
      <c r="F2232" s="2">
        <v>9.2191971604160585</v>
      </c>
      <c r="G2232" t="b">
        <v>0</v>
      </c>
      <c r="H2232" t="s">
        <v>31</v>
      </c>
      <c r="I2232" t="s">
        <v>35</v>
      </c>
    </row>
    <row r="2233" spans="1:9" x14ac:dyDescent="0.3">
      <c r="A2233" t="str">
        <f t="shared" si="34"/>
        <v>CASE-2232</v>
      </c>
      <c r="B2233" s="1">
        <v>46122</v>
      </c>
      <c r="C2233" t="s">
        <v>11</v>
      </c>
      <c r="D2233">
        <v>1</v>
      </c>
      <c r="E2233" t="b">
        <v>1</v>
      </c>
      <c r="F2233" s="2">
        <v>4.8813417816137354</v>
      </c>
      <c r="G2233" t="b">
        <v>0</v>
      </c>
      <c r="H2233" t="s">
        <v>19</v>
      </c>
      <c r="I2233" t="s">
        <v>34</v>
      </c>
    </row>
    <row r="2234" spans="1:9" x14ac:dyDescent="0.3">
      <c r="A2234" t="str">
        <f t="shared" si="34"/>
        <v>CASE-2233</v>
      </c>
      <c r="B2234" s="1">
        <v>45778</v>
      </c>
      <c r="C2234" t="s">
        <v>11</v>
      </c>
      <c r="D2234">
        <v>5</v>
      </c>
      <c r="E2234" t="b">
        <v>0</v>
      </c>
      <c r="F2234" s="2">
        <v>3.5052350039483615</v>
      </c>
      <c r="G2234" t="b">
        <v>0</v>
      </c>
      <c r="H2234" t="s">
        <v>19</v>
      </c>
      <c r="I2234" t="s">
        <v>34</v>
      </c>
    </row>
    <row r="2235" spans="1:9" x14ac:dyDescent="0.3">
      <c r="A2235" t="str">
        <f t="shared" si="34"/>
        <v>CASE-2234</v>
      </c>
      <c r="B2235" s="1">
        <v>45683</v>
      </c>
      <c r="C2235" t="s">
        <v>10</v>
      </c>
      <c r="D2235">
        <v>4</v>
      </c>
      <c r="E2235" t="b">
        <v>1</v>
      </c>
      <c r="F2235" s="2">
        <v>4.490798537251214</v>
      </c>
      <c r="G2235" t="b">
        <v>0</v>
      </c>
      <c r="H2235" t="s">
        <v>13</v>
      </c>
      <c r="I2235" t="s">
        <v>34</v>
      </c>
    </row>
    <row r="2236" spans="1:9" x14ac:dyDescent="0.3">
      <c r="A2236" t="str">
        <f t="shared" si="34"/>
        <v>CASE-2235</v>
      </c>
      <c r="B2236" s="1">
        <v>45919</v>
      </c>
      <c r="C2236" t="s">
        <v>9</v>
      </c>
      <c r="D2236">
        <v>4</v>
      </c>
      <c r="E2236" t="b">
        <v>1</v>
      </c>
      <c r="F2236" s="2">
        <v>7.016116515191011</v>
      </c>
      <c r="G2236" t="b">
        <v>0</v>
      </c>
      <c r="H2236" t="s">
        <v>29</v>
      </c>
      <c r="I2236" t="s">
        <v>34</v>
      </c>
    </row>
    <row r="2237" spans="1:9" x14ac:dyDescent="0.3">
      <c r="A2237" t="str">
        <f t="shared" si="34"/>
        <v>CASE-2236</v>
      </c>
      <c r="B2237" s="1">
        <v>45588</v>
      </c>
      <c r="C2237" t="s">
        <v>11</v>
      </c>
      <c r="D2237">
        <v>1</v>
      </c>
      <c r="E2237" t="b">
        <v>0</v>
      </c>
      <c r="F2237" s="2">
        <v>30.916107730971163</v>
      </c>
      <c r="G2237" t="b">
        <v>0</v>
      </c>
      <c r="H2237" t="s">
        <v>30</v>
      </c>
      <c r="I2237" t="s">
        <v>33</v>
      </c>
    </row>
    <row r="2238" spans="1:9" x14ac:dyDescent="0.3">
      <c r="A2238" t="str">
        <f t="shared" si="34"/>
        <v>CASE-2237</v>
      </c>
      <c r="B2238" s="1">
        <v>46046</v>
      </c>
      <c r="C2238" t="s">
        <v>9</v>
      </c>
      <c r="D2238">
        <v>3</v>
      </c>
      <c r="E2238" t="b">
        <v>1</v>
      </c>
      <c r="F2238" s="2">
        <v>21.705183878781575</v>
      </c>
      <c r="G2238" t="b">
        <v>0</v>
      </c>
      <c r="H2238" t="s">
        <v>17</v>
      </c>
      <c r="I2238" t="s">
        <v>33</v>
      </c>
    </row>
    <row r="2239" spans="1:9" x14ac:dyDescent="0.3">
      <c r="A2239" t="str">
        <f t="shared" si="34"/>
        <v>CASE-2238</v>
      </c>
      <c r="B2239" s="1">
        <v>46009</v>
      </c>
      <c r="C2239" t="s">
        <v>11</v>
      </c>
      <c r="D2239">
        <v>3</v>
      </c>
      <c r="E2239" t="b">
        <v>1</v>
      </c>
      <c r="F2239" s="2">
        <v>4.5600773523858624</v>
      </c>
      <c r="G2239" t="b">
        <v>0</v>
      </c>
      <c r="H2239" t="s">
        <v>16</v>
      </c>
      <c r="I2239" t="s">
        <v>34</v>
      </c>
    </row>
    <row r="2240" spans="1:9" x14ac:dyDescent="0.3">
      <c r="A2240" t="str">
        <f t="shared" si="34"/>
        <v>CASE-2239</v>
      </c>
      <c r="B2240" s="1">
        <v>45499</v>
      </c>
      <c r="C2240" t="s">
        <v>12</v>
      </c>
      <c r="D2240">
        <v>5</v>
      </c>
      <c r="E2240" t="b">
        <v>0</v>
      </c>
      <c r="F2240" s="2">
        <v>16.480587720371805</v>
      </c>
      <c r="G2240" t="b">
        <v>0</v>
      </c>
      <c r="H2240" t="s">
        <v>13</v>
      </c>
      <c r="I2240" t="s">
        <v>33</v>
      </c>
    </row>
    <row r="2241" spans="1:9" x14ac:dyDescent="0.3">
      <c r="A2241" t="str">
        <f t="shared" si="34"/>
        <v>CASE-2240</v>
      </c>
      <c r="B2241" s="1">
        <v>45584</v>
      </c>
      <c r="C2241" t="s">
        <v>11</v>
      </c>
      <c r="D2241">
        <v>5</v>
      </c>
      <c r="E2241" t="b">
        <v>0</v>
      </c>
      <c r="F2241" s="2">
        <v>25.19888997085155</v>
      </c>
      <c r="G2241" t="b">
        <v>0</v>
      </c>
      <c r="H2241" t="s">
        <v>26</v>
      </c>
      <c r="I2241" t="s">
        <v>33</v>
      </c>
    </row>
    <row r="2242" spans="1:9" x14ac:dyDescent="0.3">
      <c r="A2242" t="str">
        <f t="shared" si="34"/>
        <v>CASE-2241</v>
      </c>
      <c r="B2242" s="1">
        <v>45638</v>
      </c>
      <c r="C2242" t="s">
        <v>9</v>
      </c>
      <c r="D2242">
        <v>1</v>
      </c>
      <c r="E2242" t="b">
        <v>0</v>
      </c>
      <c r="F2242" s="2">
        <v>26.018005889314672</v>
      </c>
      <c r="G2242" t="b">
        <v>0</v>
      </c>
      <c r="H2242" t="s">
        <v>16</v>
      </c>
      <c r="I2242" t="s">
        <v>33</v>
      </c>
    </row>
    <row r="2243" spans="1:9" x14ac:dyDescent="0.3">
      <c r="A2243" t="str">
        <f t="shared" ref="A2243:A2306" si="35">"CASE-"&amp;TEXT(ROW()-1,"0000")</f>
        <v>CASE-2242</v>
      </c>
      <c r="B2243" s="1">
        <v>45920</v>
      </c>
      <c r="C2243" t="s">
        <v>12</v>
      </c>
      <c r="D2243">
        <v>5</v>
      </c>
      <c r="E2243" t="b">
        <v>1</v>
      </c>
      <c r="F2243" s="2">
        <v>3.8260266885206118</v>
      </c>
      <c r="G2243" t="b">
        <v>0</v>
      </c>
      <c r="H2243" t="s">
        <v>24</v>
      </c>
      <c r="I2243" t="s">
        <v>34</v>
      </c>
    </row>
    <row r="2244" spans="1:9" x14ac:dyDescent="0.3">
      <c r="A2244" t="str">
        <f t="shared" si="35"/>
        <v>CASE-2243</v>
      </c>
      <c r="B2244" s="1">
        <v>45683</v>
      </c>
      <c r="C2244" t="s">
        <v>10</v>
      </c>
      <c r="D2244">
        <v>2</v>
      </c>
      <c r="E2244" t="b">
        <v>1</v>
      </c>
      <c r="F2244" s="2">
        <v>6.6517371149730202</v>
      </c>
      <c r="G2244" t="b">
        <v>0</v>
      </c>
      <c r="H2244" t="s">
        <v>30</v>
      </c>
      <c r="I2244" t="s">
        <v>34</v>
      </c>
    </row>
    <row r="2245" spans="1:9" x14ac:dyDescent="0.3">
      <c r="A2245" t="str">
        <f t="shared" si="35"/>
        <v>CASE-2244</v>
      </c>
      <c r="B2245" s="1">
        <v>45697</v>
      </c>
      <c r="C2245" t="s">
        <v>12</v>
      </c>
      <c r="D2245">
        <v>2</v>
      </c>
      <c r="E2245" t="b">
        <v>1</v>
      </c>
      <c r="F2245" s="2">
        <v>4.0291226738346779</v>
      </c>
      <c r="G2245" t="b">
        <v>0</v>
      </c>
      <c r="H2245" t="s">
        <v>28</v>
      </c>
      <c r="I2245" t="s">
        <v>35</v>
      </c>
    </row>
    <row r="2246" spans="1:9" x14ac:dyDescent="0.3">
      <c r="A2246" t="str">
        <f t="shared" si="35"/>
        <v>CASE-2245</v>
      </c>
      <c r="B2246" s="1">
        <v>46089</v>
      </c>
      <c r="C2246" t="s">
        <v>9</v>
      </c>
      <c r="D2246">
        <v>3</v>
      </c>
      <c r="E2246" t="b">
        <v>1</v>
      </c>
      <c r="F2246" s="2">
        <v>5.5746478938284572</v>
      </c>
      <c r="G2246" t="b">
        <v>0</v>
      </c>
      <c r="H2246" t="s">
        <v>22</v>
      </c>
      <c r="I2246" t="s">
        <v>34</v>
      </c>
    </row>
    <row r="2247" spans="1:9" x14ac:dyDescent="0.3">
      <c r="A2247" t="str">
        <f t="shared" si="35"/>
        <v>CASE-2246</v>
      </c>
      <c r="B2247" s="1">
        <v>45526</v>
      </c>
      <c r="C2247" t="s">
        <v>11</v>
      </c>
      <c r="D2247">
        <v>3</v>
      </c>
      <c r="E2247" t="b">
        <v>0</v>
      </c>
      <c r="F2247" s="2">
        <v>29.876977767520174</v>
      </c>
      <c r="G2247" t="b">
        <v>0</v>
      </c>
      <c r="H2247" t="s">
        <v>28</v>
      </c>
      <c r="I2247" t="s">
        <v>33</v>
      </c>
    </row>
    <row r="2248" spans="1:9" x14ac:dyDescent="0.3">
      <c r="A2248" t="str">
        <f t="shared" si="35"/>
        <v>CASE-2247</v>
      </c>
      <c r="B2248" s="1">
        <v>45877</v>
      </c>
      <c r="C2248" t="s">
        <v>12</v>
      </c>
      <c r="D2248">
        <v>1</v>
      </c>
      <c r="E2248" t="b">
        <v>1</v>
      </c>
      <c r="F2248" s="2">
        <v>5.4093584595312008</v>
      </c>
      <c r="G2248" t="b">
        <v>0</v>
      </c>
      <c r="H2248" t="s">
        <v>15</v>
      </c>
      <c r="I2248" t="s">
        <v>34</v>
      </c>
    </row>
    <row r="2249" spans="1:9" x14ac:dyDescent="0.3">
      <c r="A2249" t="str">
        <f t="shared" si="35"/>
        <v>CASE-2248</v>
      </c>
      <c r="B2249" s="1">
        <v>45597</v>
      </c>
      <c r="C2249" t="s">
        <v>12</v>
      </c>
      <c r="D2249">
        <v>4</v>
      </c>
      <c r="E2249" t="b">
        <v>0</v>
      </c>
      <c r="F2249" s="2">
        <v>17.509204804825796</v>
      </c>
      <c r="G2249" t="b">
        <v>0</v>
      </c>
      <c r="H2249" t="s">
        <v>16</v>
      </c>
      <c r="I2249" t="s">
        <v>33</v>
      </c>
    </row>
    <row r="2250" spans="1:9" x14ac:dyDescent="0.3">
      <c r="A2250" t="str">
        <f t="shared" si="35"/>
        <v>CASE-2249</v>
      </c>
      <c r="B2250" s="1">
        <v>46046</v>
      </c>
      <c r="C2250" t="s">
        <v>12</v>
      </c>
      <c r="D2250">
        <v>4</v>
      </c>
      <c r="E2250" t="b">
        <v>0</v>
      </c>
      <c r="F2250" s="2">
        <v>4.7011310418160406</v>
      </c>
      <c r="G2250" t="b">
        <v>0</v>
      </c>
      <c r="H2250" t="s">
        <v>15</v>
      </c>
      <c r="I2250" t="s">
        <v>34</v>
      </c>
    </row>
    <row r="2251" spans="1:9" x14ac:dyDescent="0.3">
      <c r="A2251" t="str">
        <f t="shared" si="35"/>
        <v>CASE-2250</v>
      </c>
      <c r="B2251" s="1">
        <v>45962</v>
      </c>
      <c r="C2251" t="s">
        <v>12</v>
      </c>
      <c r="D2251">
        <v>4</v>
      </c>
      <c r="E2251" t="b">
        <v>0</v>
      </c>
      <c r="F2251" s="2">
        <v>8.1891372705807015</v>
      </c>
      <c r="G2251" t="b">
        <v>0</v>
      </c>
      <c r="H2251" t="s">
        <v>20</v>
      </c>
      <c r="I2251" t="s">
        <v>34</v>
      </c>
    </row>
    <row r="2252" spans="1:9" x14ac:dyDescent="0.3">
      <c r="A2252" t="str">
        <f t="shared" si="35"/>
        <v>CASE-2251</v>
      </c>
      <c r="B2252" s="1">
        <v>45970</v>
      </c>
      <c r="C2252" t="s">
        <v>12</v>
      </c>
      <c r="D2252">
        <v>4</v>
      </c>
      <c r="E2252" t="b">
        <v>1</v>
      </c>
      <c r="F2252" s="2">
        <v>2.9015400501276489</v>
      </c>
      <c r="G2252" t="b">
        <v>0</v>
      </c>
      <c r="H2252" t="s">
        <v>15</v>
      </c>
      <c r="I2252" t="s">
        <v>34</v>
      </c>
    </row>
    <row r="2253" spans="1:9" x14ac:dyDescent="0.3">
      <c r="A2253" t="str">
        <f t="shared" si="35"/>
        <v>CASE-2252</v>
      </c>
      <c r="B2253" s="1">
        <v>45491</v>
      </c>
      <c r="C2253" t="s">
        <v>11</v>
      </c>
      <c r="D2253">
        <v>2</v>
      </c>
      <c r="E2253" t="b">
        <v>0</v>
      </c>
      <c r="F2253" s="2">
        <v>21.124630972839562</v>
      </c>
      <c r="G2253" t="b">
        <v>0</v>
      </c>
      <c r="H2253" t="s">
        <v>14</v>
      </c>
      <c r="I2253" t="s">
        <v>33</v>
      </c>
    </row>
    <row r="2254" spans="1:9" x14ac:dyDescent="0.3">
      <c r="A2254" t="str">
        <f t="shared" si="35"/>
        <v>CASE-2253</v>
      </c>
      <c r="B2254" s="1">
        <v>45891</v>
      </c>
      <c r="C2254" t="s">
        <v>11</v>
      </c>
      <c r="D2254">
        <v>4</v>
      </c>
      <c r="E2254" t="b">
        <v>1</v>
      </c>
      <c r="F2254" s="2">
        <v>4.8138774895591716</v>
      </c>
      <c r="G2254" t="b">
        <v>0</v>
      </c>
      <c r="H2254" t="s">
        <v>30</v>
      </c>
      <c r="I2254" t="s">
        <v>34</v>
      </c>
    </row>
    <row r="2255" spans="1:9" x14ac:dyDescent="0.3">
      <c r="A2255" t="str">
        <f t="shared" si="35"/>
        <v>CASE-2254</v>
      </c>
      <c r="B2255" s="1">
        <v>45496</v>
      </c>
      <c r="C2255" t="s">
        <v>10</v>
      </c>
      <c r="D2255">
        <v>4</v>
      </c>
      <c r="E2255" t="b">
        <v>0</v>
      </c>
      <c r="F2255" s="2">
        <v>33.982998322146003</v>
      </c>
      <c r="G2255" t="b">
        <v>0</v>
      </c>
      <c r="H2255" t="s">
        <v>22</v>
      </c>
      <c r="I2255" t="s">
        <v>33</v>
      </c>
    </row>
    <row r="2256" spans="1:9" x14ac:dyDescent="0.3">
      <c r="A2256" t="str">
        <f t="shared" si="35"/>
        <v>CASE-2255</v>
      </c>
      <c r="B2256" s="1">
        <v>46099</v>
      </c>
      <c r="C2256" t="s">
        <v>12</v>
      </c>
      <c r="D2256">
        <v>5</v>
      </c>
      <c r="E2256" t="b">
        <v>1</v>
      </c>
      <c r="F2256" s="2">
        <v>4.1669791547360013</v>
      </c>
      <c r="G2256" t="b">
        <v>0</v>
      </c>
      <c r="H2256" t="s">
        <v>22</v>
      </c>
      <c r="I2256" t="s">
        <v>34</v>
      </c>
    </row>
    <row r="2257" spans="1:9" x14ac:dyDescent="0.3">
      <c r="A2257" t="str">
        <f t="shared" si="35"/>
        <v>CASE-2256</v>
      </c>
      <c r="B2257" s="1">
        <v>45878</v>
      </c>
      <c r="C2257" t="s">
        <v>9</v>
      </c>
      <c r="D2257">
        <v>1</v>
      </c>
      <c r="E2257" t="b">
        <v>1</v>
      </c>
      <c r="F2257" s="2">
        <v>1.6549855912325215</v>
      </c>
      <c r="G2257" t="b">
        <v>0</v>
      </c>
      <c r="H2257" t="s">
        <v>27</v>
      </c>
      <c r="I2257" t="s">
        <v>34</v>
      </c>
    </row>
    <row r="2258" spans="1:9" x14ac:dyDescent="0.3">
      <c r="A2258" t="str">
        <f t="shared" si="35"/>
        <v>CASE-2257</v>
      </c>
      <c r="B2258" s="1">
        <v>45548</v>
      </c>
      <c r="C2258" t="s">
        <v>9</v>
      </c>
      <c r="D2258">
        <v>4</v>
      </c>
      <c r="E2258" t="b">
        <v>0</v>
      </c>
      <c r="F2258" s="2">
        <v>34.901701859247865</v>
      </c>
      <c r="G2258" t="b">
        <v>0</v>
      </c>
      <c r="H2258" t="s">
        <v>31</v>
      </c>
      <c r="I2258" t="s">
        <v>33</v>
      </c>
    </row>
    <row r="2259" spans="1:9" x14ac:dyDescent="0.3">
      <c r="A2259" t="str">
        <f t="shared" si="35"/>
        <v>CASE-2258</v>
      </c>
      <c r="B2259" s="1">
        <v>46167</v>
      </c>
      <c r="C2259" t="s">
        <v>10</v>
      </c>
      <c r="D2259">
        <v>5</v>
      </c>
      <c r="E2259" t="b">
        <v>1</v>
      </c>
      <c r="F2259" s="2">
        <v>8.2603735125879822</v>
      </c>
      <c r="G2259" t="b">
        <v>0</v>
      </c>
      <c r="H2259" t="s">
        <v>21</v>
      </c>
      <c r="I2259" t="s">
        <v>34</v>
      </c>
    </row>
    <row r="2260" spans="1:9" x14ac:dyDescent="0.3">
      <c r="A2260" t="str">
        <f t="shared" si="35"/>
        <v>CASE-2259</v>
      </c>
      <c r="B2260" s="1">
        <v>45727</v>
      </c>
      <c r="C2260" t="s">
        <v>12</v>
      </c>
      <c r="D2260">
        <v>2</v>
      </c>
      <c r="E2260" t="b">
        <v>1</v>
      </c>
      <c r="F2260" s="2">
        <v>44.336832425361628</v>
      </c>
      <c r="G2260" t="b">
        <v>0</v>
      </c>
      <c r="H2260" t="s">
        <v>26</v>
      </c>
      <c r="I2260" t="s">
        <v>33</v>
      </c>
    </row>
    <row r="2261" spans="1:9" x14ac:dyDescent="0.3">
      <c r="A2261" t="str">
        <f t="shared" si="35"/>
        <v>CASE-2260</v>
      </c>
      <c r="B2261" s="1">
        <v>45692</v>
      </c>
      <c r="C2261" t="s">
        <v>9</v>
      </c>
      <c r="D2261">
        <v>1</v>
      </c>
      <c r="E2261" t="b">
        <v>1</v>
      </c>
      <c r="F2261" s="2">
        <v>2.3286465103744156</v>
      </c>
      <c r="G2261" t="b">
        <v>0</v>
      </c>
      <c r="H2261" t="s">
        <v>17</v>
      </c>
      <c r="I2261" t="s">
        <v>34</v>
      </c>
    </row>
    <row r="2262" spans="1:9" x14ac:dyDescent="0.3">
      <c r="A2262" t="str">
        <f t="shared" si="35"/>
        <v>CASE-2261</v>
      </c>
      <c r="B2262" s="1">
        <v>45984</v>
      </c>
      <c r="C2262" t="s">
        <v>10</v>
      </c>
      <c r="D2262">
        <v>4</v>
      </c>
      <c r="E2262" t="b">
        <v>1</v>
      </c>
      <c r="F2262" s="2">
        <v>14.584893471163898</v>
      </c>
      <c r="G2262" t="b">
        <v>0</v>
      </c>
      <c r="H2262" t="s">
        <v>30</v>
      </c>
      <c r="I2262" t="s">
        <v>33</v>
      </c>
    </row>
    <row r="2263" spans="1:9" x14ac:dyDescent="0.3">
      <c r="A2263" t="str">
        <f t="shared" si="35"/>
        <v>CASE-2262</v>
      </c>
      <c r="B2263" s="1">
        <v>45749</v>
      </c>
      <c r="C2263" t="s">
        <v>10</v>
      </c>
      <c r="D2263">
        <v>1</v>
      </c>
      <c r="E2263" t="b">
        <v>1</v>
      </c>
      <c r="F2263" s="2">
        <v>9.1486140716024575</v>
      </c>
      <c r="G2263" t="b">
        <v>0</v>
      </c>
      <c r="H2263" t="s">
        <v>14</v>
      </c>
      <c r="I2263" t="s">
        <v>34</v>
      </c>
    </row>
    <row r="2264" spans="1:9" x14ac:dyDescent="0.3">
      <c r="A2264" t="str">
        <f t="shared" si="35"/>
        <v>CASE-2263</v>
      </c>
      <c r="B2264" s="1">
        <v>46117</v>
      </c>
      <c r="C2264" t="s">
        <v>12</v>
      </c>
      <c r="D2264">
        <v>5</v>
      </c>
      <c r="E2264" t="b">
        <v>1</v>
      </c>
      <c r="F2264" s="2">
        <v>4.6025917598355663</v>
      </c>
      <c r="G2264" t="b">
        <v>0</v>
      </c>
      <c r="H2264" t="s">
        <v>21</v>
      </c>
      <c r="I2264" t="s">
        <v>35</v>
      </c>
    </row>
    <row r="2265" spans="1:9" x14ac:dyDescent="0.3">
      <c r="A2265" t="str">
        <f t="shared" si="35"/>
        <v>CASE-2264</v>
      </c>
      <c r="B2265" s="1">
        <v>45798</v>
      </c>
      <c r="C2265" t="s">
        <v>10</v>
      </c>
      <c r="D2265">
        <v>5</v>
      </c>
      <c r="E2265" t="b">
        <v>1</v>
      </c>
      <c r="F2265" s="2">
        <v>3.7980188363868503</v>
      </c>
      <c r="G2265" t="b">
        <v>0</v>
      </c>
      <c r="H2265" t="s">
        <v>13</v>
      </c>
      <c r="I2265" t="s">
        <v>34</v>
      </c>
    </row>
    <row r="2266" spans="1:9" x14ac:dyDescent="0.3">
      <c r="A2266" t="str">
        <f t="shared" si="35"/>
        <v>CASE-2265</v>
      </c>
      <c r="B2266" s="1">
        <v>45652</v>
      </c>
      <c r="C2266" t="s">
        <v>10</v>
      </c>
      <c r="D2266">
        <v>2</v>
      </c>
      <c r="E2266" t="b">
        <v>0</v>
      </c>
      <c r="F2266" s="2">
        <v>36.493860553071201</v>
      </c>
      <c r="G2266" t="b">
        <v>0</v>
      </c>
      <c r="H2266" t="s">
        <v>17</v>
      </c>
      <c r="I2266" t="s">
        <v>33</v>
      </c>
    </row>
    <row r="2267" spans="1:9" x14ac:dyDescent="0.3">
      <c r="A2267" t="str">
        <f t="shared" si="35"/>
        <v>CASE-2266</v>
      </c>
      <c r="B2267" s="1">
        <v>45863</v>
      </c>
      <c r="C2267" t="s">
        <v>11</v>
      </c>
      <c r="D2267">
        <v>2</v>
      </c>
      <c r="E2267" t="b">
        <v>1</v>
      </c>
      <c r="F2267" s="2">
        <v>18.03971589874741</v>
      </c>
      <c r="G2267" t="b">
        <v>0</v>
      </c>
      <c r="H2267" t="s">
        <v>20</v>
      </c>
      <c r="I2267" t="s">
        <v>33</v>
      </c>
    </row>
    <row r="2268" spans="1:9" x14ac:dyDescent="0.3">
      <c r="A2268" t="str">
        <f t="shared" si="35"/>
        <v>CASE-2267</v>
      </c>
      <c r="B2268" s="1">
        <v>46016</v>
      </c>
      <c r="C2268" t="s">
        <v>9</v>
      </c>
      <c r="D2268">
        <v>2</v>
      </c>
      <c r="E2268" t="b">
        <v>1</v>
      </c>
      <c r="F2268" s="2">
        <v>6.7209555422113443</v>
      </c>
      <c r="G2268" t="b">
        <v>0</v>
      </c>
      <c r="H2268" t="s">
        <v>20</v>
      </c>
      <c r="I2268" t="s">
        <v>34</v>
      </c>
    </row>
    <row r="2269" spans="1:9" x14ac:dyDescent="0.3">
      <c r="A2269" t="str">
        <f t="shared" si="35"/>
        <v>CASE-2268</v>
      </c>
      <c r="B2269" s="1">
        <v>45832</v>
      </c>
      <c r="C2269" t="s">
        <v>11</v>
      </c>
      <c r="D2269">
        <v>5</v>
      </c>
      <c r="E2269" t="b">
        <v>1</v>
      </c>
      <c r="F2269" s="2">
        <v>6.8648153596727166</v>
      </c>
      <c r="G2269" t="b">
        <v>0</v>
      </c>
      <c r="H2269" t="s">
        <v>30</v>
      </c>
      <c r="I2269" t="s">
        <v>34</v>
      </c>
    </row>
    <row r="2270" spans="1:9" x14ac:dyDescent="0.3">
      <c r="A2270" t="str">
        <f t="shared" si="35"/>
        <v>CASE-2269</v>
      </c>
      <c r="B2270" s="1">
        <v>45800</v>
      </c>
      <c r="C2270" t="s">
        <v>10</v>
      </c>
      <c r="D2270">
        <v>5</v>
      </c>
      <c r="E2270" t="b">
        <v>1</v>
      </c>
      <c r="F2270" s="2">
        <v>3.8706973891793832</v>
      </c>
      <c r="G2270" t="b">
        <v>0</v>
      </c>
      <c r="H2270" t="s">
        <v>30</v>
      </c>
      <c r="I2270" t="s">
        <v>35</v>
      </c>
    </row>
    <row r="2271" spans="1:9" x14ac:dyDescent="0.3">
      <c r="A2271" t="str">
        <f t="shared" si="35"/>
        <v>CASE-2270</v>
      </c>
      <c r="B2271" s="1">
        <v>45987</v>
      </c>
      <c r="C2271" t="s">
        <v>12</v>
      </c>
      <c r="D2271">
        <v>2</v>
      </c>
      <c r="E2271" t="b">
        <v>1</v>
      </c>
      <c r="F2271" s="2">
        <v>4.6109198492608998</v>
      </c>
      <c r="G2271" t="b">
        <v>0</v>
      </c>
      <c r="H2271" t="s">
        <v>15</v>
      </c>
      <c r="I2271" t="s">
        <v>34</v>
      </c>
    </row>
    <row r="2272" spans="1:9" x14ac:dyDescent="0.3">
      <c r="A2272" t="str">
        <f t="shared" si="35"/>
        <v>CASE-2271</v>
      </c>
      <c r="B2272" s="1">
        <v>45671</v>
      </c>
      <c r="C2272" t="s">
        <v>12</v>
      </c>
      <c r="D2272">
        <v>4</v>
      </c>
      <c r="E2272" t="b">
        <v>1</v>
      </c>
      <c r="F2272" s="2">
        <v>3.1081095534885081</v>
      </c>
      <c r="G2272" t="b">
        <v>0</v>
      </c>
      <c r="H2272" t="s">
        <v>23</v>
      </c>
      <c r="I2272" t="s">
        <v>34</v>
      </c>
    </row>
    <row r="2273" spans="1:9" x14ac:dyDescent="0.3">
      <c r="A2273" t="str">
        <f t="shared" si="35"/>
        <v>CASE-2272</v>
      </c>
      <c r="B2273" s="1">
        <v>45923</v>
      </c>
      <c r="C2273" t="s">
        <v>10</v>
      </c>
      <c r="D2273">
        <v>1</v>
      </c>
      <c r="E2273" t="b">
        <v>0</v>
      </c>
      <c r="F2273" s="2">
        <v>7.7038578686264279</v>
      </c>
      <c r="G2273" t="b">
        <v>0</v>
      </c>
      <c r="H2273" t="s">
        <v>32</v>
      </c>
      <c r="I2273" t="s">
        <v>34</v>
      </c>
    </row>
    <row r="2274" spans="1:9" x14ac:dyDescent="0.3">
      <c r="A2274" t="str">
        <f t="shared" si="35"/>
        <v>CASE-2273</v>
      </c>
      <c r="B2274" s="1">
        <v>45633</v>
      </c>
      <c r="C2274" t="s">
        <v>12</v>
      </c>
      <c r="D2274">
        <v>5</v>
      </c>
      <c r="E2274" t="b">
        <v>0</v>
      </c>
      <c r="F2274" s="2">
        <v>11.997957876844433</v>
      </c>
      <c r="G2274" t="b">
        <v>0</v>
      </c>
      <c r="H2274" t="s">
        <v>26</v>
      </c>
      <c r="I2274" t="s">
        <v>33</v>
      </c>
    </row>
    <row r="2275" spans="1:9" x14ac:dyDescent="0.3">
      <c r="A2275" t="str">
        <f t="shared" si="35"/>
        <v>CASE-2274</v>
      </c>
      <c r="B2275" s="1">
        <v>45873</v>
      </c>
      <c r="C2275" t="s">
        <v>12</v>
      </c>
      <c r="D2275">
        <v>3</v>
      </c>
      <c r="E2275" t="b">
        <v>1</v>
      </c>
      <c r="F2275" s="2">
        <v>8.342195324163221</v>
      </c>
      <c r="G2275" t="b">
        <v>0</v>
      </c>
      <c r="H2275" t="s">
        <v>23</v>
      </c>
      <c r="I2275" t="s">
        <v>34</v>
      </c>
    </row>
    <row r="2276" spans="1:9" x14ac:dyDescent="0.3">
      <c r="A2276" t="str">
        <f t="shared" si="35"/>
        <v>CASE-2275</v>
      </c>
      <c r="B2276" s="1">
        <v>45620</v>
      </c>
      <c r="C2276" t="s">
        <v>10</v>
      </c>
      <c r="D2276">
        <v>3</v>
      </c>
      <c r="E2276" t="b">
        <v>0</v>
      </c>
      <c r="F2276" s="2">
        <v>26.005932869259318</v>
      </c>
      <c r="G2276" t="b">
        <v>0</v>
      </c>
      <c r="H2276" t="s">
        <v>26</v>
      </c>
      <c r="I2276" t="s">
        <v>33</v>
      </c>
    </row>
    <row r="2277" spans="1:9" x14ac:dyDescent="0.3">
      <c r="A2277" t="str">
        <f t="shared" si="35"/>
        <v>CASE-2276</v>
      </c>
      <c r="B2277" s="1">
        <v>46120</v>
      </c>
      <c r="C2277" t="s">
        <v>11</v>
      </c>
      <c r="D2277">
        <v>4</v>
      </c>
      <c r="E2277" t="b">
        <v>1</v>
      </c>
      <c r="F2277" s="2">
        <v>3.6762242191666075</v>
      </c>
      <c r="G2277" t="b">
        <v>0</v>
      </c>
      <c r="H2277" t="s">
        <v>22</v>
      </c>
      <c r="I2277" t="s">
        <v>34</v>
      </c>
    </row>
    <row r="2278" spans="1:9" x14ac:dyDescent="0.3">
      <c r="A2278" t="str">
        <f t="shared" si="35"/>
        <v>CASE-2277</v>
      </c>
      <c r="B2278" s="1">
        <v>45912</v>
      </c>
      <c r="C2278" t="s">
        <v>10</v>
      </c>
      <c r="D2278">
        <v>3</v>
      </c>
      <c r="E2278" t="b">
        <v>0</v>
      </c>
      <c r="F2278" s="2">
        <v>6.0039579994835472</v>
      </c>
      <c r="G2278" t="b">
        <v>0</v>
      </c>
      <c r="H2278" t="s">
        <v>30</v>
      </c>
      <c r="I2278" t="s">
        <v>34</v>
      </c>
    </row>
    <row r="2279" spans="1:9" x14ac:dyDescent="0.3">
      <c r="A2279" t="str">
        <f t="shared" si="35"/>
        <v>CASE-2278</v>
      </c>
      <c r="B2279" s="1">
        <v>45822</v>
      </c>
      <c r="C2279" t="s">
        <v>12</v>
      </c>
      <c r="D2279">
        <v>2</v>
      </c>
      <c r="E2279" t="b">
        <v>0</v>
      </c>
      <c r="F2279" s="2">
        <v>3.7305525498778542</v>
      </c>
      <c r="G2279" t="b">
        <v>0</v>
      </c>
      <c r="H2279" t="s">
        <v>30</v>
      </c>
      <c r="I2279" t="s">
        <v>34</v>
      </c>
    </row>
    <row r="2280" spans="1:9" x14ac:dyDescent="0.3">
      <c r="A2280" t="str">
        <f t="shared" si="35"/>
        <v>CASE-2279</v>
      </c>
      <c r="B2280" s="1">
        <v>46161</v>
      </c>
      <c r="C2280" t="s">
        <v>9</v>
      </c>
      <c r="D2280">
        <v>2</v>
      </c>
      <c r="E2280" t="b">
        <v>1</v>
      </c>
      <c r="F2280" s="2">
        <v>10.581790252504955</v>
      </c>
      <c r="G2280" t="b">
        <v>0</v>
      </c>
      <c r="H2280" t="s">
        <v>18</v>
      </c>
      <c r="I2280" t="s">
        <v>34</v>
      </c>
    </row>
    <row r="2281" spans="1:9" x14ac:dyDescent="0.3">
      <c r="A2281" t="str">
        <f t="shared" si="35"/>
        <v>CASE-2280</v>
      </c>
      <c r="B2281" s="1">
        <v>45958</v>
      </c>
      <c r="C2281" t="s">
        <v>9</v>
      </c>
      <c r="D2281">
        <v>4</v>
      </c>
      <c r="E2281" t="b">
        <v>1</v>
      </c>
      <c r="F2281" s="2">
        <v>7.6040533860334376</v>
      </c>
      <c r="G2281" t="b">
        <v>0</v>
      </c>
      <c r="H2281" t="s">
        <v>24</v>
      </c>
      <c r="I2281" t="s">
        <v>34</v>
      </c>
    </row>
    <row r="2282" spans="1:9" x14ac:dyDescent="0.3">
      <c r="A2282" t="str">
        <f t="shared" si="35"/>
        <v>CASE-2281</v>
      </c>
      <c r="B2282" s="1">
        <v>45762</v>
      </c>
      <c r="C2282" t="s">
        <v>12</v>
      </c>
      <c r="D2282">
        <v>1</v>
      </c>
      <c r="E2282" t="b">
        <v>0</v>
      </c>
      <c r="F2282" s="2">
        <v>7.4854486213327753</v>
      </c>
      <c r="G2282" t="b">
        <v>0</v>
      </c>
      <c r="H2282" t="s">
        <v>21</v>
      </c>
      <c r="I2282" t="s">
        <v>34</v>
      </c>
    </row>
    <row r="2283" spans="1:9" x14ac:dyDescent="0.3">
      <c r="A2283" t="str">
        <f t="shared" si="35"/>
        <v>CASE-2282</v>
      </c>
      <c r="B2283" s="1">
        <v>46123</v>
      </c>
      <c r="C2283" t="s">
        <v>10</v>
      </c>
      <c r="D2283">
        <v>5</v>
      </c>
      <c r="E2283" t="b">
        <v>1</v>
      </c>
      <c r="F2283" s="2">
        <v>3.6731939457077893</v>
      </c>
      <c r="G2283" t="b">
        <v>0</v>
      </c>
      <c r="H2283" t="s">
        <v>24</v>
      </c>
      <c r="I2283" t="s">
        <v>35</v>
      </c>
    </row>
    <row r="2284" spans="1:9" x14ac:dyDescent="0.3">
      <c r="A2284" t="str">
        <f t="shared" si="35"/>
        <v>CASE-2283</v>
      </c>
      <c r="B2284" s="1">
        <v>45846</v>
      </c>
      <c r="C2284" t="s">
        <v>9</v>
      </c>
      <c r="D2284">
        <v>2</v>
      </c>
      <c r="E2284" t="b">
        <v>1</v>
      </c>
      <c r="F2284" s="2">
        <v>30.223454150159988</v>
      </c>
      <c r="G2284" t="b">
        <v>0</v>
      </c>
      <c r="H2284" t="s">
        <v>13</v>
      </c>
      <c r="I2284" t="s">
        <v>33</v>
      </c>
    </row>
    <row r="2285" spans="1:9" x14ac:dyDescent="0.3">
      <c r="A2285" t="str">
        <f t="shared" si="35"/>
        <v>CASE-2284</v>
      </c>
      <c r="B2285" s="1">
        <v>45518</v>
      </c>
      <c r="C2285" t="s">
        <v>10</v>
      </c>
      <c r="D2285">
        <v>1</v>
      </c>
      <c r="E2285" t="b">
        <v>0</v>
      </c>
      <c r="F2285" s="2">
        <v>27.975094524007336</v>
      </c>
      <c r="G2285" t="b">
        <v>0</v>
      </c>
      <c r="H2285" t="s">
        <v>13</v>
      </c>
      <c r="I2285" t="s">
        <v>33</v>
      </c>
    </row>
    <row r="2286" spans="1:9" x14ac:dyDescent="0.3">
      <c r="A2286" t="str">
        <f t="shared" si="35"/>
        <v>CASE-2285</v>
      </c>
      <c r="B2286" s="1">
        <v>45586</v>
      </c>
      <c r="C2286" t="s">
        <v>12</v>
      </c>
      <c r="D2286">
        <v>1</v>
      </c>
      <c r="E2286" t="b">
        <v>0</v>
      </c>
      <c r="F2286" s="2">
        <v>16.69681301881716</v>
      </c>
      <c r="G2286" t="b">
        <v>0</v>
      </c>
      <c r="H2286" t="s">
        <v>17</v>
      </c>
      <c r="I2286" t="s">
        <v>33</v>
      </c>
    </row>
    <row r="2287" spans="1:9" x14ac:dyDescent="0.3">
      <c r="A2287" t="str">
        <f t="shared" si="35"/>
        <v>CASE-2286</v>
      </c>
      <c r="B2287" s="1">
        <v>45526</v>
      </c>
      <c r="C2287" t="s">
        <v>9</v>
      </c>
      <c r="D2287">
        <v>3</v>
      </c>
      <c r="E2287" t="b">
        <v>0</v>
      </c>
      <c r="F2287" s="2">
        <v>7.6430100574384277</v>
      </c>
      <c r="G2287" t="b">
        <v>1</v>
      </c>
      <c r="H2287" t="s">
        <v>20</v>
      </c>
      <c r="I2287" t="s">
        <v>33</v>
      </c>
    </row>
    <row r="2288" spans="1:9" x14ac:dyDescent="0.3">
      <c r="A2288" t="str">
        <f t="shared" si="35"/>
        <v>CASE-2287</v>
      </c>
      <c r="B2288" s="1">
        <v>45876</v>
      </c>
      <c r="C2288" t="s">
        <v>10</v>
      </c>
      <c r="D2288">
        <v>5</v>
      </c>
      <c r="E2288" t="b">
        <v>1</v>
      </c>
      <c r="F2288" s="2">
        <v>5.4458153908786082</v>
      </c>
      <c r="G2288" t="b">
        <v>0</v>
      </c>
      <c r="H2288" t="s">
        <v>21</v>
      </c>
      <c r="I2288" t="s">
        <v>34</v>
      </c>
    </row>
    <row r="2289" spans="1:9" x14ac:dyDescent="0.3">
      <c r="A2289" t="str">
        <f t="shared" si="35"/>
        <v>CASE-2288</v>
      </c>
      <c r="B2289" s="1">
        <v>45839</v>
      </c>
      <c r="C2289" t="s">
        <v>12</v>
      </c>
      <c r="D2289">
        <v>2</v>
      </c>
      <c r="E2289" t="b">
        <v>1</v>
      </c>
      <c r="F2289" s="2">
        <v>5.2190959788021463</v>
      </c>
      <c r="G2289" t="b">
        <v>0</v>
      </c>
      <c r="H2289" t="s">
        <v>18</v>
      </c>
      <c r="I2289" t="s">
        <v>34</v>
      </c>
    </row>
    <row r="2290" spans="1:9" x14ac:dyDescent="0.3">
      <c r="A2290" t="str">
        <f t="shared" si="35"/>
        <v>CASE-2289</v>
      </c>
      <c r="B2290" s="1">
        <v>46010</v>
      </c>
      <c r="C2290" t="s">
        <v>10</v>
      </c>
      <c r="D2290">
        <v>4</v>
      </c>
      <c r="E2290" t="b">
        <v>1</v>
      </c>
      <c r="F2290" s="2">
        <v>4.1506994610957717</v>
      </c>
      <c r="G2290" t="b">
        <v>0</v>
      </c>
      <c r="H2290" t="s">
        <v>25</v>
      </c>
      <c r="I2290" t="s">
        <v>34</v>
      </c>
    </row>
    <row r="2291" spans="1:9" x14ac:dyDescent="0.3">
      <c r="A2291" t="str">
        <f t="shared" si="35"/>
        <v>CASE-2290</v>
      </c>
      <c r="B2291" s="1">
        <v>45482</v>
      </c>
      <c r="C2291" t="s">
        <v>10</v>
      </c>
      <c r="D2291">
        <v>2</v>
      </c>
      <c r="E2291" t="b">
        <v>0</v>
      </c>
      <c r="F2291" s="2">
        <v>30.095154375473257</v>
      </c>
      <c r="G2291" t="b">
        <v>0</v>
      </c>
      <c r="H2291" t="s">
        <v>20</v>
      </c>
      <c r="I2291" t="s">
        <v>33</v>
      </c>
    </row>
    <row r="2292" spans="1:9" x14ac:dyDescent="0.3">
      <c r="A2292" t="str">
        <f t="shared" si="35"/>
        <v>CASE-2291</v>
      </c>
      <c r="B2292" s="1">
        <v>46106</v>
      </c>
      <c r="C2292" t="s">
        <v>12</v>
      </c>
      <c r="D2292">
        <v>2</v>
      </c>
      <c r="E2292" t="b">
        <v>1</v>
      </c>
      <c r="F2292" s="2">
        <v>7.3336934418304303</v>
      </c>
      <c r="G2292" t="b">
        <v>0</v>
      </c>
      <c r="H2292" t="s">
        <v>30</v>
      </c>
      <c r="I2292" t="s">
        <v>34</v>
      </c>
    </row>
    <row r="2293" spans="1:9" x14ac:dyDescent="0.3">
      <c r="A2293" t="str">
        <f t="shared" si="35"/>
        <v>CASE-2292</v>
      </c>
      <c r="B2293" s="1">
        <v>46115</v>
      </c>
      <c r="C2293" t="s">
        <v>10</v>
      </c>
      <c r="D2293">
        <v>1</v>
      </c>
      <c r="E2293" t="b">
        <v>0</v>
      </c>
      <c r="F2293" s="2">
        <v>16.803967502188556</v>
      </c>
      <c r="G2293" t="b">
        <v>0</v>
      </c>
      <c r="H2293" t="s">
        <v>27</v>
      </c>
      <c r="I2293" t="s">
        <v>33</v>
      </c>
    </row>
    <row r="2294" spans="1:9" x14ac:dyDescent="0.3">
      <c r="A2294" t="str">
        <f t="shared" si="35"/>
        <v>CASE-2293</v>
      </c>
      <c r="B2294" s="1">
        <v>45828</v>
      </c>
      <c r="C2294" t="s">
        <v>12</v>
      </c>
      <c r="D2294">
        <v>3</v>
      </c>
      <c r="E2294" t="b">
        <v>1</v>
      </c>
      <c r="F2294" s="2">
        <v>2.1862186024132026</v>
      </c>
      <c r="G2294" t="b">
        <v>0</v>
      </c>
      <c r="H2294" t="s">
        <v>29</v>
      </c>
      <c r="I2294" t="s">
        <v>34</v>
      </c>
    </row>
    <row r="2295" spans="1:9" x14ac:dyDescent="0.3">
      <c r="A2295" t="str">
        <f t="shared" si="35"/>
        <v>CASE-2294</v>
      </c>
      <c r="B2295" s="1">
        <v>46024</v>
      </c>
      <c r="C2295" t="s">
        <v>9</v>
      </c>
      <c r="D2295">
        <v>4</v>
      </c>
      <c r="E2295" t="b">
        <v>1</v>
      </c>
      <c r="F2295" s="2">
        <v>11.916514273122688</v>
      </c>
      <c r="G2295" t="b">
        <v>0</v>
      </c>
      <c r="H2295" t="s">
        <v>27</v>
      </c>
      <c r="I2295" t="s">
        <v>33</v>
      </c>
    </row>
    <row r="2296" spans="1:9" x14ac:dyDescent="0.3">
      <c r="A2296" t="str">
        <f t="shared" si="35"/>
        <v>CASE-2295</v>
      </c>
      <c r="B2296" s="1">
        <v>45623</v>
      </c>
      <c r="C2296" t="s">
        <v>11</v>
      </c>
      <c r="D2296">
        <v>3</v>
      </c>
      <c r="E2296" t="b">
        <v>0</v>
      </c>
      <c r="F2296" s="2">
        <v>21.909700334879371</v>
      </c>
      <c r="G2296" t="b">
        <v>0</v>
      </c>
      <c r="H2296" t="s">
        <v>15</v>
      </c>
      <c r="I2296" t="s">
        <v>33</v>
      </c>
    </row>
    <row r="2297" spans="1:9" x14ac:dyDescent="0.3">
      <c r="A2297" t="str">
        <f t="shared" si="35"/>
        <v>CASE-2296</v>
      </c>
      <c r="B2297" s="1">
        <v>46203</v>
      </c>
      <c r="C2297" t="s">
        <v>12</v>
      </c>
      <c r="D2297">
        <v>2</v>
      </c>
      <c r="E2297" t="b">
        <v>1</v>
      </c>
      <c r="F2297" s="2">
        <v>8.09116794744833</v>
      </c>
      <c r="G2297" t="b">
        <v>0</v>
      </c>
      <c r="H2297" t="s">
        <v>28</v>
      </c>
      <c r="I2297" t="s">
        <v>34</v>
      </c>
    </row>
    <row r="2298" spans="1:9" x14ac:dyDescent="0.3">
      <c r="A2298" t="str">
        <f t="shared" si="35"/>
        <v>CASE-2297</v>
      </c>
      <c r="B2298" s="1">
        <v>45829</v>
      </c>
      <c r="C2298" t="s">
        <v>10</v>
      </c>
      <c r="D2298">
        <v>1</v>
      </c>
      <c r="E2298" t="b">
        <v>0</v>
      </c>
      <c r="F2298" s="2">
        <v>6.9362085861984113</v>
      </c>
      <c r="G2298" t="b">
        <v>0</v>
      </c>
      <c r="H2298" t="s">
        <v>23</v>
      </c>
      <c r="I2298" t="s">
        <v>34</v>
      </c>
    </row>
    <row r="2299" spans="1:9" x14ac:dyDescent="0.3">
      <c r="A2299" t="str">
        <f t="shared" si="35"/>
        <v>CASE-2298</v>
      </c>
      <c r="B2299" s="1">
        <v>45555</v>
      </c>
      <c r="C2299" t="s">
        <v>12</v>
      </c>
      <c r="D2299">
        <v>1</v>
      </c>
      <c r="E2299" t="b">
        <v>0</v>
      </c>
      <c r="F2299" s="2">
        <v>14.390794633013202</v>
      </c>
      <c r="G2299" t="b">
        <v>0</v>
      </c>
      <c r="H2299" t="s">
        <v>20</v>
      </c>
      <c r="I2299" t="s">
        <v>33</v>
      </c>
    </row>
    <row r="2300" spans="1:9" x14ac:dyDescent="0.3">
      <c r="A2300" t="str">
        <f t="shared" si="35"/>
        <v>CASE-2299</v>
      </c>
      <c r="B2300" s="1">
        <v>45694</v>
      </c>
      <c r="C2300" t="s">
        <v>10</v>
      </c>
      <c r="D2300">
        <v>5</v>
      </c>
      <c r="E2300" t="b">
        <v>1</v>
      </c>
      <c r="F2300" s="2">
        <v>8.4115347497840247</v>
      </c>
      <c r="G2300" t="b">
        <v>0</v>
      </c>
      <c r="H2300" t="s">
        <v>22</v>
      </c>
      <c r="I2300" t="s">
        <v>34</v>
      </c>
    </row>
    <row r="2301" spans="1:9" x14ac:dyDescent="0.3">
      <c r="A2301" t="str">
        <f t="shared" si="35"/>
        <v>CASE-2300</v>
      </c>
      <c r="B2301" s="1">
        <v>45955</v>
      </c>
      <c r="C2301" t="s">
        <v>12</v>
      </c>
      <c r="D2301">
        <v>1</v>
      </c>
      <c r="E2301" t="b">
        <v>1</v>
      </c>
      <c r="F2301" s="2">
        <v>4.3868225301675201</v>
      </c>
      <c r="G2301" t="b">
        <v>0</v>
      </c>
      <c r="H2301" t="s">
        <v>22</v>
      </c>
      <c r="I2301" t="s">
        <v>34</v>
      </c>
    </row>
    <row r="2302" spans="1:9" x14ac:dyDescent="0.3">
      <c r="A2302" t="str">
        <f t="shared" si="35"/>
        <v>CASE-2301</v>
      </c>
      <c r="B2302" s="1">
        <v>45753</v>
      </c>
      <c r="C2302" t="s">
        <v>11</v>
      </c>
      <c r="D2302">
        <v>4</v>
      </c>
      <c r="E2302" t="b">
        <v>1</v>
      </c>
      <c r="F2302" s="2">
        <v>5.8899395359320126</v>
      </c>
      <c r="G2302" t="b">
        <v>0</v>
      </c>
      <c r="H2302" t="s">
        <v>18</v>
      </c>
      <c r="I2302" t="s">
        <v>35</v>
      </c>
    </row>
    <row r="2303" spans="1:9" x14ac:dyDescent="0.3">
      <c r="A2303" t="str">
        <f t="shared" si="35"/>
        <v>CASE-2302</v>
      </c>
      <c r="B2303" s="1">
        <v>45978</v>
      </c>
      <c r="C2303" t="s">
        <v>9</v>
      </c>
      <c r="D2303">
        <v>4</v>
      </c>
      <c r="E2303" t="b">
        <v>1</v>
      </c>
      <c r="F2303" s="2">
        <v>5.0238034229650435</v>
      </c>
      <c r="G2303" t="b">
        <v>0</v>
      </c>
      <c r="H2303" t="s">
        <v>30</v>
      </c>
      <c r="I2303" t="s">
        <v>35</v>
      </c>
    </row>
    <row r="2304" spans="1:9" x14ac:dyDescent="0.3">
      <c r="A2304" t="str">
        <f t="shared" si="35"/>
        <v>CASE-2303</v>
      </c>
      <c r="B2304" s="1">
        <v>45862</v>
      </c>
      <c r="C2304" t="s">
        <v>10</v>
      </c>
      <c r="D2304">
        <v>4</v>
      </c>
      <c r="E2304" t="b">
        <v>1</v>
      </c>
      <c r="F2304" s="2">
        <v>-0.67359031479786147</v>
      </c>
      <c r="G2304" t="b">
        <v>0</v>
      </c>
      <c r="H2304" t="s">
        <v>22</v>
      </c>
      <c r="I2304" t="s">
        <v>34</v>
      </c>
    </row>
    <row r="2305" spans="1:9" x14ac:dyDescent="0.3">
      <c r="A2305" t="str">
        <f t="shared" si="35"/>
        <v>CASE-2304</v>
      </c>
      <c r="B2305" s="1">
        <v>46031</v>
      </c>
      <c r="C2305" t="s">
        <v>9</v>
      </c>
      <c r="D2305">
        <v>4</v>
      </c>
      <c r="E2305" t="b">
        <v>1</v>
      </c>
      <c r="F2305" s="2">
        <v>33.757208967178208</v>
      </c>
      <c r="G2305" t="b">
        <v>0</v>
      </c>
      <c r="H2305" t="s">
        <v>15</v>
      </c>
      <c r="I2305" t="s">
        <v>33</v>
      </c>
    </row>
    <row r="2306" spans="1:9" x14ac:dyDescent="0.3">
      <c r="A2306" t="str">
        <f t="shared" si="35"/>
        <v>CASE-2305</v>
      </c>
      <c r="B2306" s="1">
        <v>46013</v>
      </c>
      <c r="C2306" t="s">
        <v>11</v>
      </c>
      <c r="D2306">
        <v>3</v>
      </c>
      <c r="E2306" t="b">
        <v>1</v>
      </c>
      <c r="F2306" s="2">
        <v>8.5881486995681957</v>
      </c>
      <c r="G2306" t="b">
        <v>0</v>
      </c>
      <c r="H2306" t="s">
        <v>29</v>
      </c>
      <c r="I2306" t="s">
        <v>35</v>
      </c>
    </row>
    <row r="2307" spans="1:9" x14ac:dyDescent="0.3">
      <c r="A2307" t="str">
        <f t="shared" ref="A2307:A2370" si="36">"CASE-"&amp;TEXT(ROW()-1,"0000")</f>
        <v>CASE-2306</v>
      </c>
      <c r="B2307" s="1">
        <v>45861</v>
      </c>
      <c r="C2307" t="s">
        <v>11</v>
      </c>
      <c r="D2307">
        <v>1</v>
      </c>
      <c r="E2307" t="b">
        <v>1</v>
      </c>
      <c r="F2307" s="2">
        <v>23.479456173190091</v>
      </c>
      <c r="G2307" t="b">
        <v>0</v>
      </c>
      <c r="H2307" t="s">
        <v>15</v>
      </c>
      <c r="I2307" t="s">
        <v>33</v>
      </c>
    </row>
    <row r="2308" spans="1:9" x14ac:dyDescent="0.3">
      <c r="A2308" t="str">
        <f t="shared" si="36"/>
        <v>CASE-2307</v>
      </c>
      <c r="B2308" s="1">
        <v>45841</v>
      </c>
      <c r="C2308" t="s">
        <v>9</v>
      </c>
      <c r="D2308">
        <v>1</v>
      </c>
      <c r="E2308" t="b">
        <v>1</v>
      </c>
      <c r="F2308" s="2">
        <v>5.0834155064545303</v>
      </c>
      <c r="G2308" t="b">
        <v>0</v>
      </c>
      <c r="H2308" t="s">
        <v>32</v>
      </c>
      <c r="I2308" t="s">
        <v>34</v>
      </c>
    </row>
    <row r="2309" spans="1:9" x14ac:dyDescent="0.3">
      <c r="A2309" t="str">
        <f t="shared" si="36"/>
        <v>CASE-2308</v>
      </c>
      <c r="B2309" s="1">
        <v>45662</v>
      </c>
      <c r="C2309" t="s">
        <v>12</v>
      </c>
      <c r="D2309">
        <v>1</v>
      </c>
      <c r="E2309" t="b">
        <v>1</v>
      </c>
      <c r="F2309" s="2">
        <v>17.066290881365479</v>
      </c>
      <c r="G2309" t="b">
        <v>0</v>
      </c>
      <c r="H2309" t="s">
        <v>22</v>
      </c>
      <c r="I2309" t="s">
        <v>33</v>
      </c>
    </row>
    <row r="2310" spans="1:9" x14ac:dyDescent="0.3">
      <c r="A2310" t="str">
        <f t="shared" si="36"/>
        <v>CASE-2309</v>
      </c>
      <c r="B2310" s="1">
        <v>45579</v>
      </c>
      <c r="C2310" t="s">
        <v>10</v>
      </c>
      <c r="D2310">
        <v>5</v>
      </c>
      <c r="E2310" t="b">
        <v>0</v>
      </c>
      <c r="F2310" s="2">
        <v>12.963533557242368</v>
      </c>
      <c r="G2310" t="b">
        <v>0</v>
      </c>
      <c r="H2310" t="s">
        <v>31</v>
      </c>
      <c r="I2310" t="s">
        <v>33</v>
      </c>
    </row>
    <row r="2311" spans="1:9" x14ac:dyDescent="0.3">
      <c r="A2311" t="str">
        <f t="shared" si="36"/>
        <v>CASE-2310</v>
      </c>
      <c r="B2311" s="1">
        <v>45483</v>
      </c>
      <c r="C2311" t="s">
        <v>9</v>
      </c>
      <c r="D2311">
        <v>2</v>
      </c>
      <c r="E2311" t="b">
        <v>0</v>
      </c>
      <c r="F2311" s="2">
        <v>13.208500737900104</v>
      </c>
      <c r="G2311" t="b">
        <v>0</v>
      </c>
      <c r="H2311" t="s">
        <v>32</v>
      </c>
      <c r="I2311" t="s">
        <v>33</v>
      </c>
    </row>
    <row r="2312" spans="1:9" x14ac:dyDescent="0.3">
      <c r="A2312" t="str">
        <f t="shared" si="36"/>
        <v>CASE-2311</v>
      </c>
      <c r="B2312" s="1">
        <v>45485</v>
      </c>
      <c r="C2312" t="s">
        <v>9</v>
      </c>
      <c r="D2312">
        <v>1</v>
      </c>
      <c r="E2312" t="b">
        <v>0</v>
      </c>
      <c r="F2312" s="2">
        <v>20.44809066419587</v>
      </c>
      <c r="G2312" t="b">
        <v>0</v>
      </c>
      <c r="H2312" t="s">
        <v>16</v>
      </c>
      <c r="I2312" t="s">
        <v>33</v>
      </c>
    </row>
    <row r="2313" spans="1:9" x14ac:dyDescent="0.3">
      <c r="A2313" t="str">
        <f t="shared" si="36"/>
        <v>CASE-2312</v>
      </c>
      <c r="B2313" s="1">
        <v>45976</v>
      </c>
      <c r="C2313" t="s">
        <v>9</v>
      </c>
      <c r="D2313">
        <v>2</v>
      </c>
      <c r="E2313" t="b">
        <v>1</v>
      </c>
      <c r="F2313" s="2">
        <v>5.7251402465007395</v>
      </c>
      <c r="G2313" t="b">
        <v>0</v>
      </c>
      <c r="H2313" t="s">
        <v>25</v>
      </c>
      <c r="I2313" t="s">
        <v>34</v>
      </c>
    </row>
    <row r="2314" spans="1:9" x14ac:dyDescent="0.3">
      <c r="A2314" t="str">
        <f t="shared" si="36"/>
        <v>CASE-2313</v>
      </c>
      <c r="B2314" s="1">
        <v>46008</v>
      </c>
      <c r="C2314" t="s">
        <v>12</v>
      </c>
      <c r="D2314">
        <v>5</v>
      </c>
      <c r="E2314" t="b">
        <v>1</v>
      </c>
      <c r="F2314" s="2">
        <v>5.1116459093125535</v>
      </c>
      <c r="G2314" t="b">
        <v>0</v>
      </c>
      <c r="H2314" t="s">
        <v>19</v>
      </c>
      <c r="I2314" t="s">
        <v>34</v>
      </c>
    </row>
    <row r="2315" spans="1:9" x14ac:dyDescent="0.3">
      <c r="A2315" t="str">
        <f t="shared" si="36"/>
        <v>CASE-2314</v>
      </c>
      <c r="B2315" s="1">
        <v>46003</v>
      </c>
      <c r="C2315" t="s">
        <v>9</v>
      </c>
      <c r="D2315">
        <v>5</v>
      </c>
      <c r="E2315" t="b">
        <v>0</v>
      </c>
      <c r="F2315" s="2">
        <v>1.7386295193408419</v>
      </c>
      <c r="G2315" t="b">
        <v>0</v>
      </c>
      <c r="H2315" t="s">
        <v>20</v>
      </c>
      <c r="I2315" t="s">
        <v>34</v>
      </c>
    </row>
    <row r="2316" spans="1:9" x14ac:dyDescent="0.3">
      <c r="A2316" t="str">
        <f t="shared" si="36"/>
        <v>CASE-2315</v>
      </c>
      <c r="B2316" s="1">
        <v>46109</v>
      </c>
      <c r="C2316" t="s">
        <v>10</v>
      </c>
      <c r="D2316">
        <v>5</v>
      </c>
      <c r="E2316" t="b">
        <v>1</v>
      </c>
      <c r="F2316" s="2">
        <v>6.930063121023931</v>
      </c>
      <c r="G2316" t="b">
        <v>0</v>
      </c>
      <c r="H2316" t="s">
        <v>28</v>
      </c>
      <c r="I2316" t="s">
        <v>34</v>
      </c>
    </row>
    <row r="2317" spans="1:9" x14ac:dyDescent="0.3">
      <c r="A2317" t="str">
        <f t="shared" si="36"/>
        <v>CASE-2316</v>
      </c>
      <c r="B2317" s="1">
        <v>45804</v>
      </c>
      <c r="C2317" t="s">
        <v>9</v>
      </c>
      <c r="D2317">
        <v>5</v>
      </c>
      <c r="E2317" t="b">
        <v>1</v>
      </c>
      <c r="F2317" s="2">
        <v>3.5722520399398077</v>
      </c>
      <c r="G2317" t="b">
        <v>0</v>
      </c>
      <c r="H2317" t="s">
        <v>16</v>
      </c>
      <c r="I2317" t="s">
        <v>34</v>
      </c>
    </row>
    <row r="2318" spans="1:9" x14ac:dyDescent="0.3">
      <c r="A2318" t="str">
        <f t="shared" si="36"/>
        <v>CASE-2317</v>
      </c>
      <c r="B2318" s="1">
        <v>45966</v>
      </c>
      <c r="C2318" t="s">
        <v>12</v>
      </c>
      <c r="D2318">
        <v>1</v>
      </c>
      <c r="E2318" t="b">
        <v>1</v>
      </c>
      <c r="F2318" s="2">
        <v>23.211737841468945</v>
      </c>
      <c r="G2318" t="b">
        <v>0</v>
      </c>
      <c r="H2318" t="s">
        <v>28</v>
      </c>
      <c r="I2318" t="s">
        <v>33</v>
      </c>
    </row>
    <row r="2319" spans="1:9" x14ac:dyDescent="0.3">
      <c r="A2319" t="str">
        <f t="shared" si="36"/>
        <v>CASE-2318</v>
      </c>
      <c r="B2319" s="1">
        <v>45896</v>
      </c>
      <c r="C2319" t="s">
        <v>12</v>
      </c>
      <c r="D2319">
        <v>3</v>
      </c>
      <c r="E2319" t="b">
        <v>1</v>
      </c>
      <c r="F2319" s="2">
        <v>4.1693114859770004</v>
      </c>
      <c r="G2319" t="b">
        <v>0</v>
      </c>
      <c r="H2319" t="s">
        <v>21</v>
      </c>
      <c r="I2319" t="s">
        <v>34</v>
      </c>
    </row>
    <row r="2320" spans="1:9" x14ac:dyDescent="0.3">
      <c r="A2320" t="str">
        <f t="shared" si="36"/>
        <v>CASE-2319</v>
      </c>
      <c r="B2320" s="1">
        <v>46148</v>
      </c>
      <c r="C2320" t="s">
        <v>9</v>
      </c>
      <c r="D2320">
        <v>3</v>
      </c>
      <c r="E2320" t="b">
        <v>1</v>
      </c>
      <c r="F2320" s="2">
        <v>3.400455431293508</v>
      </c>
      <c r="G2320" t="b">
        <v>0</v>
      </c>
      <c r="H2320" t="s">
        <v>15</v>
      </c>
      <c r="I2320" t="s">
        <v>34</v>
      </c>
    </row>
    <row r="2321" spans="1:9" x14ac:dyDescent="0.3">
      <c r="A2321" t="str">
        <f t="shared" si="36"/>
        <v>CASE-2320</v>
      </c>
      <c r="B2321" s="1">
        <v>45887</v>
      </c>
      <c r="C2321" t="s">
        <v>12</v>
      </c>
      <c r="D2321">
        <v>5</v>
      </c>
      <c r="E2321" t="b">
        <v>0</v>
      </c>
      <c r="F2321" s="2">
        <v>23.934814638032343</v>
      </c>
      <c r="G2321" t="b">
        <v>0</v>
      </c>
      <c r="H2321" t="s">
        <v>21</v>
      </c>
      <c r="I2321" t="s">
        <v>33</v>
      </c>
    </row>
    <row r="2322" spans="1:9" x14ac:dyDescent="0.3">
      <c r="A2322" t="str">
        <f t="shared" si="36"/>
        <v>CASE-2321</v>
      </c>
      <c r="B2322" s="1">
        <v>45808</v>
      </c>
      <c r="C2322" t="s">
        <v>12</v>
      </c>
      <c r="D2322">
        <v>5</v>
      </c>
      <c r="E2322" t="b">
        <v>1</v>
      </c>
      <c r="F2322" s="2">
        <v>6.926165241558234</v>
      </c>
      <c r="G2322" t="b">
        <v>0</v>
      </c>
      <c r="H2322" t="s">
        <v>25</v>
      </c>
      <c r="I2322" t="s">
        <v>35</v>
      </c>
    </row>
    <row r="2323" spans="1:9" x14ac:dyDescent="0.3">
      <c r="A2323" t="str">
        <f t="shared" si="36"/>
        <v>CASE-2322</v>
      </c>
      <c r="B2323" s="1">
        <v>45853</v>
      </c>
      <c r="C2323" t="s">
        <v>12</v>
      </c>
      <c r="D2323">
        <v>2</v>
      </c>
      <c r="E2323" t="b">
        <v>1</v>
      </c>
      <c r="F2323" s="2">
        <v>3.1220195198855403</v>
      </c>
      <c r="G2323" t="b">
        <v>0</v>
      </c>
      <c r="H2323" t="s">
        <v>21</v>
      </c>
      <c r="I2323" t="s">
        <v>34</v>
      </c>
    </row>
    <row r="2324" spans="1:9" x14ac:dyDescent="0.3">
      <c r="A2324" t="str">
        <f t="shared" si="36"/>
        <v>CASE-2323</v>
      </c>
      <c r="B2324" s="1">
        <v>46037</v>
      </c>
      <c r="C2324" t="s">
        <v>9</v>
      </c>
      <c r="D2324">
        <v>1</v>
      </c>
      <c r="E2324" t="b">
        <v>1</v>
      </c>
      <c r="F2324" s="2">
        <v>6.6989720068614051</v>
      </c>
      <c r="G2324" t="b">
        <v>0</v>
      </c>
      <c r="H2324" t="s">
        <v>24</v>
      </c>
      <c r="I2324" t="s">
        <v>34</v>
      </c>
    </row>
    <row r="2325" spans="1:9" x14ac:dyDescent="0.3">
      <c r="A2325" t="str">
        <f t="shared" si="36"/>
        <v>CASE-2324</v>
      </c>
      <c r="B2325" s="1">
        <v>45805</v>
      </c>
      <c r="C2325" t="s">
        <v>10</v>
      </c>
      <c r="D2325">
        <v>3</v>
      </c>
      <c r="E2325" t="b">
        <v>1</v>
      </c>
      <c r="F2325" s="2">
        <v>20.338646723049216</v>
      </c>
      <c r="G2325" t="b">
        <v>0</v>
      </c>
      <c r="H2325" t="s">
        <v>19</v>
      </c>
      <c r="I2325" t="s">
        <v>33</v>
      </c>
    </row>
    <row r="2326" spans="1:9" x14ac:dyDescent="0.3">
      <c r="A2326" t="str">
        <f t="shared" si="36"/>
        <v>CASE-2325</v>
      </c>
      <c r="B2326" s="1">
        <v>46034</v>
      </c>
      <c r="C2326" t="s">
        <v>11</v>
      </c>
      <c r="D2326">
        <v>4</v>
      </c>
      <c r="E2326" t="b">
        <v>1</v>
      </c>
      <c r="F2326" s="2">
        <v>12.182745471038286</v>
      </c>
      <c r="G2326" t="b">
        <v>0</v>
      </c>
      <c r="H2326" t="s">
        <v>23</v>
      </c>
      <c r="I2326" t="s">
        <v>33</v>
      </c>
    </row>
    <row r="2327" spans="1:9" x14ac:dyDescent="0.3">
      <c r="A2327" t="str">
        <f t="shared" si="36"/>
        <v>CASE-2326</v>
      </c>
      <c r="B2327" s="1">
        <v>46051</v>
      </c>
      <c r="C2327" t="s">
        <v>11</v>
      </c>
      <c r="D2327">
        <v>5</v>
      </c>
      <c r="E2327" t="b">
        <v>1</v>
      </c>
      <c r="F2327" s="2">
        <v>6.0513215254007484</v>
      </c>
      <c r="G2327" t="b">
        <v>0</v>
      </c>
      <c r="H2327" t="s">
        <v>27</v>
      </c>
      <c r="I2327" t="s">
        <v>34</v>
      </c>
    </row>
    <row r="2328" spans="1:9" x14ac:dyDescent="0.3">
      <c r="A2328" t="str">
        <f t="shared" si="36"/>
        <v>CASE-2327</v>
      </c>
      <c r="B2328" s="1">
        <v>45795</v>
      </c>
      <c r="C2328" t="s">
        <v>11</v>
      </c>
      <c r="D2328">
        <v>1</v>
      </c>
      <c r="E2328" t="b">
        <v>0</v>
      </c>
      <c r="F2328" s="2">
        <v>5.9053738034686267</v>
      </c>
      <c r="G2328" t="b">
        <v>0</v>
      </c>
      <c r="H2328" t="s">
        <v>27</v>
      </c>
      <c r="I2328" t="s">
        <v>35</v>
      </c>
    </row>
    <row r="2329" spans="1:9" x14ac:dyDescent="0.3">
      <c r="A2329" t="str">
        <f t="shared" si="36"/>
        <v>CASE-2328</v>
      </c>
      <c r="B2329" s="1">
        <v>45593</v>
      </c>
      <c r="C2329" t="s">
        <v>10</v>
      </c>
      <c r="D2329">
        <v>4</v>
      </c>
      <c r="E2329" t="b">
        <v>0</v>
      </c>
      <c r="F2329" s="2">
        <v>39.914670787531009</v>
      </c>
      <c r="G2329" t="b">
        <v>0</v>
      </c>
      <c r="H2329" t="s">
        <v>25</v>
      </c>
      <c r="I2329" t="s">
        <v>33</v>
      </c>
    </row>
    <row r="2330" spans="1:9" x14ac:dyDescent="0.3">
      <c r="A2330" t="str">
        <f t="shared" si="36"/>
        <v>CASE-2329</v>
      </c>
      <c r="B2330" s="1">
        <v>45890</v>
      </c>
      <c r="C2330" t="s">
        <v>11</v>
      </c>
      <c r="D2330">
        <v>4</v>
      </c>
      <c r="E2330" t="b">
        <v>1</v>
      </c>
      <c r="F2330" s="2">
        <v>4.8553972440253839</v>
      </c>
      <c r="G2330" t="b">
        <v>0</v>
      </c>
      <c r="H2330" t="s">
        <v>30</v>
      </c>
      <c r="I2330" t="s">
        <v>34</v>
      </c>
    </row>
    <row r="2331" spans="1:9" x14ac:dyDescent="0.3">
      <c r="A2331" t="str">
        <f t="shared" si="36"/>
        <v>CASE-2330</v>
      </c>
      <c r="B2331" s="1">
        <v>45952</v>
      </c>
      <c r="C2331" t="s">
        <v>9</v>
      </c>
      <c r="D2331">
        <v>2</v>
      </c>
      <c r="E2331" t="b">
        <v>1</v>
      </c>
      <c r="F2331" s="2">
        <v>4.6360235348018515</v>
      </c>
      <c r="G2331" t="b">
        <v>0</v>
      </c>
      <c r="H2331" t="s">
        <v>21</v>
      </c>
      <c r="I2331" t="s">
        <v>34</v>
      </c>
    </row>
    <row r="2332" spans="1:9" x14ac:dyDescent="0.3">
      <c r="A2332" t="str">
        <f t="shared" si="36"/>
        <v>CASE-2331</v>
      </c>
      <c r="B2332" s="1">
        <v>45478</v>
      </c>
      <c r="C2332" t="s">
        <v>11</v>
      </c>
      <c r="D2332">
        <v>2</v>
      </c>
      <c r="E2332" t="b">
        <v>0</v>
      </c>
      <c r="F2332" s="2">
        <v>30.462571332160586</v>
      </c>
      <c r="G2332" t="b">
        <v>1</v>
      </c>
      <c r="H2332" t="s">
        <v>24</v>
      </c>
      <c r="I2332" t="s">
        <v>33</v>
      </c>
    </row>
    <row r="2333" spans="1:9" x14ac:dyDescent="0.3">
      <c r="A2333" t="str">
        <f t="shared" si="36"/>
        <v>CASE-2332</v>
      </c>
      <c r="B2333" s="1">
        <v>45619</v>
      </c>
      <c r="C2333" t="s">
        <v>12</v>
      </c>
      <c r="D2333">
        <v>1</v>
      </c>
      <c r="E2333" t="b">
        <v>0</v>
      </c>
      <c r="F2333" s="2">
        <v>17.746048382394829</v>
      </c>
      <c r="G2333" t="b">
        <v>0</v>
      </c>
      <c r="H2333" t="s">
        <v>29</v>
      </c>
      <c r="I2333" t="s">
        <v>33</v>
      </c>
    </row>
    <row r="2334" spans="1:9" x14ac:dyDescent="0.3">
      <c r="A2334" t="str">
        <f t="shared" si="36"/>
        <v>CASE-2333</v>
      </c>
      <c r="B2334" s="1">
        <v>45578</v>
      </c>
      <c r="C2334" t="s">
        <v>9</v>
      </c>
      <c r="D2334">
        <v>2</v>
      </c>
      <c r="E2334" t="b">
        <v>0</v>
      </c>
      <c r="F2334" s="2">
        <v>30.184080771654905</v>
      </c>
      <c r="G2334" t="b">
        <v>0</v>
      </c>
      <c r="H2334" t="s">
        <v>13</v>
      </c>
      <c r="I2334" t="s">
        <v>33</v>
      </c>
    </row>
    <row r="2335" spans="1:9" x14ac:dyDescent="0.3">
      <c r="A2335" t="str">
        <f t="shared" si="36"/>
        <v>CASE-2334</v>
      </c>
      <c r="B2335" s="1">
        <v>46170</v>
      </c>
      <c r="C2335" t="s">
        <v>11</v>
      </c>
      <c r="D2335">
        <v>1</v>
      </c>
      <c r="E2335" t="b">
        <v>1</v>
      </c>
      <c r="F2335" s="2">
        <v>3.3556399513579671</v>
      </c>
      <c r="G2335" t="b">
        <v>0</v>
      </c>
      <c r="H2335" t="s">
        <v>17</v>
      </c>
      <c r="I2335" t="s">
        <v>34</v>
      </c>
    </row>
    <row r="2336" spans="1:9" x14ac:dyDescent="0.3">
      <c r="A2336" t="str">
        <f t="shared" si="36"/>
        <v>CASE-2335</v>
      </c>
      <c r="B2336" s="1">
        <v>46072</v>
      </c>
      <c r="C2336" t="s">
        <v>11</v>
      </c>
      <c r="D2336">
        <v>2</v>
      </c>
      <c r="E2336" t="b">
        <v>1</v>
      </c>
      <c r="F2336" s="2">
        <v>7.5188194421146344</v>
      </c>
      <c r="G2336" t="b">
        <v>0</v>
      </c>
      <c r="H2336" t="s">
        <v>25</v>
      </c>
      <c r="I2336" t="s">
        <v>34</v>
      </c>
    </row>
    <row r="2337" spans="1:9" x14ac:dyDescent="0.3">
      <c r="A2337" t="str">
        <f t="shared" si="36"/>
        <v>CASE-2336</v>
      </c>
      <c r="B2337" s="1">
        <v>46146</v>
      </c>
      <c r="C2337" t="s">
        <v>10</v>
      </c>
      <c r="D2337">
        <v>5</v>
      </c>
      <c r="E2337" t="b">
        <v>1</v>
      </c>
      <c r="F2337" s="2">
        <v>21.209498946451845</v>
      </c>
      <c r="G2337" t="b">
        <v>0</v>
      </c>
      <c r="H2337" t="s">
        <v>23</v>
      </c>
      <c r="I2337" t="s">
        <v>33</v>
      </c>
    </row>
    <row r="2338" spans="1:9" x14ac:dyDescent="0.3">
      <c r="A2338" t="str">
        <f t="shared" si="36"/>
        <v>CASE-2337</v>
      </c>
      <c r="B2338" s="1">
        <v>45540</v>
      </c>
      <c r="C2338" t="s">
        <v>9</v>
      </c>
      <c r="D2338">
        <v>1</v>
      </c>
      <c r="E2338" t="b">
        <v>0</v>
      </c>
      <c r="F2338" s="2">
        <v>26.156581222780353</v>
      </c>
      <c r="G2338" t="b">
        <v>0</v>
      </c>
      <c r="H2338" t="s">
        <v>29</v>
      </c>
      <c r="I2338" t="s">
        <v>33</v>
      </c>
    </row>
    <row r="2339" spans="1:9" x14ac:dyDescent="0.3">
      <c r="A2339" t="str">
        <f t="shared" si="36"/>
        <v>CASE-2338</v>
      </c>
      <c r="B2339" s="1">
        <v>45510</v>
      </c>
      <c r="C2339" t="s">
        <v>10</v>
      </c>
      <c r="D2339">
        <v>3</v>
      </c>
      <c r="E2339" t="b">
        <v>0</v>
      </c>
      <c r="F2339" s="2">
        <v>-3.358592179817073</v>
      </c>
      <c r="G2339" t="b">
        <v>0</v>
      </c>
      <c r="H2339" t="s">
        <v>27</v>
      </c>
      <c r="I2339" t="s">
        <v>33</v>
      </c>
    </row>
    <row r="2340" spans="1:9" x14ac:dyDescent="0.3">
      <c r="A2340" t="str">
        <f t="shared" si="36"/>
        <v>CASE-2339</v>
      </c>
      <c r="B2340" s="1">
        <v>45930</v>
      </c>
      <c r="C2340" t="s">
        <v>11</v>
      </c>
      <c r="D2340">
        <v>3</v>
      </c>
      <c r="E2340" t="b">
        <v>0</v>
      </c>
      <c r="F2340" s="2">
        <v>7.776389389141765</v>
      </c>
      <c r="G2340" t="b">
        <v>0</v>
      </c>
      <c r="H2340" t="s">
        <v>17</v>
      </c>
      <c r="I2340" t="s">
        <v>34</v>
      </c>
    </row>
    <row r="2341" spans="1:9" x14ac:dyDescent="0.3">
      <c r="A2341" t="str">
        <f t="shared" si="36"/>
        <v>CASE-2340</v>
      </c>
      <c r="B2341" s="1">
        <v>45869</v>
      </c>
      <c r="C2341" t="s">
        <v>10</v>
      </c>
      <c r="D2341">
        <v>2</v>
      </c>
      <c r="E2341" t="b">
        <v>1</v>
      </c>
      <c r="F2341" s="2">
        <v>20.333738724678533</v>
      </c>
      <c r="G2341" t="b">
        <v>0</v>
      </c>
      <c r="H2341" t="s">
        <v>18</v>
      </c>
      <c r="I2341" t="s">
        <v>33</v>
      </c>
    </row>
    <row r="2342" spans="1:9" x14ac:dyDescent="0.3">
      <c r="A2342" t="str">
        <f t="shared" si="36"/>
        <v>CASE-2341</v>
      </c>
      <c r="B2342" s="1">
        <v>45581</v>
      </c>
      <c r="C2342" t="s">
        <v>9</v>
      </c>
      <c r="D2342">
        <v>3</v>
      </c>
      <c r="E2342" t="b">
        <v>0</v>
      </c>
      <c r="F2342" s="2">
        <v>23.658167487398117</v>
      </c>
      <c r="G2342" t="b">
        <v>0</v>
      </c>
      <c r="H2342" t="s">
        <v>27</v>
      </c>
      <c r="I2342" t="s">
        <v>33</v>
      </c>
    </row>
    <row r="2343" spans="1:9" x14ac:dyDescent="0.3">
      <c r="A2343" t="str">
        <f t="shared" si="36"/>
        <v>CASE-2342</v>
      </c>
      <c r="B2343" s="1">
        <v>45726</v>
      </c>
      <c r="C2343" t="s">
        <v>10</v>
      </c>
      <c r="D2343">
        <v>3</v>
      </c>
      <c r="E2343" t="b">
        <v>1</v>
      </c>
      <c r="F2343" s="2">
        <v>5.7664177366343381</v>
      </c>
      <c r="G2343" t="b">
        <v>0</v>
      </c>
      <c r="H2343" t="s">
        <v>29</v>
      </c>
      <c r="I2343" t="s">
        <v>34</v>
      </c>
    </row>
    <row r="2344" spans="1:9" x14ac:dyDescent="0.3">
      <c r="A2344" t="str">
        <f t="shared" si="36"/>
        <v>CASE-2343</v>
      </c>
      <c r="B2344" s="1">
        <v>46085</v>
      </c>
      <c r="C2344" t="s">
        <v>11</v>
      </c>
      <c r="D2344">
        <v>4</v>
      </c>
      <c r="E2344" t="b">
        <v>1</v>
      </c>
      <c r="F2344" s="2">
        <v>3.5883155748315003</v>
      </c>
      <c r="G2344" t="b">
        <v>0</v>
      </c>
      <c r="H2344" t="s">
        <v>20</v>
      </c>
      <c r="I2344" t="s">
        <v>34</v>
      </c>
    </row>
    <row r="2345" spans="1:9" x14ac:dyDescent="0.3">
      <c r="A2345" t="str">
        <f t="shared" si="36"/>
        <v>CASE-2344</v>
      </c>
      <c r="B2345" s="1">
        <v>45904</v>
      </c>
      <c r="C2345" t="s">
        <v>11</v>
      </c>
      <c r="D2345">
        <v>1</v>
      </c>
      <c r="E2345" t="b">
        <v>1</v>
      </c>
      <c r="F2345" s="2">
        <v>8.0390082180583029</v>
      </c>
      <c r="G2345" t="b">
        <v>0</v>
      </c>
      <c r="H2345" t="s">
        <v>24</v>
      </c>
      <c r="I2345" t="s">
        <v>35</v>
      </c>
    </row>
    <row r="2346" spans="1:9" x14ac:dyDescent="0.3">
      <c r="A2346" t="str">
        <f t="shared" si="36"/>
        <v>CASE-2345</v>
      </c>
      <c r="B2346" s="1">
        <v>45977</v>
      </c>
      <c r="C2346" t="s">
        <v>10</v>
      </c>
      <c r="D2346">
        <v>3</v>
      </c>
      <c r="E2346" t="b">
        <v>0</v>
      </c>
      <c r="F2346" s="2">
        <v>10.323043915944343</v>
      </c>
      <c r="G2346" t="b">
        <v>0</v>
      </c>
      <c r="H2346" t="s">
        <v>20</v>
      </c>
      <c r="I2346" t="s">
        <v>34</v>
      </c>
    </row>
    <row r="2347" spans="1:9" x14ac:dyDescent="0.3">
      <c r="A2347" t="str">
        <f t="shared" si="36"/>
        <v>CASE-2346</v>
      </c>
      <c r="B2347" s="1">
        <v>45559</v>
      </c>
      <c r="C2347" t="s">
        <v>10</v>
      </c>
      <c r="D2347">
        <v>1</v>
      </c>
      <c r="E2347" t="b">
        <v>0</v>
      </c>
      <c r="F2347" s="2">
        <v>13.982936124951719</v>
      </c>
      <c r="G2347" t="b">
        <v>0</v>
      </c>
      <c r="H2347" t="s">
        <v>24</v>
      </c>
      <c r="I2347" t="s">
        <v>33</v>
      </c>
    </row>
    <row r="2348" spans="1:9" x14ac:dyDescent="0.3">
      <c r="A2348" t="str">
        <f t="shared" si="36"/>
        <v>CASE-2347</v>
      </c>
      <c r="B2348" s="1">
        <v>45786</v>
      </c>
      <c r="C2348" t="s">
        <v>9</v>
      </c>
      <c r="D2348">
        <v>3</v>
      </c>
      <c r="E2348" t="b">
        <v>1</v>
      </c>
      <c r="F2348" s="2">
        <v>4.1192283096403148</v>
      </c>
      <c r="G2348" t="b">
        <v>0</v>
      </c>
      <c r="H2348" t="s">
        <v>23</v>
      </c>
      <c r="I2348" t="s">
        <v>34</v>
      </c>
    </row>
    <row r="2349" spans="1:9" x14ac:dyDescent="0.3">
      <c r="A2349" t="str">
        <f t="shared" si="36"/>
        <v>CASE-2348</v>
      </c>
      <c r="B2349" s="1">
        <v>45921</v>
      </c>
      <c r="C2349" t="s">
        <v>12</v>
      </c>
      <c r="D2349">
        <v>3</v>
      </c>
      <c r="E2349" t="b">
        <v>1</v>
      </c>
      <c r="F2349" s="2">
        <v>5.511782926900799</v>
      </c>
      <c r="G2349" t="b">
        <v>0</v>
      </c>
      <c r="H2349" t="s">
        <v>20</v>
      </c>
      <c r="I2349" t="s">
        <v>34</v>
      </c>
    </row>
    <row r="2350" spans="1:9" x14ac:dyDescent="0.3">
      <c r="A2350" t="str">
        <f t="shared" si="36"/>
        <v>CASE-2349</v>
      </c>
      <c r="B2350" s="1">
        <v>45729</v>
      </c>
      <c r="C2350" t="s">
        <v>9</v>
      </c>
      <c r="D2350">
        <v>5</v>
      </c>
      <c r="E2350" t="b">
        <v>1</v>
      </c>
      <c r="F2350" s="2">
        <v>17.753117200533886</v>
      </c>
      <c r="G2350" t="b">
        <v>0</v>
      </c>
      <c r="H2350" t="s">
        <v>24</v>
      </c>
      <c r="I2350" t="s">
        <v>33</v>
      </c>
    </row>
    <row r="2351" spans="1:9" x14ac:dyDescent="0.3">
      <c r="A2351" t="str">
        <f t="shared" si="36"/>
        <v>CASE-2350</v>
      </c>
      <c r="B2351" s="1">
        <v>45481</v>
      </c>
      <c r="C2351" t="s">
        <v>9</v>
      </c>
      <c r="D2351">
        <v>2</v>
      </c>
      <c r="E2351" t="b">
        <v>0</v>
      </c>
      <c r="F2351" s="2">
        <v>29.910411791309389</v>
      </c>
      <c r="G2351" t="b">
        <v>0</v>
      </c>
      <c r="H2351" t="s">
        <v>16</v>
      </c>
      <c r="I2351" t="s">
        <v>33</v>
      </c>
    </row>
    <row r="2352" spans="1:9" x14ac:dyDescent="0.3">
      <c r="A2352" t="str">
        <f t="shared" si="36"/>
        <v>CASE-2351</v>
      </c>
      <c r="B2352" s="1">
        <v>45726</v>
      </c>
      <c r="C2352" t="s">
        <v>9</v>
      </c>
      <c r="D2352">
        <v>3</v>
      </c>
      <c r="E2352" t="b">
        <v>1</v>
      </c>
      <c r="F2352" s="2">
        <v>5.6036787032375033</v>
      </c>
      <c r="G2352" t="b">
        <v>0</v>
      </c>
      <c r="H2352" t="s">
        <v>19</v>
      </c>
      <c r="I2352" t="s">
        <v>34</v>
      </c>
    </row>
    <row r="2353" spans="1:9" x14ac:dyDescent="0.3">
      <c r="A2353" t="str">
        <f t="shared" si="36"/>
        <v>CASE-2352</v>
      </c>
      <c r="B2353" s="1">
        <v>46033</v>
      </c>
      <c r="C2353" t="s">
        <v>11</v>
      </c>
      <c r="D2353">
        <v>4</v>
      </c>
      <c r="E2353" t="b">
        <v>1</v>
      </c>
      <c r="F2353" s="2">
        <v>6.2532960272348577</v>
      </c>
      <c r="G2353" t="b">
        <v>0</v>
      </c>
      <c r="H2353" t="s">
        <v>17</v>
      </c>
      <c r="I2353" t="s">
        <v>34</v>
      </c>
    </row>
    <row r="2354" spans="1:9" x14ac:dyDescent="0.3">
      <c r="A2354" t="str">
        <f t="shared" si="36"/>
        <v>CASE-2353</v>
      </c>
      <c r="B2354" s="1">
        <v>45657</v>
      </c>
      <c r="C2354" t="s">
        <v>10</v>
      </c>
      <c r="D2354">
        <v>4</v>
      </c>
      <c r="E2354" t="b">
        <v>0</v>
      </c>
      <c r="F2354" s="2">
        <v>28.717769384367642</v>
      </c>
      <c r="G2354" t="b">
        <v>0</v>
      </c>
      <c r="H2354" t="s">
        <v>32</v>
      </c>
      <c r="I2354" t="s">
        <v>33</v>
      </c>
    </row>
    <row r="2355" spans="1:9" x14ac:dyDescent="0.3">
      <c r="A2355" t="str">
        <f t="shared" si="36"/>
        <v>CASE-2354</v>
      </c>
      <c r="B2355" s="1">
        <v>46065</v>
      </c>
      <c r="C2355" t="s">
        <v>10</v>
      </c>
      <c r="D2355">
        <v>2</v>
      </c>
      <c r="E2355" t="b">
        <v>1</v>
      </c>
      <c r="F2355" s="2">
        <v>6.1742108363756616</v>
      </c>
      <c r="G2355" t="b">
        <v>0</v>
      </c>
      <c r="H2355" t="s">
        <v>24</v>
      </c>
      <c r="I2355" t="s">
        <v>34</v>
      </c>
    </row>
    <row r="2356" spans="1:9" x14ac:dyDescent="0.3">
      <c r="A2356" t="str">
        <f t="shared" si="36"/>
        <v>CASE-2355</v>
      </c>
      <c r="B2356" s="1">
        <v>45994</v>
      </c>
      <c r="C2356" t="s">
        <v>9</v>
      </c>
      <c r="D2356">
        <v>5</v>
      </c>
      <c r="E2356" t="b">
        <v>1</v>
      </c>
      <c r="F2356" s="2">
        <v>5.4022936856140777</v>
      </c>
      <c r="G2356" t="b">
        <v>0</v>
      </c>
      <c r="H2356" t="s">
        <v>14</v>
      </c>
      <c r="I2356" t="s">
        <v>34</v>
      </c>
    </row>
    <row r="2357" spans="1:9" x14ac:dyDescent="0.3">
      <c r="A2357" t="str">
        <f t="shared" si="36"/>
        <v>CASE-2356</v>
      </c>
      <c r="B2357" s="1">
        <v>45983</v>
      </c>
      <c r="C2357" t="s">
        <v>9</v>
      </c>
      <c r="D2357">
        <v>4</v>
      </c>
      <c r="E2357" t="b">
        <v>1</v>
      </c>
      <c r="F2357" s="2">
        <v>7.9872796928055907</v>
      </c>
      <c r="G2357" t="b">
        <v>0</v>
      </c>
      <c r="H2357" t="s">
        <v>28</v>
      </c>
      <c r="I2357" t="s">
        <v>34</v>
      </c>
    </row>
    <row r="2358" spans="1:9" x14ac:dyDescent="0.3">
      <c r="A2358" t="str">
        <f t="shared" si="36"/>
        <v>CASE-2357</v>
      </c>
      <c r="B2358" s="1">
        <v>45797</v>
      </c>
      <c r="C2358" t="s">
        <v>10</v>
      </c>
      <c r="D2358">
        <v>1</v>
      </c>
      <c r="E2358" t="b">
        <v>1</v>
      </c>
      <c r="F2358" s="2">
        <v>23.645672128687448</v>
      </c>
      <c r="G2358" t="b">
        <v>0</v>
      </c>
      <c r="H2358" t="s">
        <v>19</v>
      </c>
      <c r="I2358" t="s">
        <v>33</v>
      </c>
    </row>
    <row r="2359" spans="1:9" x14ac:dyDescent="0.3">
      <c r="A2359" t="str">
        <f t="shared" si="36"/>
        <v>CASE-2358</v>
      </c>
      <c r="B2359" s="1">
        <v>45738</v>
      </c>
      <c r="C2359" t="s">
        <v>11</v>
      </c>
      <c r="D2359">
        <v>3</v>
      </c>
      <c r="E2359" t="b">
        <v>1</v>
      </c>
      <c r="F2359" s="2">
        <v>4.7313637110228468</v>
      </c>
      <c r="G2359" t="b">
        <v>0</v>
      </c>
      <c r="H2359" t="s">
        <v>26</v>
      </c>
      <c r="I2359" t="s">
        <v>34</v>
      </c>
    </row>
    <row r="2360" spans="1:9" x14ac:dyDescent="0.3">
      <c r="A2360" t="str">
        <f t="shared" si="36"/>
        <v>CASE-2359</v>
      </c>
      <c r="B2360" s="1">
        <v>45819</v>
      </c>
      <c r="C2360" t="s">
        <v>10</v>
      </c>
      <c r="D2360">
        <v>3</v>
      </c>
      <c r="E2360" t="b">
        <v>0</v>
      </c>
      <c r="F2360" s="2">
        <v>4.9285353843470894</v>
      </c>
      <c r="G2360" t="b">
        <v>0</v>
      </c>
      <c r="H2360" t="s">
        <v>26</v>
      </c>
      <c r="I2360" t="s">
        <v>34</v>
      </c>
    </row>
    <row r="2361" spans="1:9" x14ac:dyDescent="0.3">
      <c r="A2361" t="str">
        <f t="shared" si="36"/>
        <v>CASE-2360</v>
      </c>
      <c r="B2361" s="1">
        <v>45773</v>
      </c>
      <c r="C2361" t="s">
        <v>9</v>
      </c>
      <c r="D2361">
        <v>2</v>
      </c>
      <c r="E2361" t="b">
        <v>1</v>
      </c>
      <c r="F2361" s="2">
        <v>7.1008682115737773</v>
      </c>
      <c r="G2361" t="b">
        <v>0</v>
      </c>
      <c r="H2361" t="s">
        <v>32</v>
      </c>
      <c r="I2361" t="s">
        <v>34</v>
      </c>
    </row>
    <row r="2362" spans="1:9" x14ac:dyDescent="0.3">
      <c r="A2362" t="str">
        <f t="shared" si="36"/>
        <v>CASE-2361</v>
      </c>
      <c r="B2362" s="1">
        <v>45677</v>
      </c>
      <c r="C2362" t="s">
        <v>10</v>
      </c>
      <c r="D2362">
        <v>5</v>
      </c>
      <c r="E2362" t="b">
        <v>1</v>
      </c>
      <c r="F2362" s="2">
        <v>9.1178859957367706</v>
      </c>
      <c r="G2362" t="b">
        <v>0</v>
      </c>
      <c r="H2362" t="s">
        <v>15</v>
      </c>
      <c r="I2362" t="s">
        <v>34</v>
      </c>
    </row>
    <row r="2363" spans="1:9" x14ac:dyDescent="0.3">
      <c r="A2363" t="str">
        <f t="shared" si="36"/>
        <v>CASE-2362</v>
      </c>
      <c r="B2363" s="1">
        <v>45480</v>
      </c>
      <c r="C2363" t="s">
        <v>12</v>
      </c>
      <c r="D2363">
        <v>4</v>
      </c>
      <c r="E2363" t="b">
        <v>0</v>
      </c>
      <c r="F2363" s="2">
        <v>27.850536521374739</v>
      </c>
      <c r="G2363" t="b">
        <v>1</v>
      </c>
      <c r="H2363" t="s">
        <v>25</v>
      </c>
      <c r="I2363" t="s">
        <v>33</v>
      </c>
    </row>
    <row r="2364" spans="1:9" x14ac:dyDescent="0.3">
      <c r="A2364" t="str">
        <f t="shared" si="36"/>
        <v>CASE-2363</v>
      </c>
      <c r="B2364" s="1">
        <v>45579</v>
      </c>
      <c r="C2364" t="s">
        <v>9</v>
      </c>
      <c r="D2364">
        <v>4</v>
      </c>
      <c r="E2364" t="b">
        <v>0</v>
      </c>
      <c r="F2364" s="2">
        <v>28.142915010748219</v>
      </c>
      <c r="G2364" t="b">
        <v>0</v>
      </c>
      <c r="H2364" t="s">
        <v>29</v>
      </c>
      <c r="I2364" t="s">
        <v>33</v>
      </c>
    </row>
    <row r="2365" spans="1:9" x14ac:dyDescent="0.3">
      <c r="A2365" t="str">
        <f t="shared" si="36"/>
        <v>CASE-2364</v>
      </c>
      <c r="B2365" s="1">
        <v>46182</v>
      </c>
      <c r="C2365" t="s">
        <v>9</v>
      </c>
      <c r="D2365">
        <v>5</v>
      </c>
      <c r="E2365" t="b">
        <v>1</v>
      </c>
      <c r="F2365" s="2">
        <v>7.710085955315348</v>
      </c>
      <c r="G2365" t="b">
        <v>0</v>
      </c>
      <c r="H2365" t="s">
        <v>21</v>
      </c>
      <c r="I2365" t="s">
        <v>35</v>
      </c>
    </row>
    <row r="2366" spans="1:9" x14ac:dyDescent="0.3">
      <c r="A2366" t="str">
        <f t="shared" si="36"/>
        <v>CASE-2365</v>
      </c>
      <c r="B2366" s="1">
        <v>45863</v>
      </c>
      <c r="C2366" t="s">
        <v>11</v>
      </c>
      <c r="D2366">
        <v>5</v>
      </c>
      <c r="E2366" t="b">
        <v>1</v>
      </c>
      <c r="F2366" s="2">
        <v>3.0040404339124236</v>
      </c>
      <c r="G2366" t="b">
        <v>0</v>
      </c>
      <c r="H2366" t="s">
        <v>22</v>
      </c>
      <c r="I2366" t="s">
        <v>34</v>
      </c>
    </row>
    <row r="2367" spans="1:9" x14ac:dyDescent="0.3">
      <c r="A2367" t="str">
        <f t="shared" si="36"/>
        <v>CASE-2366</v>
      </c>
      <c r="B2367" s="1">
        <v>46120</v>
      </c>
      <c r="C2367" t="s">
        <v>11</v>
      </c>
      <c r="D2367">
        <v>5</v>
      </c>
      <c r="E2367" t="b">
        <v>1</v>
      </c>
      <c r="F2367" s="2">
        <v>4.5403887586657907</v>
      </c>
      <c r="G2367" t="b">
        <v>0</v>
      </c>
      <c r="H2367" t="s">
        <v>31</v>
      </c>
      <c r="I2367" t="s">
        <v>34</v>
      </c>
    </row>
    <row r="2368" spans="1:9" x14ac:dyDescent="0.3">
      <c r="A2368" t="str">
        <f t="shared" si="36"/>
        <v>CASE-2367</v>
      </c>
      <c r="B2368" s="1">
        <v>45886</v>
      </c>
      <c r="C2368" t="s">
        <v>9</v>
      </c>
      <c r="D2368">
        <v>2</v>
      </c>
      <c r="E2368" t="b">
        <v>1</v>
      </c>
      <c r="F2368" s="2">
        <v>12.49377677444749</v>
      </c>
      <c r="G2368" t="b">
        <v>0</v>
      </c>
      <c r="H2368" t="s">
        <v>28</v>
      </c>
      <c r="I2368" t="s">
        <v>33</v>
      </c>
    </row>
    <row r="2369" spans="1:9" x14ac:dyDescent="0.3">
      <c r="A2369" t="str">
        <f t="shared" si="36"/>
        <v>CASE-2368</v>
      </c>
      <c r="B2369" s="1">
        <v>45827</v>
      </c>
      <c r="C2369" t="s">
        <v>9</v>
      </c>
      <c r="D2369">
        <v>3</v>
      </c>
      <c r="E2369" t="b">
        <v>1</v>
      </c>
      <c r="F2369" s="2">
        <v>27.299040303986278</v>
      </c>
      <c r="G2369" t="b">
        <v>0</v>
      </c>
      <c r="H2369" t="s">
        <v>14</v>
      </c>
      <c r="I2369" t="s">
        <v>33</v>
      </c>
    </row>
    <row r="2370" spans="1:9" x14ac:dyDescent="0.3">
      <c r="A2370" t="str">
        <f t="shared" si="36"/>
        <v>CASE-2369</v>
      </c>
      <c r="B2370" s="1">
        <v>46110</v>
      </c>
      <c r="C2370" t="s">
        <v>12</v>
      </c>
      <c r="D2370">
        <v>1</v>
      </c>
      <c r="E2370" t="b">
        <v>1</v>
      </c>
      <c r="F2370" s="2">
        <v>6.4887423098143913</v>
      </c>
      <c r="G2370" t="b">
        <v>0</v>
      </c>
      <c r="H2370" t="s">
        <v>26</v>
      </c>
      <c r="I2370" t="s">
        <v>34</v>
      </c>
    </row>
    <row r="2371" spans="1:9" x14ac:dyDescent="0.3">
      <c r="A2371" t="str">
        <f t="shared" ref="A2371:A2434" si="37">"CASE-"&amp;TEXT(ROW()-1,"0000")</f>
        <v>CASE-2370</v>
      </c>
      <c r="B2371" s="1">
        <v>45983</v>
      </c>
      <c r="C2371" t="s">
        <v>10</v>
      </c>
      <c r="D2371">
        <v>5</v>
      </c>
      <c r="E2371" t="b">
        <v>1</v>
      </c>
      <c r="F2371" s="2">
        <v>37.50915051969794</v>
      </c>
      <c r="G2371" t="b">
        <v>0</v>
      </c>
      <c r="H2371" t="s">
        <v>32</v>
      </c>
      <c r="I2371" t="s">
        <v>33</v>
      </c>
    </row>
    <row r="2372" spans="1:9" x14ac:dyDescent="0.3">
      <c r="A2372" t="str">
        <f t="shared" si="37"/>
        <v>CASE-2371</v>
      </c>
      <c r="B2372" s="1">
        <v>45809</v>
      </c>
      <c r="C2372" t="s">
        <v>10</v>
      </c>
      <c r="D2372">
        <v>1</v>
      </c>
      <c r="E2372" t="b">
        <v>0</v>
      </c>
      <c r="F2372" s="2">
        <v>20.626123469326561</v>
      </c>
      <c r="G2372" t="b">
        <v>0</v>
      </c>
      <c r="H2372" t="s">
        <v>19</v>
      </c>
      <c r="I2372" t="s">
        <v>33</v>
      </c>
    </row>
    <row r="2373" spans="1:9" x14ac:dyDescent="0.3">
      <c r="A2373" t="str">
        <f t="shared" si="37"/>
        <v>CASE-2372</v>
      </c>
      <c r="B2373" s="1">
        <v>45726</v>
      </c>
      <c r="C2373" t="s">
        <v>12</v>
      </c>
      <c r="D2373">
        <v>1</v>
      </c>
      <c r="E2373" t="b">
        <v>0</v>
      </c>
      <c r="F2373" s="2">
        <v>6.0168105604765669</v>
      </c>
      <c r="G2373" t="b">
        <v>0</v>
      </c>
      <c r="H2373" t="s">
        <v>17</v>
      </c>
      <c r="I2373" t="s">
        <v>34</v>
      </c>
    </row>
    <row r="2374" spans="1:9" x14ac:dyDescent="0.3">
      <c r="A2374" t="str">
        <f t="shared" si="37"/>
        <v>CASE-2373</v>
      </c>
      <c r="B2374" s="1">
        <v>45478</v>
      </c>
      <c r="C2374" t="s">
        <v>12</v>
      </c>
      <c r="D2374">
        <v>4</v>
      </c>
      <c r="E2374" t="b">
        <v>0</v>
      </c>
      <c r="F2374" s="2">
        <v>27.010275244949042</v>
      </c>
      <c r="G2374" t="b">
        <v>0</v>
      </c>
      <c r="H2374" t="s">
        <v>24</v>
      </c>
      <c r="I2374" t="s">
        <v>33</v>
      </c>
    </row>
    <row r="2375" spans="1:9" x14ac:dyDescent="0.3">
      <c r="A2375" t="str">
        <f t="shared" si="37"/>
        <v>CASE-2374</v>
      </c>
      <c r="B2375" s="1">
        <v>45933</v>
      </c>
      <c r="C2375" t="s">
        <v>12</v>
      </c>
      <c r="D2375">
        <v>3</v>
      </c>
      <c r="E2375" t="b">
        <v>1</v>
      </c>
      <c r="F2375" s="2">
        <v>6.5961709962602857</v>
      </c>
      <c r="G2375" t="b">
        <v>0</v>
      </c>
      <c r="H2375" t="s">
        <v>20</v>
      </c>
      <c r="I2375" t="s">
        <v>34</v>
      </c>
    </row>
    <row r="2376" spans="1:9" x14ac:dyDescent="0.3">
      <c r="A2376" t="str">
        <f t="shared" si="37"/>
        <v>CASE-2375</v>
      </c>
      <c r="B2376" s="1">
        <v>46187</v>
      </c>
      <c r="C2376" t="s">
        <v>12</v>
      </c>
      <c r="D2376">
        <v>5</v>
      </c>
      <c r="E2376" t="b">
        <v>1</v>
      </c>
      <c r="F2376" s="2">
        <v>26.322108467463345</v>
      </c>
      <c r="G2376" t="b">
        <v>0</v>
      </c>
      <c r="H2376" t="s">
        <v>31</v>
      </c>
      <c r="I2376" t="s">
        <v>33</v>
      </c>
    </row>
    <row r="2377" spans="1:9" x14ac:dyDescent="0.3">
      <c r="A2377" t="str">
        <f t="shared" si="37"/>
        <v>CASE-2376</v>
      </c>
      <c r="B2377" s="1">
        <v>46065</v>
      </c>
      <c r="C2377" t="s">
        <v>9</v>
      </c>
      <c r="D2377">
        <v>5</v>
      </c>
      <c r="E2377" t="b">
        <v>0</v>
      </c>
      <c r="F2377" s="2">
        <v>6.0115589156191147</v>
      </c>
      <c r="G2377" t="b">
        <v>0</v>
      </c>
      <c r="H2377" t="s">
        <v>25</v>
      </c>
      <c r="I2377" t="s">
        <v>34</v>
      </c>
    </row>
    <row r="2378" spans="1:9" x14ac:dyDescent="0.3">
      <c r="A2378" t="str">
        <f t="shared" si="37"/>
        <v>CASE-2377</v>
      </c>
      <c r="B2378" s="1">
        <v>45847</v>
      </c>
      <c r="C2378" t="s">
        <v>12</v>
      </c>
      <c r="D2378">
        <v>5</v>
      </c>
      <c r="E2378" t="b">
        <v>1</v>
      </c>
      <c r="F2378" s="2">
        <v>3.762239684731068</v>
      </c>
      <c r="G2378" t="b">
        <v>0</v>
      </c>
      <c r="H2378" t="s">
        <v>16</v>
      </c>
      <c r="I2378" t="s">
        <v>34</v>
      </c>
    </row>
    <row r="2379" spans="1:9" x14ac:dyDescent="0.3">
      <c r="A2379" t="str">
        <f t="shared" si="37"/>
        <v>CASE-2378</v>
      </c>
      <c r="B2379" s="1">
        <v>46194</v>
      </c>
      <c r="C2379" t="s">
        <v>9</v>
      </c>
      <c r="D2379">
        <v>2</v>
      </c>
      <c r="E2379" t="b">
        <v>1</v>
      </c>
      <c r="F2379" s="2">
        <v>3.3570720482747234</v>
      </c>
      <c r="G2379" t="b">
        <v>0</v>
      </c>
      <c r="H2379" t="s">
        <v>24</v>
      </c>
      <c r="I2379" t="s">
        <v>34</v>
      </c>
    </row>
    <row r="2380" spans="1:9" x14ac:dyDescent="0.3">
      <c r="A2380" t="str">
        <f t="shared" si="37"/>
        <v>CASE-2379</v>
      </c>
      <c r="B2380" s="1">
        <v>46152</v>
      </c>
      <c r="C2380" t="s">
        <v>11</v>
      </c>
      <c r="D2380">
        <v>5</v>
      </c>
      <c r="E2380" t="b">
        <v>1</v>
      </c>
      <c r="F2380" s="2">
        <v>7.5823903904956698</v>
      </c>
      <c r="G2380" t="b">
        <v>0</v>
      </c>
      <c r="H2380" t="s">
        <v>19</v>
      </c>
      <c r="I2380" t="s">
        <v>34</v>
      </c>
    </row>
    <row r="2381" spans="1:9" x14ac:dyDescent="0.3">
      <c r="A2381" t="str">
        <f t="shared" si="37"/>
        <v>CASE-2380</v>
      </c>
      <c r="B2381" s="1">
        <v>45554</v>
      </c>
      <c r="C2381" t="s">
        <v>9</v>
      </c>
      <c r="D2381">
        <v>2</v>
      </c>
      <c r="E2381" t="b">
        <v>0</v>
      </c>
      <c r="F2381" s="2">
        <v>25.123874870710715</v>
      </c>
      <c r="G2381" t="b">
        <v>0</v>
      </c>
      <c r="H2381" t="s">
        <v>25</v>
      </c>
      <c r="I2381" t="s">
        <v>33</v>
      </c>
    </row>
    <row r="2382" spans="1:9" x14ac:dyDescent="0.3">
      <c r="A2382" t="str">
        <f t="shared" si="37"/>
        <v>CASE-2381</v>
      </c>
      <c r="B2382" s="1">
        <v>45661</v>
      </c>
      <c r="C2382" t="s">
        <v>12</v>
      </c>
      <c r="D2382">
        <v>4</v>
      </c>
      <c r="E2382" t="b">
        <v>1</v>
      </c>
      <c r="F2382" s="2">
        <v>3.4391120765091454</v>
      </c>
      <c r="G2382" t="b">
        <v>0</v>
      </c>
      <c r="H2382" t="s">
        <v>16</v>
      </c>
      <c r="I2382" t="s">
        <v>34</v>
      </c>
    </row>
    <row r="2383" spans="1:9" x14ac:dyDescent="0.3">
      <c r="A2383" t="str">
        <f t="shared" si="37"/>
        <v>CASE-2382</v>
      </c>
      <c r="B2383" s="1">
        <v>46027</v>
      </c>
      <c r="C2383" t="s">
        <v>9</v>
      </c>
      <c r="D2383">
        <v>2</v>
      </c>
      <c r="E2383" t="b">
        <v>1</v>
      </c>
      <c r="F2383" s="2">
        <v>34.852536129699089</v>
      </c>
      <c r="G2383" t="b">
        <v>0</v>
      </c>
      <c r="H2383" t="s">
        <v>21</v>
      </c>
      <c r="I2383" t="s">
        <v>33</v>
      </c>
    </row>
    <row r="2384" spans="1:9" x14ac:dyDescent="0.3">
      <c r="A2384" t="str">
        <f t="shared" si="37"/>
        <v>CASE-2383</v>
      </c>
      <c r="B2384" s="1">
        <v>46182</v>
      </c>
      <c r="C2384" t="s">
        <v>10</v>
      </c>
      <c r="D2384">
        <v>2</v>
      </c>
      <c r="E2384" t="b">
        <v>0</v>
      </c>
      <c r="F2384" s="2">
        <v>2.0300509163143996</v>
      </c>
      <c r="G2384" t="b">
        <v>0</v>
      </c>
      <c r="H2384" t="s">
        <v>30</v>
      </c>
      <c r="I2384" t="s">
        <v>34</v>
      </c>
    </row>
    <row r="2385" spans="1:9" x14ac:dyDescent="0.3">
      <c r="A2385" t="str">
        <f t="shared" si="37"/>
        <v>CASE-2384</v>
      </c>
      <c r="B2385" s="1">
        <v>45961</v>
      </c>
      <c r="C2385" t="s">
        <v>11</v>
      </c>
      <c r="D2385">
        <v>2</v>
      </c>
      <c r="E2385" t="b">
        <v>1</v>
      </c>
      <c r="F2385" s="2">
        <v>4.7246319812244408</v>
      </c>
      <c r="G2385" t="b">
        <v>0</v>
      </c>
      <c r="H2385" t="s">
        <v>20</v>
      </c>
      <c r="I2385" t="s">
        <v>34</v>
      </c>
    </row>
    <row r="2386" spans="1:9" x14ac:dyDescent="0.3">
      <c r="A2386" t="str">
        <f t="shared" si="37"/>
        <v>CASE-2385</v>
      </c>
      <c r="B2386" s="1">
        <v>45863</v>
      </c>
      <c r="C2386" t="s">
        <v>12</v>
      </c>
      <c r="D2386">
        <v>4</v>
      </c>
      <c r="E2386" t="b">
        <v>1</v>
      </c>
      <c r="F2386" s="2">
        <v>7.3528142440187914</v>
      </c>
      <c r="G2386" t="b">
        <v>0</v>
      </c>
      <c r="H2386" t="s">
        <v>19</v>
      </c>
      <c r="I2386" t="s">
        <v>34</v>
      </c>
    </row>
    <row r="2387" spans="1:9" x14ac:dyDescent="0.3">
      <c r="A2387" t="str">
        <f t="shared" si="37"/>
        <v>CASE-2386</v>
      </c>
      <c r="B2387" s="1">
        <v>45782</v>
      </c>
      <c r="C2387" t="s">
        <v>10</v>
      </c>
      <c r="D2387">
        <v>3</v>
      </c>
      <c r="E2387" t="b">
        <v>1</v>
      </c>
      <c r="F2387" s="2">
        <v>8.0055787442815554</v>
      </c>
      <c r="G2387" t="b">
        <v>0</v>
      </c>
      <c r="H2387" t="s">
        <v>32</v>
      </c>
      <c r="I2387" t="s">
        <v>34</v>
      </c>
    </row>
    <row r="2388" spans="1:9" x14ac:dyDescent="0.3">
      <c r="A2388" t="str">
        <f t="shared" si="37"/>
        <v>CASE-2387</v>
      </c>
      <c r="B2388" s="1">
        <v>46158</v>
      </c>
      <c r="C2388" t="s">
        <v>9</v>
      </c>
      <c r="D2388">
        <v>4</v>
      </c>
      <c r="E2388" t="b">
        <v>1</v>
      </c>
      <c r="F2388" s="2">
        <v>20.755970462815004</v>
      </c>
      <c r="G2388" t="b">
        <v>0</v>
      </c>
      <c r="H2388" t="s">
        <v>21</v>
      </c>
      <c r="I2388" t="s">
        <v>33</v>
      </c>
    </row>
    <row r="2389" spans="1:9" x14ac:dyDescent="0.3">
      <c r="A2389" t="str">
        <f t="shared" si="37"/>
        <v>CASE-2388</v>
      </c>
      <c r="B2389" s="1">
        <v>46095</v>
      </c>
      <c r="C2389" t="s">
        <v>11</v>
      </c>
      <c r="D2389">
        <v>1</v>
      </c>
      <c r="E2389" t="b">
        <v>1</v>
      </c>
      <c r="F2389" s="2">
        <v>1.5212619051799807</v>
      </c>
      <c r="G2389" t="b">
        <v>0</v>
      </c>
      <c r="H2389" t="s">
        <v>25</v>
      </c>
      <c r="I2389" t="s">
        <v>34</v>
      </c>
    </row>
    <row r="2390" spans="1:9" x14ac:dyDescent="0.3">
      <c r="A2390" t="str">
        <f t="shared" si="37"/>
        <v>CASE-2389</v>
      </c>
      <c r="B2390" s="1">
        <v>45820</v>
      </c>
      <c r="C2390" t="s">
        <v>11</v>
      </c>
      <c r="D2390">
        <v>3</v>
      </c>
      <c r="E2390" t="b">
        <v>1</v>
      </c>
      <c r="F2390" s="2">
        <v>8.9639950879274757</v>
      </c>
      <c r="G2390" t="b">
        <v>0</v>
      </c>
      <c r="H2390" t="s">
        <v>27</v>
      </c>
      <c r="I2390" t="s">
        <v>34</v>
      </c>
    </row>
    <row r="2391" spans="1:9" x14ac:dyDescent="0.3">
      <c r="A2391" t="str">
        <f t="shared" si="37"/>
        <v>CASE-2390</v>
      </c>
      <c r="B2391" s="1">
        <v>45554</v>
      </c>
      <c r="C2391" t="s">
        <v>10</v>
      </c>
      <c r="D2391">
        <v>5</v>
      </c>
      <c r="E2391" t="b">
        <v>0</v>
      </c>
      <c r="F2391" s="2">
        <v>28.647934772182271</v>
      </c>
      <c r="G2391" t="b">
        <v>0</v>
      </c>
      <c r="H2391" t="s">
        <v>29</v>
      </c>
      <c r="I2391" t="s">
        <v>33</v>
      </c>
    </row>
    <row r="2392" spans="1:9" x14ac:dyDescent="0.3">
      <c r="A2392" t="str">
        <f t="shared" si="37"/>
        <v>CASE-2391</v>
      </c>
      <c r="B2392" s="1">
        <v>45941</v>
      </c>
      <c r="C2392" t="s">
        <v>12</v>
      </c>
      <c r="D2392">
        <v>4</v>
      </c>
      <c r="E2392" t="b">
        <v>1</v>
      </c>
      <c r="F2392" s="2">
        <v>5.1161914408128952</v>
      </c>
      <c r="G2392" t="b">
        <v>0</v>
      </c>
      <c r="H2392" t="s">
        <v>29</v>
      </c>
      <c r="I2392" t="s">
        <v>34</v>
      </c>
    </row>
    <row r="2393" spans="1:9" x14ac:dyDescent="0.3">
      <c r="A2393" t="str">
        <f t="shared" si="37"/>
        <v>CASE-2392</v>
      </c>
      <c r="B2393" s="1">
        <v>45877</v>
      </c>
      <c r="C2393" t="s">
        <v>10</v>
      </c>
      <c r="D2393">
        <v>3</v>
      </c>
      <c r="E2393" t="b">
        <v>1</v>
      </c>
      <c r="F2393" s="2">
        <v>5.3913471290067179</v>
      </c>
      <c r="G2393" t="b">
        <v>0</v>
      </c>
      <c r="H2393" t="s">
        <v>14</v>
      </c>
      <c r="I2393" t="s">
        <v>34</v>
      </c>
    </row>
    <row r="2394" spans="1:9" x14ac:dyDescent="0.3">
      <c r="A2394" t="str">
        <f t="shared" si="37"/>
        <v>CASE-2393</v>
      </c>
      <c r="B2394" s="1">
        <v>45587</v>
      </c>
      <c r="C2394" t="s">
        <v>10</v>
      </c>
      <c r="D2394">
        <v>5</v>
      </c>
      <c r="E2394" t="b">
        <v>0</v>
      </c>
      <c r="F2394" s="2">
        <v>26.985184878674438</v>
      </c>
      <c r="G2394" t="b">
        <v>1</v>
      </c>
      <c r="H2394" t="s">
        <v>31</v>
      </c>
      <c r="I2394" t="s">
        <v>33</v>
      </c>
    </row>
    <row r="2395" spans="1:9" x14ac:dyDescent="0.3">
      <c r="A2395" t="str">
        <f t="shared" si="37"/>
        <v>CASE-2394</v>
      </c>
      <c r="B2395" s="1">
        <v>46079</v>
      </c>
      <c r="C2395" t="s">
        <v>11</v>
      </c>
      <c r="D2395">
        <v>3</v>
      </c>
      <c r="E2395" t="b">
        <v>1</v>
      </c>
      <c r="F2395" s="2">
        <v>5.927256297855533</v>
      </c>
      <c r="G2395" t="b">
        <v>0</v>
      </c>
      <c r="H2395" t="s">
        <v>25</v>
      </c>
      <c r="I2395" t="s">
        <v>34</v>
      </c>
    </row>
    <row r="2396" spans="1:9" x14ac:dyDescent="0.3">
      <c r="A2396" t="str">
        <f t="shared" si="37"/>
        <v>CASE-2395</v>
      </c>
      <c r="B2396" s="1">
        <v>46197</v>
      </c>
      <c r="C2396" t="s">
        <v>12</v>
      </c>
      <c r="D2396">
        <v>5</v>
      </c>
      <c r="E2396" t="b">
        <v>0</v>
      </c>
      <c r="F2396" s="2">
        <v>24.609958755527455</v>
      </c>
      <c r="G2396" t="b">
        <v>0</v>
      </c>
      <c r="H2396" t="s">
        <v>32</v>
      </c>
      <c r="I2396" t="s">
        <v>33</v>
      </c>
    </row>
    <row r="2397" spans="1:9" x14ac:dyDescent="0.3">
      <c r="A2397" t="str">
        <f t="shared" si="37"/>
        <v>CASE-2396</v>
      </c>
      <c r="B2397" s="1">
        <v>45802</v>
      </c>
      <c r="C2397" t="s">
        <v>12</v>
      </c>
      <c r="D2397">
        <v>5</v>
      </c>
      <c r="E2397" t="b">
        <v>1</v>
      </c>
      <c r="F2397" s="2">
        <v>3.3210917101631061</v>
      </c>
      <c r="G2397" t="b">
        <v>0</v>
      </c>
      <c r="H2397" t="s">
        <v>16</v>
      </c>
      <c r="I2397" t="s">
        <v>34</v>
      </c>
    </row>
    <row r="2398" spans="1:9" x14ac:dyDescent="0.3">
      <c r="A2398" t="str">
        <f t="shared" si="37"/>
        <v>CASE-2397</v>
      </c>
      <c r="B2398" s="1">
        <v>45862</v>
      </c>
      <c r="C2398" t="s">
        <v>12</v>
      </c>
      <c r="D2398">
        <v>2</v>
      </c>
      <c r="E2398" t="b">
        <v>1</v>
      </c>
      <c r="F2398" s="2">
        <v>4.0466700652069445</v>
      </c>
      <c r="G2398" t="b">
        <v>0</v>
      </c>
      <c r="H2398" t="s">
        <v>14</v>
      </c>
      <c r="I2398" t="s">
        <v>34</v>
      </c>
    </row>
    <row r="2399" spans="1:9" x14ac:dyDescent="0.3">
      <c r="A2399" t="str">
        <f t="shared" si="37"/>
        <v>CASE-2398</v>
      </c>
      <c r="B2399" s="1">
        <v>46049</v>
      </c>
      <c r="C2399" t="s">
        <v>12</v>
      </c>
      <c r="D2399">
        <v>2</v>
      </c>
      <c r="E2399" t="b">
        <v>0</v>
      </c>
      <c r="F2399" s="2">
        <v>7.1656222052303615</v>
      </c>
      <c r="G2399" t="b">
        <v>0</v>
      </c>
      <c r="H2399" t="s">
        <v>19</v>
      </c>
      <c r="I2399" t="s">
        <v>34</v>
      </c>
    </row>
    <row r="2400" spans="1:9" x14ac:dyDescent="0.3">
      <c r="A2400" t="str">
        <f t="shared" si="37"/>
        <v>CASE-2399</v>
      </c>
      <c r="B2400" s="1">
        <v>46199</v>
      </c>
      <c r="C2400" t="s">
        <v>11</v>
      </c>
      <c r="D2400">
        <v>1</v>
      </c>
      <c r="E2400" t="b">
        <v>1</v>
      </c>
      <c r="F2400" s="2">
        <v>20.020472318275761</v>
      </c>
      <c r="G2400" t="b">
        <v>0</v>
      </c>
      <c r="H2400" t="s">
        <v>24</v>
      </c>
      <c r="I2400" t="s">
        <v>33</v>
      </c>
    </row>
    <row r="2401" spans="1:9" x14ac:dyDescent="0.3">
      <c r="A2401" t="str">
        <f t="shared" si="37"/>
        <v>CASE-2400</v>
      </c>
      <c r="B2401" s="1">
        <v>45918</v>
      </c>
      <c r="C2401" t="s">
        <v>12</v>
      </c>
      <c r="D2401">
        <v>1</v>
      </c>
      <c r="E2401" t="b">
        <v>0</v>
      </c>
      <c r="F2401" s="2">
        <v>8.1153611465692475</v>
      </c>
      <c r="G2401" t="b">
        <v>0</v>
      </c>
      <c r="H2401" t="s">
        <v>14</v>
      </c>
      <c r="I2401" t="s">
        <v>34</v>
      </c>
    </row>
    <row r="2402" spans="1:9" x14ac:dyDescent="0.3">
      <c r="A2402" t="str">
        <f t="shared" si="37"/>
        <v>CASE-2401</v>
      </c>
      <c r="B2402" s="1">
        <v>46198</v>
      </c>
      <c r="C2402" t="s">
        <v>11</v>
      </c>
      <c r="D2402">
        <v>5</v>
      </c>
      <c r="E2402" t="b">
        <v>0</v>
      </c>
      <c r="F2402" s="2">
        <v>8.9318743862465073</v>
      </c>
      <c r="G2402" t="b">
        <v>0</v>
      </c>
      <c r="H2402" t="s">
        <v>26</v>
      </c>
      <c r="I2402" t="s">
        <v>33</v>
      </c>
    </row>
    <row r="2403" spans="1:9" x14ac:dyDescent="0.3">
      <c r="A2403" t="str">
        <f t="shared" si="37"/>
        <v>CASE-2402</v>
      </c>
      <c r="B2403" s="1">
        <v>45712</v>
      </c>
      <c r="C2403" t="s">
        <v>10</v>
      </c>
      <c r="D2403">
        <v>1</v>
      </c>
      <c r="E2403" t="b">
        <v>1</v>
      </c>
      <c r="F2403" s="2">
        <v>7.57497645998781</v>
      </c>
      <c r="G2403" t="b">
        <v>0</v>
      </c>
      <c r="H2403" t="s">
        <v>26</v>
      </c>
      <c r="I2403" t="s">
        <v>34</v>
      </c>
    </row>
    <row r="2404" spans="1:9" x14ac:dyDescent="0.3">
      <c r="A2404" t="str">
        <f t="shared" si="37"/>
        <v>CASE-2403</v>
      </c>
      <c r="B2404" s="1">
        <v>45519</v>
      </c>
      <c r="C2404" t="s">
        <v>10</v>
      </c>
      <c r="D2404">
        <v>1</v>
      </c>
      <c r="E2404" t="b">
        <v>0</v>
      </c>
      <c r="F2404" s="2">
        <v>26.025941410233081</v>
      </c>
      <c r="G2404" t="b">
        <v>0</v>
      </c>
      <c r="H2404" t="s">
        <v>18</v>
      </c>
      <c r="I2404" t="s">
        <v>33</v>
      </c>
    </row>
    <row r="2405" spans="1:9" x14ac:dyDescent="0.3">
      <c r="A2405" t="str">
        <f t="shared" si="37"/>
        <v>CASE-2404</v>
      </c>
      <c r="B2405" s="1">
        <v>45932</v>
      </c>
      <c r="C2405" t="s">
        <v>9</v>
      </c>
      <c r="D2405">
        <v>1</v>
      </c>
      <c r="E2405" t="b">
        <v>1</v>
      </c>
      <c r="F2405" s="2">
        <v>5.4186554163855689</v>
      </c>
      <c r="G2405" t="b">
        <v>0</v>
      </c>
      <c r="H2405" t="s">
        <v>32</v>
      </c>
      <c r="I2405" t="s">
        <v>34</v>
      </c>
    </row>
    <row r="2406" spans="1:9" x14ac:dyDescent="0.3">
      <c r="A2406" t="str">
        <f t="shared" si="37"/>
        <v>CASE-2405</v>
      </c>
      <c r="B2406" s="1">
        <v>46184</v>
      </c>
      <c r="C2406" t="s">
        <v>10</v>
      </c>
      <c r="D2406">
        <v>4</v>
      </c>
      <c r="E2406" t="b">
        <v>1</v>
      </c>
      <c r="F2406" s="2">
        <v>6.0035739436305784</v>
      </c>
      <c r="G2406" t="b">
        <v>0</v>
      </c>
      <c r="H2406" t="s">
        <v>18</v>
      </c>
      <c r="I2406" t="s">
        <v>34</v>
      </c>
    </row>
    <row r="2407" spans="1:9" x14ac:dyDescent="0.3">
      <c r="A2407" t="str">
        <f t="shared" si="37"/>
        <v>CASE-2406</v>
      </c>
      <c r="B2407" s="1">
        <v>46060</v>
      </c>
      <c r="C2407" t="s">
        <v>10</v>
      </c>
      <c r="D2407">
        <v>2</v>
      </c>
      <c r="E2407" t="b">
        <v>1</v>
      </c>
      <c r="F2407" s="2">
        <v>7.4515840685734513</v>
      </c>
      <c r="G2407" t="b">
        <v>0</v>
      </c>
      <c r="H2407" t="s">
        <v>31</v>
      </c>
      <c r="I2407" t="s">
        <v>34</v>
      </c>
    </row>
    <row r="2408" spans="1:9" x14ac:dyDescent="0.3">
      <c r="A2408" t="str">
        <f t="shared" si="37"/>
        <v>CASE-2407</v>
      </c>
      <c r="B2408" s="1">
        <v>45768</v>
      </c>
      <c r="C2408" t="s">
        <v>9</v>
      </c>
      <c r="D2408">
        <v>1</v>
      </c>
      <c r="E2408" t="b">
        <v>1</v>
      </c>
      <c r="F2408" s="2">
        <v>7.096432282493744</v>
      </c>
      <c r="G2408" t="b">
        <v>0</v>
      </c>
      <c r="H2408" t="s">
        <v>22</v>
      </c>
      <c r="I2408" t="s">
        <v>34</v>
      </c>
    </row>
    <row r="2409" spans="1:9" x14ac:dyDescent="0.3">
      <c r="A2409" t="str">
        <f t="shared" si="37"/>
        <v>CASE-2408</v>
      </c>
      <c r="B2409" s="1">
        <v>45897</v>
      </c>
      <c r="C2409" t="s">
        <v>12</v>
      </c>
      <c r="D2409">
        <v>3</v>
      </c>
      <c r="E2409" t="b">
        <v>1</v>
      </c>
      <c r="F2409" s="2">
        <v>7.9640782853867949</v>
      </c>
      <c r="G2409" t="b">
        <v>0</v>
      </c>
      <c r="H2409" t="s">
        <v>27</v>
      </c>
      <c r="I2409" t="s">
        <v>34</v>
      </c>
    </row>
    <row r="2410" spans="1:9" x14ac:dyDescent="0.3">
      <c r="A2410" t="str">
        <f t="shared" si="37"/>
        <v>CASE-2409</v>
      </c>
      <c r="B2410" s="1">
        <v>45791</v>
      </c>
      <c r="C2410" t="s">
        <v>9</v>
      </c>
      <c r="D2410">
        <v>4</v>
      </c>
      <c r="E2410" t="b">
        <v>1</v>
      </c>
      <c r="F2410" s="2">
        <v>4.7708649237798166</v>
      </c>
      <c r="G2410" t="b">
        <v>0</v>
      </c>
      <c r="H2410" t="s">
        <v>21</v>
      </c>
      <c r="I2410" t="s">
        <v>34</v>
      </c>
    </row>
    <row r="2411" spans="1:9" x14ac:dyDescent="0.3">
      <c r="A2411" t="str">
        <f t="shared" si="37"/>
        <v>CASE-2410</v>
      </c>
      <c r="B2411" s="1">
        <v>45608</v>
      </c>
      <c r="C2411" t="s">
        <v>10</v>
      </c>
      <c r="D2411">
        <v>5</v>
      </c>
      <c r="E2411" t="b">
        <v>0</v>
      </c>
      <c r="F2411" s="2">
        <v>11.80404171727405</v>
      </c>
      <c r="G2411" t="b">
        <v>0</v>
      </c>
      <c r="H2411" t="s">
        <v>30</v>
      </c>
      <c r="I2411" t="s">
        <v>33</v>
      </c>
    </row>
    <row r="2412" spans="1:9" x14ac:dyDescent="0.3">
      <c r="A2412" t="str">
        <f t="shared" si="37"/>
        <v>CASE-2411</v>
      </c>
      <c r="B2412" s="1">
        <v>45916</v>
      </c>
      <c r="C2412" t="s">
        <v>12</v>
      </c>
      <c r="D2412">
        <v>3</v>
      </c>
      <c r="E2412" t="b">
        <v>1</v>
      </c>
      <c r="F2412" s="2">
        <v>4.7817411336808657</v>
      </c>
      <c r="G2412" t="b">
        <v>0</v>
      </c>
      <c r="H2412" t="s">
        <v>26</v>
      </c>
      <c r="I2412" t="s">
        <v>34</v>
      </c>
    </row>
    <row r="2413" spans="1:9" x14ac:dyDescent="0.3">
      <c r="A2413" t="str">
        <f t="shared" si="37"/>
        <v>CASE-2412</v>
      </c>
      <c r="B2413" s="1">
        <v>46090</v>
      </c>
      <c r="C2413" t="s">
        <v>11</v>
      </c>
      <c r="D2413">
        <v>4</v>
      </c>
      <c r="E2413" t="b">
        <v>1</v>
      </c>
      <c r="F2413" s="2">
        <v>4.1722859820104592</v>
      </c>
      <c r="G2413" t="b">
        <v>0</v>
      </c>
      <c r="H2413" t="s">
        <v>25</v>
      </c>
      <c r="I2413" t="s">
        <v>34</v>
      </c>
    </row>
    <row r="2414" spans="1:9" x14ac:dyDescent="0.3">
      <c r="A2414" t="str">
        <f t="shared" si="37"/>
        <v>CASE-2413</v>
      </c>
      <c r="B2414" s="1">
        <v>45602</v>
      </c>
      <c r="C2414" t="s">
        <v>11</v>
      </c>
      <c r="D2414">
        <v>3</v>
      </c>
      <c r="E2414" t="b">
        <v>0</v>
      </c>
      <c r="F2414" s="2">
        <v>33.070181446564675</v>
      </c>
      <c r="G2414" t="b">
        <v>0</v>
      </c>
      <c r="H2414" t="s">
        <v>23</v>
      </c>
      <c r="I2414" t="s">
        <v>33</v>
      </c>
    </row>
    <row r="2415" spans="1:9" x14ac:dyDescent="0.3">
      <c r="A2415" t="str">
        <f t="shared" si="37"/>
        <v>CASE-2414</v>
      </c>
      <c r="B2415" s="1">
        <v>46145</v>
      </c>
      <c r="C2415" t="s">
        <v>9</v>
      </c>
      <c r="D2415">
        <v>4</v>
      </c>
      <c r="E2415" t="b">
        <v>1</v>
      </c>
      <c r="F2415" s="2">
        <v>3.9789196529263502</v>
      </c>
      <c r="G2415" t="b">
        <v>0</v>
      </c>
      <c r="H2415" t="s">
        <v>32</v>
      </c>
      <c r="I2415" t="s">
        <v>34</v>
      </c>
    </row>
    <row r="2416" spans="1:9" x14ac:dyDescent="0.3">
      <c r="A2416" t="str">
        <f t="shared" si="37"/>
        <v>CASE-2415</v>
      </c>
      <c r="B2416" s="1">
        <v>45850</v>
      </c>
      <c r="C2416" t="s">
        <v>11</v>
      </c>
      <c r="D2416">
        <v>1</v>
      </c>
      <c r="E2416" t="b">
        <v>1</v>
      </c>
      <c r="F2416" s="2">
        <v>30.265717246675642</v>
      </c>
      <c r="G2416" t="b">
        <v>0</v>
      </c>
      <c r="H2416" t="s">
        <v>14</v>
      </c>
      <c r="I2416" t="s">
        <v>33</v>
      </c>
    </row>
    <row r="2417" spans="1:9" x14ac:dyDescent="0.3">
      <c r="A2417" t="str">
        <f t="shared" si="37"/>
        <v>CASE-2416</v>
      </c>
      <c r="B2417" s="1">
        <v>45980</v>
      </c>
      <c r="C2417" t="s">
        <v>10</v>
      </c>
      <c r="D2417">
        <v>2</v>
      </c>
      <c r="E2417" t="b">
        <v>1</v>
      </c>
      <c r="F2417" s="2">
        <v>2.7200127983869153</v>
      </c>
      <c r="G2417" t="b">
        <v>0</v>
      </c>
      <c r="H2417" t="s">
        <v>13</v>
      </c>
      <c r="I2417" t="s">
        <v>34</v>
      </c>
    </row>
    <row r="2418" spans="1:9" x14ac:dyDescent="0.3">
      <c r="A2418" t="str">
        <f t="shared" si="37"/>
        <v>CASE-2417</v>
      </c>
      <c r="B2418" s="1">
        <v>46073</v>
      </c>
      <c r="C2418" t="s">
        <v>9</v>
      </c>
      <c r="D2418">
        <v>3</v>
      </c>
      <c r="E2418" t="b">
        <v>1</v>
      </c>
      <c r="F2418" s="2">
        <v>3.8848449579578332</v>
      </c>
      <c r="G2418" t="b">
        <v>0</v>
      </c>
      <c r="H2418" t="s">
        <v>14</v>
      </c>
      <c r="I2418" t="s">
        <v>34</v>
      </c>
    </row>
    <row r="2419" spans="1:9" x14ac:dyDescent="0.3">
      <c r="A2419" t="str">
        <f t="shared" si="37"/>
        <v>CASE-2418</v>
      </c>
      <c r="B2419" s="1">
        <v>45514</v>
      </c>
      <c r="C2419" t="s">
        <v>11</v>
      </c>
      <c r="D2419">
        <v>5</v>
      </c>
      <c r="E2419" t="b">
        <v>0</v>
      </c>
      <c r="F2419" s="2">
        <v>13.790005410731174</v>
      </c>
      <c r="G2419" t="b">
        <v>0</v>
      </c>
      <c r="H2419" t="s">
        <v>20</v>
      </c>
      <c r="I2419" t="s">
        <v>33</v>
      </c>
    </row>
    <row r="2420" spans="1:9" x14ac:dyDescent="0.3">
      <c r="A2420" t="str">
        <f t="shared" si="37"/>
        <v>CASE-2419</v>
      </c>
      <c r="B2420" s="1">
        <v>46124</v>
      </c>
      <c r="C2420" t="s">
        <v>11</v>
      </c>
      <c r="D2420">
        <v>4</v>
      </c>
      <c r="E2420" t="b">
        <v>1</v>
      </c>
      <c r="F2420" s="2">
        <v>7.7669790016468188</v>
      </c>
      <c r="G2420" t="b">
        <v>0</v>
      </c>
      <c r="H2420" t="s">
        <v>15</v>
      </c>
      <c r="I2420" t="s">
        <v>34</v>
      </c>
    </row>
    <row r="2421" spans="1:9" x14ac:dyDescent="0.3">
      <c r="A2421" t="str">
        <f t="shared" si="37"/>
        <v>CASE-2420</v>
      </c>
      <c r="B2421" s="1">
        <v>45713</v>
      </c>
      <c r="C2421" t="s">
        <v>12</v>
      </c>
      <c r="D2421">
        <v>1</v>
      </c>
      <c r="E2421" t="b">
        <v>0</v>
      </c>
      <c r="F2421" s="2">
        <v>27.728835158845136</v>
      </c>
      <c r="G2421" t="b">
        <v>0</v>
      </c>
      <c r="H2421" t="s">
        <v>20</v>
      </c>
      <c r="I2421" t="s">
        <v>33</v>
      </c>
    </row>
    <row r="2422" spans="1:9" x14ac:dyDescent="0.3">
      <c r="A2422" t="str">
        <f t="shared" si="37"/>
        <v>CASE-2421</v>
      </c>
      <c r="B2422" s="1">
        <v>46146</v>
      </c>
      <c r="C2422" t="s">
        <v>10</v>
      </c>
      <c r="D2422">
        <v>3</v>
      </c>
      <c r="E2422" t="b">
        <v>1</v>
      </c>
      <c r="F2422" s="2">
        <v>2.5341154191918296</v>
      </c>
      <c r="G2422" t="b">
        <v>0</v>
      </c>
      <c r="H2422" t="s">
        <v>15</v>
      </c>
      <c r="I2422" t="s">
        <v>34</v>
      </c>
    </row>
    <row r="2423" spans="1:9" x14ac:dyDescent="0.3">
      <c r="A2423" t="str">
        <f t="shared" si="37"/>
        <v>CASE-2422</v>
      </c>
      <c r="B2423" s="1">
        <v>45955</v>
      </c>
      <c r="C2423" t="s">
        <v>10</v>
      </c>
      <c r="D2423">
        <v>1</v>
      </c>
      <c r="E2423" t="b">
        <v>1</v>
      </c>
      <c r="F2423" s="2">
        <v>25.278564951512472</v>
      </c>
      <c r="G2423" t="b">
        <v>0</v>
      </c>
      <c r="H2423" t="s">
        <v>15</v>
      </c>
      <c r="I2423" t="s">
        <v>33</v>
      </c>
    </row>
    <row r="2424" spans="1:9" x14ac:dyDescent="0.3">
      <c r="A2424" t="str">
        <f t="shared" si="37"/>
        <v>CASE-2423</v>
      </c>
      <c r="B2424" s="1">
        <v>46129</v>
      </c>
      <c r="C2424" t="s">
        <v>9</v>
      </c>
      <c r="D2424">
        <v>2</v>
      </c>
      <c r="E2424" t="b">
        <v>1</v>
      </c>
      <c r="F2424" s="2">
        <v>3.0068907186503466</v>
      </c>
      <c r="G2424" t="b">
        <v>0</v>
      </c>
      <c r="H2424" t="s">
        <v>24</v>
      </c>
      <c r="I2424" t="s">
        <v>34</v>
      </c>
    </row>
    <row r="2425" spans="1:9" x14ac:dyDescent="0.3">
      <c r="A2425" t="str">
        <f t="shared" si="37"/>
        <v>CASE-2424</v>
      </c>
      <c r="B2425" s="1">
        <v>45722</v>
      </c>
      <c r="C2425" t="s">
        <v>10</v>
      </c>
      <c r="D2425">
        <v>4</v>
      </c>
      <c r="E2425" t="b">
        <v>1</v>
      </c>
      <c r="F2425" s="2">
        <v>6.0795022343765757</v>
      </c>
      <c r="G2425" t="b">
        <v>0</v>
      </c>
      <c r="H2425" t="s">
        <v>16</v>
      </c>
      <c r="I2425" t="s">
        <v>34</v>
      </c>
    </row>
    <row r="2426" spans="1:9" x14ac:dyDescent="0.3">
      <c r="A2426" t="str">
        <f t="shared" si="37"/>
        <v>CASE-2425</v>
      </c>
      <c r="B2426" s="1">
        <v>45866</v>
      </c>
      <c r="C2426" t="s">
        <v>10</v>
      </c>
      <c r="D2426">
        <v>3</v>
      </c>
      <c r="E2426" t="b">
        <v>1</v>
      </c>
      <c r="F2426" s="2">
        <v>4.073245910990992</v>
      </c>
      <c r="G2426" t="b">
        <v>0</v>
      </c>
      <c r="H2426" t="s">
        <v>31</v>
      </c>
      <c r="I2426" t="s">
        <v>34</v>
      </c>
    </row>
    <row r="2427" spans="1:9" x14ac:dyDescent="0.3">
      <c r="A2427" t="str">
        <f t="shared" si="37"/>
        <v>CASE-2426</v>
      </c>
      <c r="B2427" s="1">
        <v>46127</v>
      </c>
      <c r="C2427" t="s">
        <v>10</v>
      </c>
      <c r="D2427">
        <v>3</v>
      </c>
      <c r="E2427" t="b">
        <v>0</v>
      </c>
      <c r="F2427" s="2">
        <v>5.3563674653602691</v>
      </c>
      <c r="G2427" t="b">
        <v>0</v>
      </c>
      <c r="H2427" t="s">
        <v>31</v>
      </c>
      <c r="I2427" t="s">
        <v>34</v>
      </c>
    </row>
    <row r="2428" spans="1:9" x14ac:dyDescent="0.3">
      <c r="A2428" t="str">
        <f t="shared" si="37"/>
        <v>CASE-2427</v>
      </c>
      <c r="B2428" s="1">
        <v>45560</v>
      </c>
      <c r="C2428" t="s">
        <v>12</v>
      </c>
      <c r="D2428">
        <v>2</v>
      </c>
      <c r="E2428" t="b">
        <v>0</v>
      </c>
      <c r="F2428" s="2">
        <v>10.841535092780555</v>
      </c>
      <c r="G2428" t="b">
        <v>0</v>
      </c>
      <c r="H2428" t="s">
        <v>21</v>
      </c>
      <c r="I2428" t="s">
        <v>33</v>
      </c>
    </row>
    <row r="2429" spans="1:9" x14ac:dyDescent="0.3">
      <c r="A2429" t="str">
        <f t="shared" si="37"/>
        <v>CASE-2428</v>
      </c>
      <c r="B2429" s="1">
        <v>45942</v>
      </c>
      <c r="C2429" t="s">
        <v>10</v>
      </c>
      <c r="D2429">
        <v>5</v>
      </c>
      <c r="E2429" t="b">
        <v>1</v>
      </c>
      <c r="F2429" s="2">
        <v>2.8023619650384002</v>
      </c>
      <c r="G2429" t="b">
        <v>0</v>
      </c>
      <c r="H2429" t="s">
        <v>18</v>
      </c>
      <c r="I2429" t="s">
        <v>35</v>
      </c>
    </row>
    <row r="2430" spans="1:9" x14ac:dyDescent="0.3">
      <c r="A2430" t="str">
        <f t="shared" si="37"/>
        <v>CASE-2429</v>
      </c>
      <c r="B2430" s="1">
        <v>45489</v>
      </c>
      <c r="C2430" t="s">
        <v>10</v>
      </c>
      <c r="D2430">
        <v>5</v>
      </c>
      <c r="E2430" t="b">
        <v>0</v>
      </c>
      <c r="F2430" s="2">
        <v>18.583097583696976</v>
      </c>
      <c r="G2430" t="b">
        <v>0</v>
      </c>
      <c r="H2430" t="s">
        <v>29</v>
      </c>
      <c r="I2430" t="s">
        <v>33</v>
      </c>
    </row>
    <row r="2431" spans="1:9" x14ac:dyDescent="0.3">
      <c r="A2431" t="str">
        <f t="shared" si="37"/>
        <v>CASE-2430</v>
      </c>
      <c r="B2431" s="1">
        <v>45570</v>
      </c>
      <c r="C2431" t="s">
        <v>12</v>
      </c>
      <c r="D2431">
        <v>4</v>
      </c>
      <c r="E2431" t="b">
        <v>0</v>
      </c>
      <c r="F2431" s="2">
        <v>30.588370220928635</v>
      </c>
      <c r="G2431" t="b">
        <v>0</v>
      </c>
      <c r="H2431" t="s">
        <v>13</v>
      </c>
      <c r="I2431" t="s">
        <v>33</v>
      </c>
    </row>
    <row r="2432" spans="1:9" x14ac:dyDescent="0.3">
      <c r="A2432" t="str">
        <f t="shared" si="37"/>
        <v>CASE-2431</v>
      </c>
      <c r="B2432" s="1">
        <v>46123</v>
      </c>
      <c r="C2432" t="s">
        <v>11</v>
      </c>
      <c r="D2432">
        <v>1</v>
      </c>
      <c r="E2432" t="b">
        <v>1</v>
      </c>
      <c r="F2432" s="2">
        <v>4.0739462395968919</v>
      </c>
      <c r="G2432" t="b">
        <v>0</v>
      </c>
      <c r="H2432" t="s">
        <v>26</v>
      </c>
      <c r="I2432" t="s">
        <v>34</v>
      </c>
    </row>
    <row r="2433" spans="1:9" x14ac:dyDescent="0.3">
      <c r="A2433" t="str">
        <f t="shared" si="37"/>
        <v>CASE-2432</v>
      </c>
      <c r="B2433" s="1">
        <v>45990</v>
      </c>
      <c r="C2433" t="s">
        <v>9</v>
      </c>
      <c r="D2433">
        <v>1</v>
      </c>
      <c r="E2433" t="b">
        <v>0</v>
      </c>
      <c r="F2433" s="2">
        <v>3.9224533994986284</v>
      </c>
      <c r="G2433" t="b">
        <v>0</v>
      </c>
      <c r="H2433" t="s">
        <v>29</v>
      </c>
      <c r="I2433" t="s">
        <v>34</v>
      </c>
    </row>
    <row r="2434" spans="1:9" x14ac:dyDescent="0.3">
      <c r="A2434" t="str">
        <f t="shared" si="37"/>
        <v>CASE-2433</v>
      </c>
      <c r="B2434" s="1">
        <v>46143</v>
      </c>
      <c r="C2434" t="s">
        <v>10</v>
      </c>
      <c r="D2434">
        <v>3</v>
      </c>
      <c r="E2434" t="b">
        <v>1</v>
      </c>
      <c r="F2434" s="2">
        <v>6.529382092478885</v>
      </c>
      <c r="G2434" t="b">
        <v>0</v>
      </c>
      <c r="H2434" t="s">
        <v>31</v>
      </c>
      <c r="I2434" t="s">
        <v>34</v>
      </c>
    </row>
    <row r="2435" spans="1:9" x14ac:dyDescent="0.3">
      <c r="A2435" t="str">
        <f t="shared" ref="A2435:A2498" si="38">"CASE-"&amp;TEXT(ROW()-1,"0000")</f>
        <v>CASE-2434</v>
      </c>
      <c r="B2435" s="1">
        <v>45595</v>
      </c>
      <c r="C2435" t="s">
        <v>9</v>
      </c>
      <c r="D2435">
        <v>1</v>
      </c>
      <c r="E2435" t="b">
        <v>0</v>
      </c>
      <c r="F2435" s="2">
        <v>31.578115125050246</v>
      </c>
      <c r="G2435" t="b">
        <v>0</v>
      </c>
      <c r="H2435" t="s">
        <v>30</v>
      </c>
      <c r="I2435" t="s">
        <v>33</v>
      </c>
    </row>
    <row r="2436" spans="1:9" x14ac:dyDescent="0.3">
      <c r="A2436" t="str">
        <f t="shared" si="38"/>
        <v>CASE-2435</v>
      </c>
      <c r="B2436" s="1">
        <v>46151</v>
      </c>
      <c r="C2436" t="s">
        <v>12</v>
      </c>
      <c r="D2436">
        <v>4</v>
      </c>
      <c r="E2436" t="b">
        <v>1</v>
      </c>
      <c r="F2436" s="2">
        <v>1.8248749267842488</v>
      </c>
      <c r="G2436" t="b">
        <v>0</v>
      </c>
      <c r="H2436" t="s">
        <v>14</v>
      </c>
      <c r="I2436" t="s">
        <v>34</v>
      </c>
    </row>
    <row r="2437" spans="1:9" x14ac:dyDescent="0.3">
      <c r="A2437" t="str">
        <f t="shared" si="38"/>
        <v>CASE-2436</v>
      </c>
      <c r="B2437" s="1">
        <v>45715</v>
      </c>
      <c r="C2437" t="s">
        <v>12</v>
      </c>
      <c r="D2437">
        <v>5</v>
      </c>
      <c r="E2437" t="b">
        <v>1</v>
      </c>
      <c r="F2437" s="2">
        <v>7.3151205901828744</v>
      </c>
      <c r="G2437" t="b">
        <v>0</v>
      </c>
      <c r="H2437" t="s">
        <v>17</v>
      </c>
      <c r="I2437" t="s">
        <v>35</v>
      </c>
    </row>
    <row r="2438" spans="1:9" x14ac:dyDescent="0.3">
      <c r="A2438" t="str">
        <f t="shared" si="38"/>
        <v>CASE-2437</v>
      </c>
      <c r="B2438" s="1">
        <v>45817</v>
      </c>
      <c r="C2438" t="s">
        <v>9</v>
      </c>
      <c r="D2438">
        <v>5</v>
      </c>
      <c r="E2438" t="b">
        <v>1</v>
      </c>
      <c r="F2438" s="2">
        <v>6.8508815181246216</v>
      </c>
      <c r="G2438" t="b">
        <v>0</v>
      </c>
      <c r="H2438" t="s">
        <v>21</v>
      </c>
      <c r="I2438" t="s">
        <v>34</v>
      </c>
    </row>
    <row r="2439" spans="1:9" x14ac:dyDescent="0.3">
      <c r="A2439" t="str">
        <f t="shared" si="38"/>
        <v>CASE-2438</v>
      </c>
      <c r="B2439" s="1">
        <v>45956</v>
      </c>
      <c r="C2439" t="s">
        <v>11</v>
      </c>
      <c r="D2439">
        <v>5</v>
      </c>
      <c r="E2439" t="b">
        <v>0</v>
      </c>
      <c r="F2439" s="2">
        <v>9.1216127788392001</v>
      </c>
      <c r="G2439" t="b">
        <v>1</v>
      </c>
      <c r="H2439" t="s">
        <v>28</v>
      </c>
      <c r="I2439" t="s">
        <v>34</v>
      </c>
    </row>
    <row r="2440" spans="1:9" x14ac:dyDescent="0.3">
      <c r="A2440" t="str">
        <f t="shared" si="38"/>
        <v>CASE-2439</v>
      </c>
      <c r="B2440" s="1">
        <v>45539</v>
      </c>
      <c r="C2440" t="s">
        <v>12</v>
      </c>
      <c r="D2440">
        <v>2</v>
      </c>
      <c r="E2440" t="b">
        <v>0</v>
      </c>
      <c r="F2440" s="2">
        <v>10.402162212710186</v>
      </c>
      <c r="G2440" t="b">
        <v>0</v>
      </c>
      <c r="H2440" t="s">
        <v>29</v>
      </c>
      <c r="I2440" t="s">
        <v>33</v>
      </c>
    </row>
    <row r="2441" spans="1:9" x14ac:dyDescent="0.3">
      <c r="A2441" t="str">
        <f t="shared" si="38"/>
        <v>CASE-2440</v>
      </c>
      <c r="B2441" s="1">
        <v>45676</v>
      </c>
      <c r="C2441" t="s">
        <v>9</v>
      </c>
      <c r="D2441">
        <v>2</v>
      </c>
      <c r="E2441" t="b">
        <v>0</v>
      </c>
      <c r="F2441" s="2">
        <v>30.820137035245462</v>
      </c>
      <c r="G2441" t="b">
        <v>0</v>
      </c>
      <c r="H2441" t="s">
        <v>23</v>
      </c>
      <c r="I2441" t="s">
        <v>33</v>
      </c>
    </row>
    <row r="2442" spans="1:9" x14ac:dyDescent="0.3">
      <c r="A2442" t="str">
        <f t="shared" si="38"/>
        <v>CASE-2441</v>
      </c>
      <c r="B2442" s="1">
        <v>45966</v>
      </c>
      <c r="C2442" t="s">
        <v>12</v>
      </c>
      <c r="D2442">
        <v>3</v>
      </c>
      <c r="E2442" t="b">
        <v>1</v>
      </c>
      <c r="F2442" s="2">
        <v>8.5967938834326496</v>
      </c>
      <c r="G2442" t="b">
        <v>0</v>
      </c>
      <c r="H2442" t="s">
        <v>17</v>
      </c>
      <c r="I2442" t="s">
        <v>34</v>
      </c>
    </row>
    <row r="2443" spans="1:9" x14ac:dyDescent="0.3">
      <c r="A2443" t="str">
        <f t="shared" si="38"/>
        <v>CASE-2442</v>
      </c>
      <c r="B2443" s="1">
        <v>45515</v>
      </c>
      <c r="C2443" t="s">
        <v>11</v>
      </c>
      <c r="D2443">
        <v>2</v>
      </c>
      <c r="E2443" t="b">
        <v>0</v>
      </c>
      <c r="F2443" s="2">
        <v>15.255777510127249</v>
      </c>
      <c r="G2443" t="b">
        <v>0</v>
      </c>
      <c r="H2443" t="s">
        <v>25</v>
      </c>
      <c r="I2443" t="s">
        <v>33</v>
      </c>
    </row>
    <row r="2444" spans="1:9" x14ac:dyDescent="0.3">
      <c r="A2444" t="str">
        <f t="shared" si="38"/>
        <v>CASE-2443</v>
      </c>
      <c r="B2444" s="1">
        <v>46007</v>
      </c>
      <c r="C2444" t="s">
        <v>11</v>
      </c>
      <c r="D2444">
        <v>2</v>
      </c>
      <c r="E2444" t="b">
        <v>0</v>
      </c>
      <c r="F2444" s="2">
        <v>3.3347289451650326</v>
      </c>
      <c r="G2444" t="b">
        <v>0</v>
      </c>
      <c r="H2444" t="s">
        <v>21</v>
      </c>
      <c r="I2444" t="s">
        <v>35</v>
      </c>
    </row>
    <row r="2445" spans="1:9" x14ac:dyDescent="0.3">
      <c r="A2445" t="str">
        <f t="shared" si="38"/>
        <v>CASE-2444</v>
      </c>
      <c r="B2445" s="1">
        <v>45624</v>
      </c>
      <c r="C2445" t="s">
        <v>10</v>
      </c>
      <c r="D2445">
        <v>5</v>
      </c>
      <c r="E2445" t="b">
        <v>0</v>
      </c>
      <c r="F2445" s="2">
        <v>15.989514524553112</v>
      </c>
      <c r="G2445" t="b">
        <v>0</v>
      </c>
      <c r="H2445" t="s">
        <v>18</v>
      </c>
      <c r="I2445" t="s">
        <v>33</v>
      </c>
    </row>
    <row r="2446" spans="1:9" x14ac:dyDescent="0.3">
      <c r="A2446" t="str">
        <f t="shared" si="38"/>
        <v>CASE-2445</v>
      </c>
      <c r="B2446" s="1">
        <v>46027</v>
      </c>
      <c r="C2446" t="s">
        <v>9</v>
      </c>
      <c r="D2446">
        <v>4</v>
      </c>
      <c r="E2446" t="b">
        <v>1</v>
      </c>
      <c r="F2446" s="2">
        <v>5.6066721710205973</v>
      </c>
      <c r="G2446" t="b">
        <v>0</v>
      </c>
      <c r="H2446" t="s">
        <v>19</v>
      </c>
      <c r="I2446" t="s">
        <v>34</v>
      </c>
    </row>
    <row r="2447" spans="1:9" x14ac:dyDescent="0.3">
      <c r="A2447" t="str">
        <f t="shared" si="38"/>
        <v>CASE-2446</v>
      </c>
      <c r="B2447" s="1">
        <v>45532</v>
      </c>
      <c r="C2447" t="s">
        <v>10</v>
      </c>
      <c r="D2447">
        <v>3</v>
      </c>
      <c r="E2447" t="b">
        <v>0</v>
      </c>
      <c r="F2447" s="2">
        <v>15.971872312994401</v>
      </c>
      <c r="G2447" t="b">
        <v>0</v>
      </c>
      <c r="H2447" t="s">
        <v>14</v>
      </c>
      <c r="I2447" t="s">
        <v>33</v>
      </c>
    </row>
    <row r="2448" spans="1:9" x14ac:dyDescent="0.3">
      <c r="A2448" t="str">
        <f t="shared" si="38"/>
        <v>CASE-2447</v>
      </c>
      <c r="B2448" s="1">
        <v>45895</v>
      </c>
      <c r="C2448" t="s">
        <v>10</v>
      </c>
      <c r="D2448">
        <v>3</v>
      </c>
      <c r="E2448" t="b">
        <v>1</v>
      </c>
      <c r="F2448" s="2">
        <v>3.5659216218088012</v>
      </c>
      <c r="G2448" t="b">
        <v>0</v>
      </c>
      <c r="H2448" t="s">
        <v>26</v>
      </c>
      <c r="I2448" t="s">
        <v>34</v>
      </c>
    </row>
    <row r="2449" spans="1:9" x14ac:dyDescent="0.3">
      <c r="A2449" t="str">
        <f t="shared" si="38"/>
        <v>CASE-2448</v>
      </c>
      <c r="B2449" s="1">
        <v>45643</v>
      </c>
      <c r="C2449" t="s">
        <v>11</v>
      </c>
      <c r="D2449">
        <v>2</v>
      </c>
      <c r="E2449" t="b">
        <v>0</v>
      </c>
      <c r="F2449" s="2">
        <v>31.08532572423978</v>
      </c>
      <c r="G2449" t="b">
        <v>0</v>
      </c>
      <c r="H2449" t="s">
        <v>21</v>
      </c>
      <c r="I2449" t="s">
        <v>33</v>
      </c>
    </row>
    <row r="2450" spans="1:9" x14ac:dyDescent="0.3">
      <c r="A2450" t="str">
        <f t="shared" si="38"/>
        <v>CASE-2449</v>
      </c>
      <c r="B2450" s="1">
        <v>45808</v>
      </c>
      <c r="C2450" t="s">
        <v>10</v>
      </c>
      <c r="D2450">
        <v>5</v>
      </c>
      <c r="E2450" t="b">
        <v>1</v>
      </c>
      <c r="F2450" s="2">
        <v>6.6436053870459553</v>
      </c>
      <c r="G2450" t="b">
        <v>0</v>
      </c>
      <c r="H2450" t="s">
        <v>14</v>
      </c>
      <c r="I2450" t="s">
        <v>35</v>
      </c>
    </row>
    <row r="2451" spans="1:9" x14ac:dyDescent="0.3">
      <c r="A2451" t="str">
        <f t="shared" si="38"/>
        <v>CASE-2450</v>
      </c>
      <c r="B2451" s="1">
        <v>46161</v>
      </c>
      <c r="C2451" t="s">
        <v>10</v>
      </c>
      <c r="D2451">
        <v>2</v>
      </c>
      <c r="E2451" t="b">
        <v>1</v>
      </c>
      <c r="F2451" s="2">
        <v>8.2399797344127563</v>
      </c>
      <c r="G2451" t="b">
        <v>0</v>
      </c>
      <c r="H2451" t="s">
        <v>15</v>
      </c>
      <c r="I2451" t="s">
        <v>34</v>
      </c>
    </row>
    <row r="2452" spans="1:9" x14ac:dyDescent="0.3">
      <c r="A2452" t="str">
        <f t="shared" si="38"/>
        <v>CASE-2451</v>
      </c>
      <c r="B2452" s="1">
        <v>45880</v>
      </c>
      <c r="C2452" t="s">
        <v>9</v>
      </c>
      <c r="D2452">
        <v>4</v>
      </c>
      <c r="E2452" t="b">
        <v>1</v>
      </c>
      <c r="F2452" s="2">
        <v>3.7869184866265186</v>
      </c>
      <c r="G2452" t="b">
        <v>0</v>
      </c>
      <c r="H2452" t="s">
        <v>14</v>
      </c>
      <c r="I2452" t="s">
        <v>34</v>
      </c>
    </row>
    <row r="2453" spans="1:9" x14ac:dyDescent="0.3">
      <c r="A2453" t="str">
        <f t="shared" si="38"/>
        <v>CASE-2452</v>
      </c>
      <c r="B2453" s="1">
        <v>46093</v>
      </c>
      <c r="C2453" t="s">
        <v>9</v>
      </c>
      <c r="D2453">
        <v>3</v>
      </c>
      <c r="E2453" t="b">
        <v>1</v>
      </c>
      <c r="F2453" s="2">
        <v>4.1825265384128381</v>
      </c>
      <c r="G2453" t="b">
        <v>0</v>
      </c>
      <c r="H2453" t="s">
        <v>18</v>
      </c>
      <c r="I2453" t="s">
        <v>34</v>
      </c>
    </row>
    <row r="2454" spans="1:9" x14ac:dyDescent="0.3">
      <c r="A2454" t="str">
        <f t="shared" si="38"/>
        <v>CASE-2453</v>
      </c>
      <c r="B2454" s="1">
        <v>45579</v>
      </c>
      <c r="C2454" t="s">
        <v>11</v>
      </c>
      <c r="D2454">
        <v>4</v>
      </c>
      <c r="E2454" t="b">
        <v>0</v>
      </c>
      <c r="F2454" s="2">
        <v>26.539919845354106</v>
      </c>
      <c r="G2454" t="b">
        <v>0</v>
      </c>
      <c r="H2454" t="s">
        <v>32</v>
      </c>
      <c r="I2454" t="s">
        <v>33</v>
      </c>
    </row>
    <row r="2455" spans="1:9" x14ac:dyDescent="0.3">
      <c r="A2455" t="str">
        <f t="shared" si="38"/>
        <v>CASE-2454</v>
      </c>
      <c r="B2455" s="1">
        <v>45577</v>
      </c>
      <c r="C2455" t="s">
        <v>11</v>
      </c>
      <c r="D2455">
        <v>4</v>
      </c>
      <c r="E2455" t="b">
        <v>0</v>
      </c>
      <c r="F2455" s="2">
        <v>35.369608476598664</v>
      </c>
      <c r="G2455" t="b">
        <v>0</v>
      </c>
      <c r="H2455" t="s">
        <v>21</v>
      </c>
      <c r="I2455" t="s">
        <v>33</v>
      </c>
    </row>
    <row r="2456" spans="1:9" x14ac:dyDescent="0.3">
      <c r="A2456" t="str">
        <f t="shared" si="38"/>
        <v>CASE-2455</v>
      </c>
      <c r="B2456" s="1">
        <v>45570</v>
      </c>
      <c r="C2456" t="s">
        <v>9</v>
      </c>
      <c r="D2456">
        <v>5</v>
      </c>
      <c r="E2456" t="b">
        <v>0</v>
      </c>
      <c r="F2456" s="2">
        <v>23.922458333698401</v>
      </c>
      <c r="G2456" t="b">
        <v>0</v>
      </c>
      <c r="H2456" t="s">
        <v>19</v>
      </c>
      <c r="I2456" t="s">
        <v>33</v>
      </c>
    </row>
    <row r="2457" spans="1:9" x14ac:dyDescent="0.3">
      <c r="A2457" t="str">
        <f t="shared" si="38"/>
        <v>CASE-2456</v>
      </c>
      <c r="B2457" s="1">
        <v>45871</v>
      </c>
      <c r="C2457" t="s">
        <v>10</v>
      </c>
      <c r="D2457">
        <v>5</v>
      </c>
      <c r="E2457" t="b">
        <v>1</v>
      </c>
      <c r="F2457" s="2">
        <v>10.933304572440079</v>
      </c>
      <c r="G2457" t="b">
        <v>0</v>
      </c>
      <c r="H2457" t="s">
        <v>15</v>
      </c>
      <c r="I2457" t="s">
        <v>34</v>
      </c>
    </row>
    <row r="2458" spans="1:9" x14ac:dyDescent="0.3">
      <c r="A2458" t="str">
        <f t="shared" si="38"/>
        <v>CASE-2457</v>
      </c>
      <c r="B2458" s="1">
        <v>45614</v>
      </c>
      <c r="C2458" t="s">
        <v>11</v>
      </c>
      <c r="D2458">
        <v>1</v>
      </c>
      <c r="E2458" t="b">
        <v>0</v>
      </c>
      <c r="F2458" s="2">
        <v>44.080804882309074</v>
      </c>
      <c r="G2458" t="b">
        <v>0</v>
      </c>
      <c r="H2458" t="s">
        <v>26</v>
      </c>
      <c r="I2458" t="s">
        <v>33</v>
      </c>
    </row>
    <row r="2459" spans="1:9" x14ac:dyDescent="0.3">
      <c r="A2459" t="str">
        <f t="shared" si="38"/>
        <v>CASE-2458</v>
      </c>
      <c r="B2459" s="1">
        <v>45836</v>
      </c>
      <c r="C2459" t="s">
        <v>11</v>
      </c>
      <c r="D2459">
        <v>1</v>
      </c>
      <c r="E2459" t="b">
        <v>1</v>
      </c>
      <c r="F2459" s="2">
        <v>4.9884456106551749</v>
      </c>
      <c r="G2459" t="b">
        <v>0</v>
      </c>
      <c r="H2459" t="s">
        <v>31</v>
      </c>
      <c r="I2459" t="s">
        <v>34</v>
      </c>
    </row>
    <row r="2460" spans="1:9" x14ac:dyDescent="0.3">
      <c r="A2460" t="str">
        <f t="shared" si="38"/>
        <v>CASE-2459</v>
      </c>
      <c r="B2460" s="1">
        <v>46008</v>
      </c>
      <c r="C2460" t="s">
        <v>9</v>
      </c>
      <c r="D2460">
        <v>5</v>
      </c>
      <c r="E2460" t="b">
        <v>1</v>
      </c>
      <c r="F2460" s="2">
        <v>7.4013042898883388</v>
      </c>
      <c r="G2460" t="b">
        <v>0</v>
      </c>
      <c r="H2460" t="s">
        <v>28</v>
      </c>
      <c r="I2460" t="s">
        <v>34</v>
      </c>
    </row>
    <row r="2461" spans="1:9" x14ac:dyDescent="0.3">
      <c r="A2461" t="str">
        <f t="shared" si="38"/>
        <v>CASE-2460</v>
      </c>
      <c r="B2461" s="1">
        <v>45703</v>
      </c>
      <c r="C2461" t="s">
        <v>12</v>
      </c>
      <c r="D2461">
        <v>3</v>
      </c>
      <c r="E2461" t="b">
        <v>1</v>
      </c>
      <c r="F2461" s="2">
        <v>6.7554765798440375</v>
      </c>
      <c r="G2461" t="b">
        <v>0</v>
      </c>
      <c r="H2461" t="s">
        <v>21</v>
      </c>
      <c r="I2461" t="s">
        <v>34</v>
      </c>
    </row>
    <row r="2462" spans="1:9" x14ac:dyDescent="0.3">
      <c r="A2462" t="str">
        <f t="shared" si="38"/>
        <v>CASE-2461</v>
      </c>
      <c r="B2462" s="1">
        <v>45914</v>
      </c>
      <c r="C2462" t="s">
        <v>12</v>
      </c>
      <c r="D2462">
        <v>3</v>
      </c>
      <c r="E2462" t="b">
        <v>1</v>
      </c>
      <c r="F2462" s="2">
        <v>26.273886723814101</v>
      </c>
      <c r="G2462" t="b">
        <v>0</v>
      </c>
      <c r="H2462" t="s">
        <v>24</v>
      </c>
      <c r="I2462" t="s">
        <v>33</v>
      </c>
    </row>
    <row r="2463" spans="1:9" x14ac:dyDescent="0.3">
      <c r="A2463" t="str">
        <f t="shared" si="38"/>
        <v>CASE-2462</v>
      </c>
      <c r="B2463" s="1">
        <v>45541</v>
      </c>
      <c r="C2463" t="s">
        <v>9</v>
      </c>
      <c r="D2463">
        <v>2</v>
      </c>
      <c r="E2463" t="b">
        <v>0</v>
      </c>
      <c r="F2463" s="2">
        <v>15.169901897374913</v>
      </c>
      <c r="G2463" t="b">
        <v>0</v>
      </c>
      <c r="H2463" t="s">
        <v>14</v>
      </c>
      <c r="I2463" t="s">
        <v>33</v>
      </c>
    </row>
    <row r="2464" spans="1:9" x14ac:dyDescent="0.3">
      <c r="A2464" t="str">
        <f t="shared" si="38"/>
        <v>CASE-2463</v>
      </c>
      <c r="B2464" s="1">
        <v>46115</v>
      </c>
      <c r="C2464" t="s">
        <v>9</v>
      </c>
      <c r="D2464">
        <v>3</v>
      </c>
      <c r="E2464" t="b">
        <v>1</v>
      </c>
      <c r="F2464" s="2">
        <v>9.8005272419292275</v>
      </c>
      <c r="G2464" t="b">
        <v>0</v>
      </c>
      <c r="H2464" t="s">
        <v>15</v>
      </c>
      <c r="I2464" t="s">
        <v>34</v>
      </c>
    </row>
    <row r="2465" spans="1:9" x14ac:dyDescent="0.3">
      <c r="A2465" t="str">
        <f t="shared" si="38"/>
        <v>CASE-2464</v>
      </c>
      <c r="B2465" s="1">
        <v>45569</v>
      </c>
      <c r="C2465" t="s">
        <v>11</v>
      </c>
      <c r="D2465">
        <v>4</v>
      </c>
      <c r="E2465" t="b">
        <v>0</v>
      </c>
      <c r="F2465" s="2">
        <v>36.437139582443045</v>
      </c>
      <c r="G2465" t="b">
        <v>0</v>
      </c>
      <c r="H2465" t="s">
        <v>18</v>
      </c>
      <c r="I2465" t="s">
        <v>33</v>
      </c>
    </row>
    <row r="2466" spans="1:9" x14ac:dyDescent="0.3">
      <c r="A2466" t="str">
        <f t="shared" si="38"/>
        <v>CASE-2465</v>
      </c>
      <c r="B2466" s="1">
        <v>45889</v>
      </c>
      <c r="C2466" t="s">
        <v>9</v>
      </c>
      <c r="D2466">
        <v>3</v>
      </c>
      <c r="E2466" t="b">
        <v>1</v>
      </c>
      <c r="F2466" s="2">
        <v>6.6990235693095208</v>
      </c>
      <c r="G2466" t="b">
        <v>0</v>
      </c>
      <c r="H2466" t="s">
        <v>31</v>
      </c>
      <c r="I2466" t="s">
        <v>34</v>
      </c>
    </row>
    <row r="2467" spans="1:9" x14ac:dyDescent="0.3">
      <c r="A2467" t="str">
        <f t="shared" si="38"/>
        <v>CASE-2466</v>
      </c>
      <c r="B2467" s="1">
        <v>46034</v>
      </c>
      <c r="C2467" t="s">
        <v>11</v>
      </c>
      <c r="D2467">
        <v>4</v>
      </c>
      <c r="E2467" t="b">
        <v>1</v>
      </c>
      <c r="F2467" s="2">
        <v>4.3697924013448555</v>
      </c>
      <c r="G2467" t="b">
        <v>0</v>
      </c>
      <c r="H2467" t="s">
        <v>31</v>
      </c>
      <c r="I2467" t="s">
        <v>34</v>
      </c>
    </row>
    <row r="2468" spans="1:9" x14ac:dyDescent="0.3">
      <c r="A2468" t="str">
        <f t="shared" si="38"/>
        <v>CASE-2467</v>
      </c>
      <c r="B2468" s="1">
        <v>45668</v>
      </c>
      <c r="C2468" t="s">
        <v>12</v>
      </c>
      <c r="D2468">
        <v>4</v>
      </c>
      <c r="E2468" t="b">
        <v>1</v>
      </c>
      <c r="F2468" s="2">
        <v>3.4185258568497914</v>
      </c>
      <c r="G2468" t="b">
        <v>0</v>
      </c>
      <c r="H2468" t="s">
        <v>15</v>
      </c>
      <c r="I2468" t="s">
        <v>34</v>
      </c>
    </row>
    <row r="2469" spans="1:9" x14ac:dyDescent="0.3">
      <c r="A2469" t="str">
        <f t="shared" si="38"/>
        <v>CASE-2468</v>
      </c>
      <c r="B2469" s="1">
        <v>45654</v>
      </c>
      <c r="C2469" t="s">
        <v>12</v>
      </c>
      <c r="D2469">
        <v>4</v>
      </c>
      <c r="E2469" t="b">
        <v>0</v>
      </c>
      <c r="F2469" s="2">
        <v>7.6284917290313139</v>
      </c>
      <c r="G2469" t="b">
        <v>0</v>
      </c>
      <c r="H2469" t="s">
        <v>26</v>
      </c>
      <c r="I2469" t="s">
        <v>33</v>
      </c>
    </row>
    <row r="2470" spans="1:9" x14ac:dyDescent="0.3">
      <c r="A2470" t="str">
        <f t="shared" si="38"/>
        <v>CASE-2469</v>
      </c>
      <c r="B2470" s="1">
        <v>46129</v>
      </c>
      <c r="C2470" t="s">
        <v>11</v>
      </c>
      <c r="D2470">
        <v>2</v>
      </c>
      <c r="E2470" t="b">
        <v>0</v>
      </c>
      <c r="F2470" s="2">
        <v>5.3119586200352522</v>
      </c>
      <c r="G2470" t="b">
        <v>0</v>
      </c>
      <c r="H2470" t="s">
        <v>24</v>
      </c>
      <c r="I2470" t="s">
        <v>34</v>
      </c>
    </row>
    <row r="2471" spans="1:9" x14ac:dyDescent="0.3">
      <c r="A2471" t="str">
        <f t="shared" si="38"/>
        <v>CASE-2470</v>
      </c>
      <c r="B2471" s="1">
        <v>45691</v>
      </c>
      <c r="C2471" t="s">
        <v>12</v>
      </c>
      <c r="D2471">
        <v>2</v>
      </c>
      <c r="E2471" t="b">
        <v>0</v>
      </c>
      <c r="F2471" s="2">
        <v>7.4737126174463686</v>
      </c>
      <c r="G2471" t="b">
        <v>0</v>
      </c>
      <c r="H2471" t="s">
        <v>21</v>
      </c>
      <c r="I2471" t="s">
        <v>34</v>
      </c>
    </row>
    <row r="2472" spans="1:9" x14ac:dyDescent="0.3">
      <c r="A2472" t="str">
        <f t="shared" si="38"/>
        <v>CASE-2471</v>
      </c>
      <c r="B2472" s="1">
        <v>45505</v>
      </c>
      <c r="C2472" t="s">
        <v>12</v>
      </c>
      <c r="D2472">
        <v>3</v>
      </c>
      <c r="E2472" t="b">
        <v>0</v>
      </c>
      <c r="F2472" s="2">
        <v>13.157774310801303</v>
      </c>
      <c r="G2472" t="b">
        <v>0</v>
      </c>
      <c r="H2472" t="s">
        <v>15</v>
      </c>
      <c r="I2472" t="s">
        <v>33</v>
      </c>
    </row>
    <row r="2473" spans="1:9" x14ac:dyDescent="0.3">
      <c r="A2473" t="str">
        <f t="shared" si="38"/>
        <v>CASE-2472</v>
      </c>
      <c r="B2473" s="1">
        <v>46129</v>
      </c>
      <c r="C2473" t="s">
        <v>12</v>
      </c>
      <c r="D2473">
        <v>1</v>
      </c>
      <c r="E2473" t="b">
        <v>1</v>
      </c>
      <c r="F2473" s="2">
        <v>5.6862986872258237</v>
      </c>
      <c r="G2473" t="b">
        <v>0</v>
      </c>
      <c r="H2473" t="s">
        <v>22</v>
      </c>
      <c r="I2473" t="s">
        <v>34</v>
      </c>
    </row>
    <row r="2474" spans="1:9" x14ac:dyDescent="0.3">
      <c r="A2474" t="str">
        <f t="shared" si="38"/>
        <v>CASE-2473</v>
      </c>
      <c r="B2474" s="1">
        <v>45910</v>
      </c>
      <c r="C2474" t="s">
        <v>12</v>
      </c>
      <c r="D2474">
        <v>2</v>
      </c>
      <c r="E2474" t="b">
        <v>0</v>
      </c>
      <c r="F2474" s="2">
        <v>5.4903147452637189</v>
      </c>
      <c r="G2474" t="b">
        <v>0</v>
      </c>
      <c r="H2474" t="s">
        <v>23</v>
      </c>
      <c r="I2474" t="s">
        <v>34</v>
      </c>
    </row>
    <row r="2475" spans="1:9" x14ac:dyDescent="0.3">
      <c r="A2475" t="str">
        <f t="shared" si="38"/>
        <v>CASE-2474</v>
      </c>
      <c r="B2475" s="1">
        <v>45823</v>
      </c>
      <c r="C2475" t="s">
        <v>9</v>
      </c>
      <c r="D2475">
        <v>1</v>
      </c>
      <c r="E2475" t="b">
        <v>1</v>
      </c>
      <c r="F2475" s="2">
        <v>6.7991853581966026</v>
      </c>
      <c r="G2475" t="b">
        <v>0</v>
      </c>
      <c r="H2475" t="s">
        <v>27</v>
      </c>
      <c r="I2475" t="s">
        <v>34</v>
      </c>
    </row>
    <row r="2476" spans="1:9" x14ac:dyDescent="0.3">
      <c r="A2476" t="str">
        <f t="shared" si="38"/>
        <v>CASE-2475</v>
      </c>
      <c r="B2476" s="1">
        <v>45735</v>
      </c>
      <c r="C2476" t="s">
        <v>9</v>
      </c>
      <c r="D2476">
        <v>1</v>
      </c>
      <c r="E2476" t="b">
        <v>1</v>
      </c>
      <c r="F2476" s="2">
        <v>7.8119815458237145</v>
      </c>
      <c r="G2476" t="b">
        <v>0</v>
      </c>
      <c r="H2476" t="s">
        <v>13</v>
      </c>
      <c r="I2476" t="s">
        <v>34</v>
      </c>
    </row>
    <row r="2477" spans="1:9" x14ac:dyDescent="0.3">
      <c r="A2477" t="str">
        <f t="shared" si="38"/>
        <v>CASE-2476</v>
      </c>
      <c r="B2477" s="1">
        <v>46055</v>
      </c>
      <c r="C2477" t="s">
        <v>9</v>
      </c>
      <c r="D2477">
        <v>2</v>
      </c>
      <c r="E2477" t="b">
        <v>1</v>
      </c>
      <c r="F2477" s="2">
        <v>6.7203005149836379</v>
      </c>
      <c r="G2477" t="b">
        <v>0</v>
      </c>
      <c r="H2477" t="s">
        <v>24</v>
      </c>
      <c r="I2477" t="s">
        <v>35</v>
      </c>
    </row>
    <row r="2478" spans="1:9" x14ac:dyDescent="0.3">
      <c r="A2478" t="str">
        <f t="shared" si="38"/>
        <v>CASE-2477</v>
      </c>
      <c r="B2478" s="1">
        <v>45549</v>
      </c>
      <c r="C2478" t="s">
        <v>9</v>
      </c>
      <c r="D2478">
        <v>1</v>
      </c>
      <c r="E2478" t="b">
        <v>0</v>
      </c>
      <c r="F2478" s="2">
        <v>29.485871888741382</v>
      </c>
      <c r="G2478" t="b">
        <v>0</v>
      </c>
      <c r="H2478" t="s">
        <v>16</v>
      </c>
      <c r="I2478" t="s">
        <v>33</v>
      </c>
    </row>
    <row r="2479" spans="1:9" x14ac:dyDescent="0.3">
      <c r="A2479" t="str">
        <f t="shared" si="38"/>
        <v>CASE-2478</v>
      </c>
      <c r="B2479" s="1">
        <v>45784</v>
      </c>
      <c r="C2479" t="s">
        <v>9</v>
      </c>
      <c r="D2479">
        <v>4</v>
      </c>
      <c r="E2479" t="b">
        <v>1</v>
      </c>
      <c r="F2479" s="2">
        <v>9.0603717051585413</v>
      </c>
      <c r="G2479" t="b">
        <v>0</v>
      </c>
      <c r="H2479" t="s">
        <v>27</v>
      </c>
      <c r="I2479" t="s">
        <v>34</v>
      </c>
    </row>
    <row r="2480" spans="1:9" x14ac:dyDescent="0.3">
      <c r="A2480" t="str">
        <f t="shared" si="38"/>
        <v>CASE-2479</v>
      </c>
      <c r="B2480" s="1">
        <v>45563</v>
      </c>
      <c r="C2480" t="s">
        <v>12</v>
      </c>
      <c r="D2480">
        <v>2</v>
      </c>
      <c r="E2480" t="b">
        <v>0</v>
      </c>
      <c r="F2480" s="2">
        <v>29.989265136080721</v>
      </c>
      <c r="G2480" t="b">
        <v>0</v>
      </c>
      <c r="H2480" t="s">
        <v>15</v>
      </c>
      <c r="I2480" t="s">
        <v>33</v>
      </c>
    </row>
    <row r="2481" spans="1:9" x14ac:dyDescent="0.3">
      <c r="A2481" t="str">
        <f t="shared" si="38"/>
        <v>CASE-2480</v>
      </c>
      <c r="B2481" s="1">
        <v>45681</v>
      </c>
      <c r="C2481" t="s">
        <v>11</v>
      </c>
      <c r="D2481">
        <v>1</v>
      </c>
      <c r="E2481" t="b">
        <v>1</v>
      </c>
      <c r="F2481" s="2">
        <v>2.8588206640360201</v>
      </c>
      <c r="G2481" t="b">
        <v>0</v>
      </c>
      <c r="H2481" t="s">
        <v>14</v>
      </c>
      <c r="I2481" t="s">
        <v>34</v>
      </c>
    </row>
    <row r="2482" spans="1:9" x14ac:dyDescent="0.3">
      <c r="A2482" t="str">
        <f t="shared" si="38"/>
        <v>CASE-2481</v>
      </c>
      <c r="B2482" s="1">
        <v>46059</v>
      </c>
      <c r="C2482" t="s">
        <v>9</v>
      </c>
      <c r="D2482">
        <v>4</v>
      </c>
      <c r="E2482" t="b">
        <v>1</v>
      </c>
      <c r="F2482" s="2">
        <v>7.0758216765635353</v>
      </c>
      <c r="G2482" t="b">
        <v>0</v>
      </c>
      <c r="H2482" t="s">
        <v>23</v>
      </c>
      <c r="I2482" t="s">
        <v>34</v>
      </c>
    </row>
    <row r="2483" spans="1:9" x14ac:dyDescent="0.3">
      <c r="A2483" t="str">
        <f t="shared" si="38"/>
        <v>CASE-2482</v>
      </c>
      <c r="B2483" s="1">
        <v>45895</v>
      </c>
      <c r="C2483" t="s">
        <v>11</v>
      </c>
      <c r="D2483">
        <v>1</v>
      </c>
      <c r="E2483" t="b">
        <v>1</v>
      </c>
      <c r="F2483" s="2">
        <v>3.986527781541223</v>
      </c>
      <c r="G2483" t="b">
        <v>0</v>
      </c>
      <c r="H2483" t="s">
        <v>19</v>
      </c>
      <c r="I2483" t="s">
        <v>34</v>
      </c>
    </row>
    <row r="2484" spans="1:9" x14ac:dyDescent="0.3">
      <c r="A2484" t="str">
        <f t="shared" si="38"/>
        <v>CASE-2483</v>
      </c>
      <c r="B2484" s="1">
        <v>46133</v>
      </c>
      <c r="C2484" t="s">
        <v>9</v>
      </c>
      <c r="D2484">
        <v>3</v>
      </c>
      <c r="E2484" t="b">
        <v>1</v>
      </c>
      <c r="F2484" s="2">
        <v>6.0523287472041316</v>
      </c>
      <c r="G2484" t="b">
        <v>0</v>
      </c>
      <c r="H2484" t="s">
        <v>27</v>
      </c>
      <c r="I2484" t="s">
        <v>34</v>
      </c>
    </row>
    <row r="2485" spans="1:9" x14ac:dyDescent="0.3">
      <c r="A2485" t="str">
        <f t="shared" si="38"/>
        <v>CASE-2484</v>
      </c>
      <c r="B2485" s="1">
        <v>46032</v>
      </c>
      <c r="C2485" t="s">
        <v>12</v>
      </c>
      <c r="D2485">
        <v>3</v>
      </c>
      <c r="E2485" t="b">
        <v>1</v>
      </c>
      <c r="F2485" s="2">
        <v>4.755587518343928</v>
      </c>
      <c r="G2485" t="b">
        <v>0</v>
      </c>
      <c r="H2485" t="s">
        <v>15</v>
      </c>
      <c r="I2485" t="s">
        <v>34</v>
      </c>
    </row>
    <row r="2486" spans="1:9" x14ac:dyDescent="0.3">
      <c r="A2486" t="str">
        <f t="shared" si="38"/>
        <v>CASE-2485</v>
      </c>
      <c r="B2486" s="1">
        <v>45863</v>
      </c>
      <c r="C2486" t="s">
        <v>12</v>
      </c>
      <c r="D2486">
        <v>1</v>
      </c>
      <c r="E2486" t="b">
        <v>1</v>
      </c>
      <c r="F2486" s="2">
        <v>7.0337045173170551</v>
      </c>
      <c r="G2486" t="b">
        <v>0</v>
      </c>
      <c r="H2486" t="s">
        <v>17</v>
      </c>
      <c r="I2486" t="s">
        <v>34</v>
      </c>
    </row>
    <row r="2487" spans="1:9" x14ac:dyDescent="0.3">
      <c r="A2487" t="str">
        <f t="shared" si="38"/>
        <v>CASE-2486</v>
      </c>
      <c r="B2487" s="1">
        <v>45502</v>
      </c>
      <c r="C2487" t="s">
        <v>12</v>
      </c>
      <c r="D2487">
        <v>4</v>
      </c>
      <c r="E2487" t="b">
        <v>0</v>
      </c>
      <c r="F2487" s="2">
        <v>30.84114777740918</v>
      </c>
      <c r="G2487" t="b">
        <v>0</v>
      </c>
      <c r="H2487" t="s">
        <v>14</v>
      </c>
      <c r="I2487" t="s">
        <v>33</v>
      </c>
    </row>
    <row r="2488" spans="1:9" x14ac:dyDescent="0.3">
      <c r="A2488" t="str">
        <f t="shared" si="38"/>
        <v>CASE-2487</v>
      </c>
      <c r="B2488" s="1">
        <v>45714</v>
      </c>
      <c r="C2488" t="s">
        <v>12</v>
      </c>
      <c r="D2488">
        <v>2</v>
      </c>
      <c r="E2488" t="b">
        <v>1</v>
      </c>
      <c r="F2488" s="2">
        <v>24.533061270653274</v>
      </c>
      <c r="G2488" t="b">
        <v>0</v>
      </c>
      <c r="H2488" t="s">
        <v>27</v>
      </c>
      <c r="I2488" t="s">
        <v>33</v>
      </c>
    </row>
    <row r="2489" spans="1:9" x14ac:dyDescent="0.3">
      <c r="A2489" t="str">
        <f t="shared" si="38"/>
        <v>CASE-2488</v>
      </c>
      <c r="B2489" s="1">
        <v>45998</v>
      </c>
      <c r="C2489" t="s">
        <v>12</v>
      </c>
      <c r="D2489">
        <v>5</v>
      </c>
      <c r="E2489" t="b">
        <v>1</v>
      </c>
      <c r="F2489" s="2">
        <v>21.543619793049679</v>
      </c>
      <c r="G2489" t="b">
        <v>0</v>
      </c>
      <c r="H2489" t="s">
        <v>22</v>
      </c>
      <c r="I2489" t="s">
        <v>33</v>
      </c>
    </row>
    <row r="2490" spans="1:9" x14ac:dyDescent="0.3">
      <c r="A2490" t="str">
        <f t="shared" si="38"/>
        <v>CASE-2489</v>
      </c>
      <c r="B2490" s="1">
        <v>45938</v>
      </c>
      <c r="C2490" t="s">
        <v>12</v>
      </c>
      <c r="D2490">
        <v>2</v>
      </c>
      <c r="E2490" t="b">
        <v>1</v>
      </c>
      <c r="F2490" s="2">
        <v>4.1696298445624258</v>
      </c>
      <c r="G2490" t="b">
        <v>0</v>
      </c>
      <c r="H2490" t="s">
        <v>16</v>
      </c>
      <c r="I2490" t="s">
        <v>34</v>
      </c>
    </row>
    <row r="2491" spans="1:9" x14ac:dyDescent="0.3">
      <c r="A2491" t="str">
        <f t="shared" si="38"/>
        <v>CASE-2490</v>
      </c>
      <c r="B2491" s="1">
        <v>46101</v>
      </c>
      <c r="C2491" t="s">
        <v>9</v>
      </c>
      <c r="D2491">
        <v>2</v>
      </c>
      <c r="E2491" t="b">
        <v>1</v>
      </c>
      <c r="F2491" s="2">
        <v>19.925088909221746</v>
      </c>
      <c r="G2491" t="b">
        <v>0</v>
      </c>
      <c r="H2491" t="s">
        <v>24</v>
      </c>
      <c r="I2491" t="s">
        <v>33</v>
      </c>
    </row>
    <row r="2492" spans="1:9" x14ac:dyDescent="0.3">
      <c r="A2492" t="str">
        <f t="shared" si="38"/>
        <v>CASE-2491</v>
      </c>
      <c r="B2492" s="1">
        <v>46003</v>
      </c>
      <c r="C2492" t="s">
        <v>10</v>
      </c>
      <c r="D2492">
        <v>5</v>
      </c>
      <c r="E2492" t="b">
        <v>1</v>
      </c>
      <c r="F2492" s="2">
        <v>20.898731142722735</v>
      </c>
      <c r="G2492" t="b">
        <v>0</v>
      </c>
      <c r="H2492" t="s">
        <v>30</v>
      </c>
      <c r="I2492" t="s">
        <v>33</v>
      </c>
    </row>
    <row r="2493" spans="1:9" x14ac:dyDescent="0.3">
      <c r="A2493" t="str">
        <f t="shared" si="38"/>
        <v>CASE-2492</v>
      </c>
      <c r="B2493" s="1">
        <v>45478</v>
      </c>
      <c r="C2493" t="s">
        <v>9</v>
      </c>
      <c r="D2493">
        <v>5</v>
      </c>
      <c r="E2493" t="b">
        <v>0</v>
      </c>
      <c r="F2493" s="2">
        <v>28.485755996572948</v>
      </c>
      <c r="G2493" t="b">
        <v>0</v>
      </c>
      <c r="H2493" t="s">
        <v>25</v>
      </c>
      <c r="I2493" t="s">
        <v>33</v>
      </c>
    </row>
    <row r="2494" spans="1:9" x14ac:dyDescent="0.3">
      <c r="A2494" t="str">
        <f t="shared" si="38"/>
        <v>CASE-2493</v>
      </c>
      <c r="B2494" s="1">
        <v>45620</v>
      </c>
      <c r="C2494" t="s">
        <v>11</v>
      </c>
      <c r="D2494">
        <v>1</v>
      </c>
      <c r="E2494" t="b">
        <v>0</v>
      </c>
      <c r="F2494" s="2">
        <v>33.751005879538724</v>
      </c>
      <c r="G2494" t="b">
        <v>1</v>
      </c>
      <c r="H2494" t="s">
        <v>29</v>
      </c>
      <c r="I2494" t="s">
        <v>33</v>
      </c>
    </row>
    <row r="2495" spans="1:9" x14ac:dyDescent="0.3">
      <c r="A2495" t="str">
        <f t="shared" si="38"/>
        <v>CASE-2494</v>
      </c>
      <c r="B2495" s="1">
        <v>45795</v>
      </c>
      <c r="C2495" t="s">
        <v>10</v>
      </c>
      <c r="D2495">
        <v>3</v>
      </c>
      <c r="E2495" t="b">
        <v>1</v>
      </c>
      <c r="F2495" s="2">
        <v>8.6357263850727826</v>
      </c>
      <c r="G2495" t="b">
        <v>0</v>
      </c>
      <c r="H2495" t="s">
        <v>22</v>
      </c>
      <c r="I2495" t="s">
        <v>34</v>
      </c>
    </row>
    <row r="2496" spans="1:9" x14ac:dyDescent="0.3">
      <c r="A2496" t="str">
        <f t="shared" si="38"/>
        <v>CASE-2495</v>
      </c>
      <c r="B2496" s="1">
        <v>46161</v>
      </c>
      <c r="C2496" t="s">
        <v>11</v>
      </c>
      <c r="D2496">
        <v>1</v>
      </c>
      <c r="E2496" t="b">
        <v>0</v>
      </c>
      <c r="F2496" s="2">
        <v>15.954688198157029</v>
      </c>
      <c r="G2496" t="b">
        <v>0</v>
      </c>
      <c r="H2496" t="s">
        <v>25</v>
      </c>
      <c r="I2496" t="s">
        <v>33</v>
      </c>
    </row>
    <row r="2497" spans="1:9" x14ac:dyDescent="0.3">
      <c r="A2497" t="str">
        <f t="shared" si="38"/>
        <v>CASE-2496</v>
      </c>
      <c r="B2497" s="1">
        <v>45772</v>
      </c>
      <c r="C2497" t="s">
        <v>9</v>
      </c>
      <c r="D2497">
        <v>1</v>
      </c>
      <c r="E2497" t="b">
        <v>1</v>
      </c>
      <c r="F2497" s="2">
        <v>19.501417283882624</v>
      </c>
      <c r="G2497" t="b">
        <v>0</v>
      </c>
      <c r="H2497" t="s">
        <v>18</v>
      </c>
      <c r="I2497" t="s">
        <v>33</v>
      </c>
    </row>
    <row r="2498" spans="1:9" x14ac:dyDescent="0.3">
      <c r="A2498" t="str">
        <f t="shared" si="38"/>
        <v>CASE-2497</v>
      </c>
      <c r="B2498" s="1">
        <v>45927</v>
      </c>
      <c r="C2498" t="s">
        <v>11</v>
      </c>
      <c r="D2498">
        <v>1</v>
      </c>
      <c r="E2498" t="b">
        <v>1</v>
      </c>
      <c r="F2498" s="2">
        <v>4.0992717983419151</v>
      </c>
      <c r="G2498" t="b">
        <v>0</v>
      </c>
      <c r="H2498" t="s">
        <v>29</v>
      </c>
      <c r="I2498" t="s">
        <v>34</v>
      </c>
    </row>
    <row r="2499" spans="1:9" x14ac:dyDescent="0.3">
      <c r="A2499" t="str">
        <f t="shared" ref="A2499:A2562" si="39">"CASE-"&amp;TEXT(ROW()-1,"0000")</f>
        <v>CASE-2498</v>
      </c>
      <c r="B2499" s="1">
        <v>45557</v>
      </c>
      <c r="C2499" t="s">
        <v>12</v>
      </c>
      <c r="D2499">
        <v>3</v>
      </c>
      <c r="E2499" t="b">
        <v>0</v>
      </c>
      <c r="F2499" s="2">
        <v>27.789360867444444</v>
      </c>
      <c r="G2499" t="b">
        <v>0</v>
      </c>
      <c r="H2499" t="s">
        <v>17</v>
      </c>
      <c r="I2499" t="s">
        <v>33</v>
      </c>
    </row>
    <row r="2500" spans="1:9" x14ac:dyDescent="0.3">
      <c r="A2500" t="str">
        <f t="shared" si="39"/>
        <v>CASE-2499</v>
      </c>
      <c r="B2500" s="1">
        <v>46140</v>
      </c>
      <c r="C2500" t="s">
        <v>12</v>
      </c>
      <c r="D2500">
        <v>4</v>
      </c>
      <c r="E2500" t="b">
        <v>1</v>
      </c>
      <c r="F2500" s="2">
        <v>8.4093965011083416</v>
      </c>
      <c r="G2500" t="b">
        <v>0</v>
      </c>
      <c r="H2500" t="s">
        <v>18</v>
      </c>
      <c r="I2500" t="s">
        <v>34</v>
      </c>
    </row>
    <row r="2501" spans="1:9" x14ac:dyDescent="0.3">
      <c r="A2501" t="str">
        <f t="shared" si="39"/>
        <v>CASE-2500</v>
      </c>
      <c r="B2501" s="1">
        <v>45913</v>
      </c>
      <c r="C2501" t="s">
        <v>11</v>
      </c>
      <c r="D2501">
        <v>4</v>
      </c>
      <c r="E2501" t="b">
        <v>0</v>
      </c>
      <c r="F2501" s="2">
        <v>1.7614746108023951</v>
      </c>
      <c r="G2501" t="b">
        <v>0</v>
      </c>
      <c r="H2501" t="s">
        <v>27</v>
      </c>
      <c r="I2501" t="s">
        <v>33</v>
      </c>
    </row>
    <row r="2502" spans="1:9" x14ac:dyDescent="0.3">
      <c r="A2502" t="str">
        <f t="shared" si="39"/>
        <v>CASE-2501</v>
      </c>
      <c r="B2502" s="1">
        <v>45866</v>
      </c>
      <c r="C2502" t="s">
        <v>11</v>
      </c>
      <c r="D2502">
        <v>1</v>
      </c>
      <c r="E2502" t="b">
        <v>1</v>
      </c>
      <c r="F2502" s="2">
        <v>7.7630378153319004</v>
      </c>
      <c r="G2502" t="b">
        <v>0</v>
      </c>
      <c r="H2502" t="s">
        <v>25</v>
      </c>
      <c r="I2502" t="s">
        <v>34</v>
      </c>
    </row>
    <row r="2503" spans="1:9" x14ac:dyDescent="0.3">
      <c r="A2503" t="str">
        <f t="shared" si="39"/>
        <v>CASE-2502</v>
      </c>
      <c r="B2503" s="1">
        <v>45933</v>
      </c>
      <c r="C2503" t="s">
        <v>9</v>
      </c>
      <c r="D2503">
        <v>3</v>
      </c>
      <c r="E2503" t="b">
        <v>1</v>
      </c>
      <c r="F2503" s="2">
        <v>19.484323143101459</v>
      </c>
      <c r="G2503" t="b">
        <v>0</v>
      </c>
      <c r="H2503" t="s">
        <v>16</v>
      </c>
      <c r="I2503" t="s">
        <v>33</v>
      </c>
    </row>
    <row r="2504" spans="1:9" x14ac:dyDescent="0.3">
      <c r="A2504" t="str">
        <f t="shared" si="39"/>
        <v>CASE-2503</v>
      </c>
      <c r="B2504" s="1">
        <v>46060</v>
      </c>
      <c r="C2504" t="s">
        <v>9</v>
      </c>
      <c r="D2504">
        <v>2</v>
      </c>
      <c r="E2504" t="b">
        <v>1</v>
      </c>
      <c r="F2504" s="2">
        <v>15.165108080178163</v>
      </c>
      <c r="G2504" t="b">
        <v>0</v>
      </c>
      <c r="H2504" t="s">
        <v>30</v>
      </c>
      <c r="I2504" t="s">
        <v>33</v>
      </c>
    </row>
    <row r="2505" spans="1:9" x14ac:dyDescent="0.3">
      <c r="A2505" t="str">
        <f t="shared" si="39"/>
        <v>CASE-2504</v>
      </c>
      <c r="B2505" s="1">
        <v>45951</v>
      </c>
      <c r="C2505" t="s">
        <v>10</v>
      </c>
      <c r="D2505">
        <v>5</v>
      </c>
      <c r="E2505" t="b">
        <v>1</v>
      </c>
      <c r="F2505" s="2">
        <v>6.730201491063271</v>
      </c>
      <c r="G2505" t="b">
        <v>0</v>
      </c>
      <c r="H2505" t="s">
        <v>23</v>
      </c>
      <c r="I2505" t="s">
        <v>34</v>
      </c>
    </row>
    <row r="2506" spans="1:9" x14ac:dyDescent="0.3">
      <c r="A2506" t="str">
        <f t="shared" si="39"/>
        <v>CASE-2505</v>
      </c>
      <c r="B2506" s="1">
        <v>45710</v>
      </c>
      <c r="C2506" t="s">
        <v>11</v>
      </c>
      <c r="D2506">
        <v>4</v>
      </c>
      <c r="E2506" t="b">
        <v>1</v>
      </c>
      <c r="F2506" s="2">
        <v>6.3755428310422824</v>
      </c>
      <c r="G2506" t="b">
        <v>0</v>
      </c>
      <c r="H2506" t="s">
        <v>28</v>
      </c>
      <c r="I2506" t="s">
        <v>34</v>
      </c>
    </row>
    <row r="2507" spans="1:9" x14ac:dyDescent="0.3">
      <c r="A2507" t="str">
        <f t="shared" si="39"/>
        <v>CASE-2506</v>
      </c>
      <c r="B2507" s="1">
        <v>46044</v>
      </c>
      <c r="C2507" t="s">
        <v>10</v>
      </c>
      <c r="D2507">
        <v>5</v>
      </c>
      <c r="E2507" t="b">
        <v>0</v>
      </c>
      <c r="F2507" s="2">
        <v>7.0720209971803421</v>
      </c>
      <c r="G2507" t="b">
        <v>0</v>
      </c>
      <c r="H2507" t="s">
        <v>13</v>
      </c>
      <c r="I2507" t="s">
        <v>34</v>
      </c>
    </row>
    <row r="2508" spans="1:9" x14ac:dyDescent="0.3">
      <c r="A2508" t="str">
        <f t="shared" si="39"/>
        <v>CASE-2507</v>
      </c>
      <c r="B2508" s="1">
        <v>45994</v>
      </c>
      <c r="C2508" t="s">
        <v>11</v>
      </c>
      <c r="D2508">
        <v>5</v>
      </c>
      <c r="E2508" t="b">
        <v>1</v>
      </c>
      <c r="F2508" s="2">
        <v>5.2935093092646186</v>
      </c>
      <c r="G2508" t="b">
        <v>0</v>
      </c>
      <c r="H2508" t="s">
        <v>13</v>
      </c>
      <c r="I2508" t="s">
        <v>34</v>
      </c>
    </row>
    <row r="2509" spans="1:9" x14ac:dyDescent="0.3">
      <c r="A2509" t="str">
        <f t="shared" si="39"/>
        <v>CASE-2508</v>
      </c>
      <c r="B2509" s="1">
        <v>46068</v>
      </c>
      <c r="C2509" t="s">
        <v>9</v>
      </c>
      <c r="D2509">
        <v>4</v>
      </c>
      <c r="E2509" t="b">
        <v>1</v>
      </c>
      <c r="F2509" s="2">
        <v>15.261841887092798</v>
      </c>
      <c r="G2509" t="b">
        <v>0</v>
      </c>
      <c r="H2509" t="s">
        <v>17</v>
      </c>
      <c r="I2509" t="s">
        <v>33</v>
      </c>
    </row>
    <row r="2510" spans="1:9" x14ac:dyDescent="0.3">
      <c r="A2510" t="str">
        <f t="shared" si="39"/>
        <v>CASE-2509</v>
      </c>
      <c r="B2510" s="1">
        <v>45593</v>
      </c>
      <c r="C2510" t="s">
        <v>10</v>
      </c>
      <c r="D2510">
        <v>1</v>
      </c>
      <c r="E2510" t="b">
        <v>0</v>
      </c>
      <c r="F2510" s="2">
        <v>31.668603741406024</v>
      </c>
      <c r="G2510" t="b">
        <v>0</v>
      </c>
      <c r="H2510" t="s">
        <v>17</v>
      </c>
      <c r="I2510" t="s">
        <v>33</v>
      </c>
    </row>
    <row r="2511" spans="1:9" x14ac:dyDescent="0.3">
      <c r="A2511" t="str">
        <f t="shared" si="39"/>
        <v>CASE-2510</v>
      </c>
      <c r="B2511" s="1">
        <v>45711</v>
      </c>
      <c r="C2511" t="s">
        <v>12</v>
      </c>
      <c r="D2511">
        <v>5</v>
      </c>
      <c r="E2511" t="b">
        <v>1</v>
      </c>
      <c r="F2511" s="2">
        <v>6.1156097626763337</v>
      </c>
      <c r="G2511" t="b">
        <v>0</v>
      </c>
      <c r="H2511" t="s">
        <v>14</v>
      </c>
      <c r="I2511" t="s">
        <v>34</v>
      </c>
    </row>
    <row r="2512" spans="1:9" x14ac:dyDescent="0.3">
      <c r="A2512" t="str">
        <f t="shared" si="39"/>
        <v>CASE-2511</v>
      </c>
      <c r="B2512" s="1">
        <v>45700</v>
      </c>
      <c r="C2512" t="s">
        <v>11</v>
      </c>
      <c r="D2512">
        <v>2</v>
      </c>
      <c r="E2512" t="b">
        <v>1</v>
      </c>
      <c r="F2512" s="2">
        <v>23.689780211874883</v>
      </c>
      <c r="G2512" t="b">
        <v>0</v>
      </c>
      <c r="H2512" t="s">
        <v>25</v>
      </c>
      <c r="I2512" t="s">
        <v>33</v>
      </c>
    </row>
    <row r="2513" spans="1:9" x14ac:dyDescent="0.3">
      <c r="A2513" t="str">
        <f t="shared" si="39"/>
        <v>CASE-2512</v>
      </c>
      <c r="B2513" s="1">
        <v>45925</v>
      </c>
      <c r="C2513" t="s">
        <v>11</v>
      </c>
      <c r="D2513">
        <v>2</v>
      </c>
      <c r="E2513" t="b">
        <v>0</v>
      </c>
      <c r="F2513" s="2">
        <v>5.1283899714004377</v>
      </c>
      <c r="G2513" t="b">
        <v>0</v>
      </c>
      <c r="H2513" t="s">
        <v>27</v>
      </c>
      <c r="I2513" t="s">
        <v>34</v>
      </c>
    </row>
    <row r="2514" spans="1:9" x14ac:dyDescent="0.3">
      <c r="A2514" t="str">
        <f t="shared" si="39"/>
        <v>CASE-2513</v>
      </c>
      <c r="B2514" s="1">
        <v>46118</v>
      </c>
      <c r="C2514" t="s">
        <v>10</v>
      </c>
      <c r="D2514">
        <v>4</v>
      </c>
      <c r="E2514" t="b">
        <v>1</v>
      </c>
      <c r="F2514" s="2">
        <v>12.05603250253262</v>
      </c>
      <c r="G2514" t="b">
        <v>0</v>
      </c>
      <c r="H2514" t="s">
        <v>30</v>
      </c>
      <c r="I2514" t="s">
        <v>33</v>
      </c>
    </row>
    <row r="2515" spans="1:9" x14ac:dyDescent="0.3">
      <c r="A2515" t="str">
        <f t="shared" si="39"/>
        <v>CASE-2514</v>
      </c>
      <c r="B2515" s="1">
        <v>45542</v>
      </c>
      <c r="C2515" t="s">
        <v>12</v>
      </c>
      <c r="D2515">
        <v>4</v>
      </c>
      <c r="E2515" t="b">
        <v>0</v>
      </c>
      <c r="F2515" s="2">
        <v>30.020528147873865</v>
      </c>
      <c r="G2515" t="b">
        <v>0</v>
      </c>
      <c r="H2515" t="s">
        <v>21</v>
      </c>
      <c r="I2515" t="s">
        <v>33</v>
      </c>
    </row>
    <row r="2516" spans="1:9" x14ac:dyDescent="0.3">
      <c r="A2516" t="str">
        <f t="shared" si="39"/>
        <v>CASE-2515</v>
      </c>
      <c r="B2516" s="1">
        <v>45687</v>
      </c>
      <c r="C2516" t="s">
        <v>12</v>
      </c>
      <c r="D2516">
        <v>4</v>
      </c>
      <c r="E2516" t="b">
        <v>1</v>
      </c>
      <c r="F2516" s="2">
        <v>9.6192067856891157</v>
      </c>
      <c r="G2516" t="b">
        <v>0</v>
      </c>
      <c r="H2516" t="s">
        <v>19</v>
      </c>
      <c r="I2516" t="s">
        <v>34</v>
      </c>
    </row>
    <row r="2517" spans="1:9" x14ac:dyDescent="0.3">
      <c r="A2517" t="str">
        <f t="shared" si="39"/>
        <v>CASE-2516</v>
      </c>
      <c r="B2517" s="1">
        <v>45510</v>
      </c>
      <c r="C2517" t="s">
        <v>11</v>
      </c>
      <c r="D2517">
        <v>1</v>
      </c>
      <c r="E2517" t="b">
        <v>0</v>
      </c>
      <c r="F2517" s="2">
        <v>18.874152057005432</v>
      </c>
      <c r="G2517" t="b">
        <v>0</v>
      </c>
      <c r="H2517" t="s">
        <v>18</v>
      </c>
      <c r="I2517" t="s">
        <v>33</v>
      </c>
    </row>
    <row r="2518" spans="1:9" x14ac:dyDescent="0.3">
      <c r="A2518" t="str">
        <f t="shared" si="39"/>
        <v>CASE-2517</v>
      </c>
      <c r="B2518" s="1">
        <v>45616</v>
      </c>
      <c r="C2518" t="s">
        <v>9</v>
      </c>
      <c r="D2518">
        <v>5</v>
      </c>
      <c r="E2518" t="b">
        <v>0</v>
      </c>
      <c r="F2518" s="2">
        <v>21.813644474982478</v>
      </c>
      <c r="G2518" t="b">
        <v>0</v>
      </c>
      <c r="H2518" t="s">
        <v>31</v>
      </c>
      <c r="I2518" t="s">
        <v>33</v>
      </c>
    </row>
    <row r="2519" spans="1:9" x14ac:dyDescent="0.3">
      <c r="A2519" t="str">
        <f t="shared" si="39"/>
        <v>CASE-2518</v>
      </c>
      <c r="B2519" s="1">
        <v>46196</v>
      </c>
      <c r="C2519" t="s">
        <v>9</v>
      </c>
      <c r="D2519">
        <v>2</v>
      </c>
      <c r="E2519" t="b">
        <v>1</v>
      </c>
      <c r="F2519" s="2">
        <v>6.0847481372063585</v>
      </c>
      <c r="G2519" t="b">
        <v>0</v>
      </c>
      <c r="H2519" t="s">
        <v>29</v>
      </c>
      <c r="I2519" t="s">
        <v>34</v>
      </c>
    </row>
    <row r="2520" spans="1:9" x14ac:dyDescent="0.3">
      <c r="A2520" t="str">
        <f t="shared" si="39"/>
        <v>CASE-2519</v>
      </c>
      <c r="B2520" s="1">
        <v>46185</v>
      </c>
      <c r="C2520" t="s">
        <v>11</v>
      </c>
      <c r="D2520">
        <v>1</v>
      </c>
      <c r="E2520" t="b">
        <v>1</v>
      </c>
      <c r="F2520" s="2">
        <v>4.7572756126025579</v>
      </c>
      <c r="G2520" t="b">
        <v>0</v>
      </c>
      <c r="H2520" t="s">
        <v>28</v>
      </c>
      <c r="I2520" t="s">
        <v>34</v>
      </c>
    </row>
    <row r="2521" spans="1:9" x14ac:dyDescent="0.3">
      <c r="A2521" t="str">
        <f t="shared" si="39"/>
        <v>CASE-2520</v>
      </c>
      <c r="B2521" s="1">
        <v>45960</v>
      </c>
      <c r="C2521" t="s">
        <v>9</v>
      </c>
      <c r="D2521">
        <v>5</v>
      </c>
      <c r="E2521" t="b">
        <v>1</v>
      </c>
      <c r="F2521" s="2">
        <v>23.408923579235413</v>
      </c>
      <c r="G2521" t="b">
        <v>0</v>
      </c>
      <c r="H2521" t="s">
        <v>27</v>
      </c>
      <c r="I2521" t="s">
        <v>33</v>
      </c>
    </row>
    <row r="2522" spans="1:9" x14ac:dyDescent="0.3">
      <c r="A2522" t="str">
        <f t="shared" si="39"/>
        <v>CASE-2521</v>
      </c>
      <c r="B2522" s="1">
        <v>46142</v>
      </c>
      <c r="C2522" t="s">
        <v>12</v>
      </c>
      <c r="D2522">
        <v>3</v>
      </c>
      <c r="E2522" t="b">
        <v>0</v>
      </c>
      <c r="F2522" s="2">
        <v>5.5798923583209685</v>
      </c>
      <c r="G2522" t="b">
        <v>1</v>
      </c>
      <c r="H2522" t="s">
        <v>18</v>
      </c>
      <c r="I2522" t="s">
        <v>34</v>
      </c>
    </row>
    <row r="2523" spans="1:9" x14ac:dyDescent="0.3">
      <c r="A2523" t="str">
        <f t="shared" si="39"/>
        <v>CASE-2522</v>
      </c>
      <c r="B2523" s="1">
        <v>45979</v>
      </c>
      <c r="C2523" t="s">
        <v>9</v>
      </c>
      <c r="D2523">
        <v>5</v>
      </c>
      <c r="E2523" t="b">
        <v>1</v>
      </c>
      <c r="F2523" s="2">
        <v>30.516710937105877</v>
      </c>
      <c r="G2523" t="b">
        <v>0</v>
      </c>
      <c r="H2523" t="s">
        <v>27</v>
      </c>
      <c r="I2523" t="s">
        <v>33</v>
      </c>
    </row>
    <row r="2524" spans="1:9" x14ac:dyDescent="0.3">
      <c r="A2524" t="str">
        <f t="shared" si="39"/>
        <v>CASE-2523</v>
      </c>
      <c r="B2524" s="1">
        <v>45766</v>
      </c>
      <c r="C2524" t="s">
        <v>9</v>
      </c>
      <c r="D2524">
        <v>1</v>
      </c>
      <c r="E2524" t="b">
        <v>1</v>
      </c>
      <c r="F2524" s="2">
        <v>4.5120232389202686</v>
      </c>
      <c r="G2524" t="b">
        <v>0</v>
      </c>
      <c r="H2524" t="s">
        <v>19</v>
      </c>
      <c r="I2524" t="s">
        <v>34</v>
      </c>
    </row>
    <row r="2525" spans="1:9" x14ac:dyDescent="0.3">
      <c r="A2525" t="str">
        <f t="shared" si="39"/>
        <v>CASE-2524</v>
      </c>
      <c r="B2525" s="1">
        <v>46178</v>
      </c>
      <c r="C2525" t="s">
        <v>10</v>
      </c>
      <c r="D2525">
        <v>2</v>
      </c>
      <c r="E2525" t="b">
        <v>1</v>
      </c>
      <c r="F2525" s="2">
        <v>6.5335956609395804</v>
      </c>
      <c r="G2525" t="b">
        <v>0</v>
      </c>
      <c r="H2525" t="s">
        <v>26</v>
      </c>
      <c r="I2525" t="s">
        <v>34</v>
      </c>
    </row>
    <row r="2526" spans="1:9" x14ac:dyDescent="0.3">
      <c r="A2526" t="str">
        <f t="shared" si="39"/>
        <v>CASE-2525</v>
      </c>
      <c r="B2526" s="1">
        <v>46149</v>
      </c>
      <c r="C2526" t="s">
        <v>10</v>
      </c>
      <c r="D2526">
        <v>1</v>
      </c>
      <c r="E2526" t="b">
        <v>1</v>
      </c>
      <c r="F2526" s="2">
        <v>5.9271819959357526</v>
      </c>
      <c r="G2526" t="b">
        <v>0</v>
      </c>
      <c r="H2526" t="s">
        <v>18</v>
      </c>
      <c r="I2526" t="s">
        <v>34</v>
      </c>
    </row>
    <row r="2527" spans="1:9" x14ac:dyDescent="0.3">
      <c r="A2527" t="str">
        <f t="shared" si="39"/>
        <v>CASE-2526</v>
      </c>
      <c r="B2527" s="1">
        <v>45904</v>
      </c>
      <c r="C2527" t="s">
        <v>11</v>
      </c>
      <c r="D2527">
        <v>1</v>
      </c>
      <c r="E2527" t="b">
        <v>0</v>
      </c>
      <c r="F2527" s="2">
        <v>15.168588733082711</v>
      </c>
      <c r="G2527" t="b">
        <v>0</v>
      </c>
      <c r="H2527" t="s">
        <v>25</v>
      </c>
      <c r="I2527" t="s">
        <v>33</v>
      </c>
    </row>
    <row r="2528" spans="1:9" x14ac:dyDescent="0.3">
      <c r="A2528" t="str">
        <f t="shared" si="39"/>
        <v>CASE-2527</v>
      </c>
      <c r="B2528" s="1">
        <v>45840</v>
      </c>
      <c r="C2528" t="s">
        <v>10</v>
      </c>
      <c r="D2528">
        <v>3</v>
      </c>
      <c r="E2528" t="b">
        <v>1</v>
      </c>
      <c r="F2528" s="2">
        <v>4.5313790105247254</v>
      </c>
      <c r="G2528" t="b">
        <v>0</v>
      </c>
      <c r="H2528" t="s">
        <v>20</v>
      </c>
      <c r="I2528" t="s">
        <v>34</v>
      </c>
    </row>
    <row r="2529" spans="1:9" x14ac:dyDescent="0.3">
      <c r="A2529" t="str">
        <f t="shared" si="39"/>
        <v>CASE-2528</v>
      </c>
      <c r="B2529" s="1">
        <v>45913</v>
      </c>
      <c r="C2529" t="s">
        <v>10</v>
      </c>
      <c r="D2529">
        <v>1</v>
      </c>
      <c r="E2529" t="b">
        <v>1</v>
      </c>
      <c r="F2529" s="2">
        <v>10.368478120085996</v>
      </c>
      <c r="G2529" t="b">
        <v>0</v>
      </c>
      <c r="H2529" t="s">
        <v>13</v>
      </c>
      <c r="I2529" t="s">
        <v>34</v>
      </c>
    </row>
    <row r="2530" spans="1:9" x14ac:dyDescent="0.3">
      <c r="A2530" t="str">
        <f t="shared" si="39"/>
        <v>CASE-2529</v>
      </c>
      <c r="B2530" s="1">
        <v>45514</v>
      </c>
      <c r="C2530" t="s">
        <v>11</v>
      </c>
      <c r="D2530">
        <v>3</v>
      </c>
      <c r="E2530" t="b">
        <v>0</v>
      </c>
      <c r="F2530" s="2">
        <v>23.790401235963262</v>
      </c>
      <c r="G2530" t="b">
        <v>0</v>
      </c>
      <c r="H2530" t="s">
        <v>21</v>
      </c>
      <c r="I2530" t="s">
        <v>33</v>
      </c>
    </row>
    <row r="2531" spans="1:9" x14ac:dyDescent="0.3">
      <c r="A2531" t="str">
        <f t="shared" si="39"/>
        <v>CASE-2530</v>
      </c>
      <c r="B2531" s="1">
        <v>45974</v>
      </c>
      <c r="C2531" t="s">
        <v>12</v>
      </c>
      <c r="D2531">
        <v>4</v>
      </c>
      <c r="E2531" t="b">
        <v>0</v>
      </c>
      <c r="F2531" s="2">
        <v>4.7207742686959335</v>
      </c>
      <c r="G2531" t="b">
        <v>0</v>
      </c>
      <c r="H2531" t="s">
        <v>28</v>
      </c>
      <c r="I2531" t="s">
        <v>34</v>
      </c>
    </row>
    <row r="2532" spans="1:9" x14ac:dyDescent="0.3">
      <c r="A2532" t="str">
        <f t="shared" si="39"/>
        <v>CASE-2531</v>
      </c>
      <c r="B2532" s="1">
        <v>45574</v>
      </c>
      <c r="C2532" t="s">
        <v>11</v>
      </c>
      <c r="D2532">
        <v>3</v>
      </c>
      <c r="E2532" t="b">
        <v>0</v>
      </c>
      <c r="F2532" s="2">
        <v>10.218045398823167</v>
      </c>
      <c r="G2532" t="b">
        <v>0</v>
      </c>
      <c r="H2532" t="s">
        <v>15</v>
      </c>
      <c r="I2532" t="s">
        <v>33</v>
      </c>
    </row>
    <row r="2533" spans="1:9" x14ac:dyDescent="0.3">
      <c r="A2533" t="str">
        <f t="shared" si="39"/>
        <v>CASE-2532</v>
      </c>
      <c r="B2533" s="1">
        <v>45821</v>
      </c>
      <c r="C2533" t="s">
        <v>11</v>
      </c>
      <c r="D2533">
        <v>1</v>
      </c>
      <c r="E2533" t="b">
        <v>1</v>
      </c>
      <c r="F2533" s="2">
        <v>7.068630779410876</v>
      </c>
      <c r="G2533" t="b">
        <v>0</v>
      </c>
      <c r="H2533" t="s">
        <v>29</v>
      </c>
      <c r="I2533" t="s">
        <v>34</v>
      </c>
    </row>
    <row r="2534" spans="1:9" x14ac:dyDescent="0.3">
      <c r="A2534" t="str">
        <f t="shared" si="39"/>
        <v>CASE-2533</v>
      </c>
      <c r="B2534" s="1">
        <v>45944</v>
      </c>
      <c r="C2534" t="s">
        <v>12</v>
      </c>
      <c r="D2534">
        <v>1</v>
      </c>
      <c r="E2534" t="b">
        <v>1</v>
      </c>
      <c r="F2534" s="2">
        <v>6.070004758971888</v>
      </c>
      <c r="G2534" t="b">
        <v>0</v>
      </c>
      <c r="H2534" t="s">
        <v>13</v>
      </c>
      <c r="I2534" t="s">
        <v>34</v>
      </c>
    </row>
    <row r="2535" spans="1:9" x14ac:dyDescent="0.3">
      <c r="A2535" t="str">
        <f t="shared" si="39"/>
        <v>CASE-2534</v>
      </c>
      <c r="B2535" s="1">
        <v>45554</v>
      </c>
      <c r="C2535" t="s">
        <v>10</v>
      </c>
      <c r="D2535">
        <v>3</v>
      </c>
      <c r="E2535" t="b">
        <v>0</v>
      </c>
      <c r="F2535" s="2">
        <v>17.914472124785632</v>
      </c>
      <c r="G2535" t="b">
        <v>0</v>
      </c>
      <c r="H2535" t="s">
        <v>22</v>
      </c>
      <c r="I2535" t="s">
        <v>33</v>
      </c>
    </row>
    <row r="2536" spans="1:9" x14ac:dyDescent="0.3">
      <c r="A2536" t="str">
        <f t="shared" si="39"/>
        <v>CASE-2535</v>
      </c>
      <c r="B2536" s="1">
        <v>45707</v>
      </c>
      <c r="C2536" t="s">
        <v>12</v>
      </c>
      <c r="D2536">
        <v>1</v>
      </c>
      <c r="E2536" t="b">
        <v>1</v>
      </c>
      <c r="F2536" s="2">
        <v>6.8945269430403524</v>
      </c>
      <c r="G2536" t="b">
        <v>0</v>
      </c>
      <c r="H2536" t="s">
        <v>26</v>
      </c>
      <c r="I2536" t="s">
        <v>35</v>
      </c>
    </row>
    <row r="2537" spans="1:9" x14ac:dyDescent="0.3">
      <c r="A2537" t="str">
        <f t="shared" si="39"/>
        <v>CASE-2536</v>
      </c>
      <c r="B2537" s="1">
        <v>46155</v>
      </c>
      <c r="C2537" t="s">
        <v>11</v>
      </c>
      <c r="D2537">
        <v>3</v>
      </c>
      <c r="E2537" t="b">
        <v>1</v>
      </c>
      <c r="F2537" s="2">
        <v>7.970361340379676</v>
      </c>
      <c r="G2537" t="b">
        <v>0</v>
      </c>
      <c r="H2537" t="s">
        <v>17</v>
      </c>
      <c r="I2537" t="s">
        <v>34</v>
      </c>
    </row>
    <row r="2538" spans="1:9" x14ac:dyDescent="0.3">
      <c r="A2538" t="str">
        <f t="shared" si="39"/>
        <v>CASE-2537</v>
      </c>
      <c r="B2538" s="1">
        <v>45545</v>
      </c>
      <c r="C2538" t="s">
        <v>10</v>
      </c>
      <c r="D2538">
        <v>4</v>
      </c>
      <c r="E2538" t="b">
        <v>0</v>
      </c>
      <c r="F2538" s="2">
        <v>34.336589219491444</v>
      </c>
      <c r="G2538" t="b">
        <v>0</v>
      </c>
      <c r="H2538" t="s">
        <v>27</v>
      </c>
      <c r="I2538" t="s">
        <v>33</v>
      </c>
    </row>
    <row r="2539" spans="1:9" x14ac:dyDescent="0.3">
      <c r="A2539" t="str">
        <f t="shared" si="39"/>
        <v>CASE-2538</v>
      </c>
      <c r="B2539" s="1">
        <v>45516</v>
      </c>
      <c r="C2539" t="s">
        <v>11</v>
      </c>
      <c r="D2539">
        <v>3</v>
      </c>
      <c r="E2539" t="b">
        <v>0</v>
      </c>
      <c r="F2539" s="2">
        <v>19.171612328844869</v>
      </c>
      <c r="G2539" t="b">
        <v>0</v>
      </c>
      <c r="H2539" t="s">
        <v>14</v>
      </c>
      <c r="I2539" t="s">
        <v>33</v>
      </c>
    </row>
    <row r="2540" spans="1:9" x14ac:dyDescent="0.3">
      <c r="A2540" t="str">
        <f t="shared" si="39"/>
        <v>CASE-2539</v>
      </c>
      <c r="B2540" s="1">
        <v>45530</v>
      </c>
      <c r="C2540" t="s">
        <v>11</v>
      </c>
      <c r="D2540">
        <v>3</v>
      </c>
      <c r="E2540" t="b">
        <v>0</v>
      </c>
      <c r="F2540" s="2">
        <v>22.862555646020414</v>
      </c>
      <c r="G2540" t="b">
        <v>0</v>
      </c>
      <c r="H2540" t="s">
        <v>28</v>
      </c>
      <c r="I2540" t="s">
        <v>33</v>
      </c>
    </row>
    <row r="2541" spans="1:9" x14ac:dyDescent="0.3">
      <c r="A2541" t="str">
        <f t="shared" si="39"/>
        <v>CASE-2540</v>
      </c>
      <c r="B2541" s="1">
        <v>45708</v>
      </c>
      <c r="C2541" t="s">
        <v>11</v>
      </c>
      <c r="D2541">
        <v>2</v>
      </c>
      <c r="E2541" t="b">
        <v>1</v>
      </c>
      <c r="F2541" s="2">
        <v>5.5438505698490674</v>
      </c>
      <c r="G2541" t="b">
        <v>0</v>
      </c>
      <c r="H2541" t="s">
        <v>26</v>
      </c>
      <c r="I2541" t="s">
        <v>34</v>
      </c>
    </row>
    <row r="2542" spans="1:9" x14ac:dyDescent="0.3">
      <c r="A2542" t="str">
        <f t="shared" si="39"/>
        <v>CASE-2541</v>
      </c>
      <c r="B2542" s="1">
        <v>45515</v>
      </c>
      <c r="C2542" t="s">
        <v>12</v>
      </c>
      <c r="D2542">
        <v>3</v>
      </c>
      <c r="E2542" t="b">
        <v>0</v>
      </c>
      <c r="F2542" s="2">
        <v>23.560098440945193</v>
      </c>
      <c r="G2542" t="b">
        <v>0</v>
      </c>
      <c r="H2542" t="s">
        <v>30</v>
      </c>
      <c r="I2542" t="s">
        <v>33</v>
      </c>
    </row>
    <row r="2543" spans="1:9" x14ac:dyDescent="0.3">
      <c r="A2543" t="str">
        <f t="shared" si="39"/>
        <v>CASE-2542</v>
      </c>
      <c r="B2543" s="1">
        <v>45778</v>
      </c>
      <c r="C2543" t="s">
        <v>10</v>
      </c>
      <c r="D2543">
        <v>3</v>
      </c>
      <c r="E2543" t="b">
        <v>1</v>
      </c>
      <c r="F2543" s="2">
        <v>8.5170360470230282</v>
      </c>
      <c r="G2543" t="b">
        <v>0</v>
      </c>
      <c r="H2543" t="s">
        <v>23</v>
      </c>
      <c r="I2543" t="s">
        <v>34</v>
      </c>
    </row>
    <row r="2544" spans="1:9" x14ac:dyDescent="0.3">
      <c r="A2544" t="str">
        <f t="shared" si="39"/>
        <v>CASE-2543</v>
      </c>
      <c r="B2544" s="1">
        <v>45939</v>
      </c>
      <c r="C2544" t="s">
        <v>10</v>
      </c>
      <c r="D2544">
        <v>3</v>
      </c>
      <c r="E2544" t="b">
        <v>1</v>
      </c>
      <c r="F2544" s="2">
        <v>5.1802529443703209</v>
      </c>
      <c r="G2544" t="b">
        <v>0</v>
      </c>
      <c r="H2544" t="s">
        <v>23</v>
      </c>
      <c r="I2544" t="s">
        <v>34</v>
      </c>
    </row>
    <row r="2545" spans="1:9" x14ac:dyDescent="0.3">
      <c r="A2545" t="str">
        <f t="shared" si="39"/>
        <v>CASE-2544</v>
      </c>
      <c r="B2545" s="1">
        <v>45889</v>
      </c>
      <c r="C2545" t="s">
        <v>9</v>
      </c>
      <c r="D2545">
        <v>2</v>
      </c>
      <c r="E2545" t="b">
        <v>1</v>
      </c>
      <c r="F2545" s="2">
        <v>28.876503209426275</v>
      </c>
      <c r="G2545" t="b">
        <v>0</v>
      </c>
      <c r="H2545" t="s">
        <v>26</v>
      </c>
      <c r="I2545" t="s">
        <v>33</v>
      </c>
    </row>
    <row r="2546" spans="1:9" x14ac:dyDescent="0.3">
      <c r="A2546" t="str">
        <f t="shared" si="39"/>
        <v>CASE-2545</v>
      </c>
      <c r="B2546" s="1">
        <v>46054</v>
      </c>
      <c r="C2546" t="s">
        <v>12</v>
      </c>
      <c r="D2546">
        <v>4</v>
      </c>
      <c r="E2546" t="b">
        <v>1</v>
      </c>
      <c r="F2546" s="2">
        <v>4.1972101530962558</v>
      </c>
      <c r="G2546" t="b">
        <v>0</v>
      </c>
      <c r="H2546" t="s">
        <v>18</v>
      </c>
      <c r="I2546" t="s">
        <v>34</v>
      </c>
    </row>
    <row r="2547" spans="1:9" x14ac:dyDescent="0.3">
      <c r="A2547" t="str">
        <f t="shared" si="39"/>
        <v>CASE-2546</v>
      </c>
      <c r="B2547" s="1">
        <v>45774</v>
      </c>
      <c r="C2547" t="s">
        <v>10</v>
      </c>
      <c r="D2547">
        <v>5</v>
      </c>
      <c r="E2547" t="b">
        <v>1</v>
      </c>
      <c r="F2547" s="2">
        <v>8.7202193882306425</v>
      </c>
      <c r="G2547" t="b">
        <v>0</v>
      </c>
      <c r="H2547" t="s">
        <v>32</v>
      </c>
      <c r="I2547" t="s">
        <v>34</v>
      </c>
    </row>
    <row r="2548" spans="1:9" x14ac:dyDescent="0.3">
      <c r="A2548" t="str">
        <f t="shared" si="39"/>
        <v>CASE-2547</v>
      </c>
      <c r="B2548" s="1">
        <v>45842</v>
      </c>
      <c r="C2548" t="s">
        <v>11</v>
      </c>
      <c r="D2548">
        <v>2</v>
      </c>
      <c r="E2548" t="b">
        <v>0</v>
      </c>
      <c r="F2548" s="2">
        <v>8.2019623945347</v>
      </c>
      <c r="G2548" t="b">
        <v>0</v>
      </c>
      <c r="H2548" t="s">
        <v>17</v>
      </c>
      <c r="I2548" t="s">
        <v>34</v>
      </c>
    </row>
    <row r="2549" spans="1:9" x14ac:dyDescent="0.3">
      <c r="A2549" t="str">
        <f t="shared" si="39"/>
        <v>CASE-2548</v>
      </c>
      <c r="B2549" s="1">
        <v>45635</v>
      </c>
      <c r="C2549" t="s">
        <v>11</v>
      </c>
      <c r="D2549">
        <v>5</v>
      </c>
      <c r="E2549" t="b">
        <v>0</v>
      </c>
      <c r="F2549" s="2">
        <v>13.657027482977778</v>
      </c>
      <c r="G2549" t="b">
        <v>0</v>
      </c>
      <c r="H2549" t="s">
        <v>23</v>
      </c>
      <c r="I2549" t="s">
        <v>33</v>
      </c>
    </row>
    <row r="2550" spans="1:9" x14ac:dyDescent="0.3">
      <c r="A2550" t="str">
        <f t="shared" si="39"/>
        <v>CASE-2549</v>
      </c>
      <c r="B2550" s="1">
        <v>45543</v>
      </c>
      <c r="C2550" t="s">
        <v>12</v>
      </c>
      <c r="D2550">
        <v>4</v>
      </c>
      <c r="E2550" t="b">
        <v>0</v>
      </c>
      <c r="F2550" s="2">
        <v>23.589010494288338</v>
      </c>
      <c r="G2550" t="b">
        <v>0</v>
      </c>
      <c r="H2550" t="s">
        <v>31</v>
      </c>
      <c r="I2550" t="s">
        <v>33</v>
      </c>
    </row>
    <row r="2551" spans="1:9" x14ac:dyDescent="0.3">
      <c r="A2551" t="str">
        <f t="shared" si="39"/>
        <v>CASE-2550</v>
      </c>
      <c r="B2551" s="1">
        <v>45978</v>
      </c>
      <c r="C2551" t="s">
        <v>12</v>
      </c>
      <c r="D2551">
        <v>3</v>
      </c>
      <c r="E2551" t="b">
        <v>1</v>
      </c>
      <c r="F2551" s="2">
        <v>4.5317376242188114</v>
      </c>
      <c r="G2551" t="b">
        <v>0</v>
      </c>
      <c r="H2551" t="s">
        <v>16</v>
      </c>
      <c r="I2551" t="s">
        <v>34</v>
      </c>
    </row>
    <row r="2552" spans="1:9" x14ac:dyDescent="0.3">
      <c r="A2552" t="str">
        <f t="shared" si="39"/>
        <v>CASE-2551</v>
      </c>
      <c r="B2552" s="1">
        <v>45652</v>
      </c>
      <c r="C2552" t="s">
        <v>12</v>
      </c>
      <c r="D2552">
        <v>4</v>
      </c>
      <c r="E2552" t="b">
        <v>0</v>
      </c>
      <c r="F2552" s="2">
        <v>32.026344285161642</v>
      </c>
      <c r="G2552" t="b">
        <v>0</v>
      </c>
      <c r="H2552" t="s">
        <v>25</v>
      </c>
      <c r="I2552" t="s">
        <v>33</v>
      </c>
    </row>
    <row r="2553" spans="1:9" x14ac:dyDescent="0.3">
      <c r="A2553" t="str">
        <f t="shared" si="39"/>
        <v>CASE-2552</v>
      </c>
      <c r="B2553" s="1">
        <v>45673</v>
      </c>
      <c r="C2553" t="s">
        <v>11</v>
      </c>
      <c r="D2553">
        <v>1</v>
      </c>
      <c r="E2553" t="b">
        <v>0</v>
      </c>
      <c r="F2553" s="2">
        <v>24.568319033463101</v>
      </c>
      <c r="G2553" t="b">
        <v>0</v>
      </c>
      <c r="H2553" t="s">
        <v>20</v>
      </c>
      <c r="I2553" t="s">
        <v>33</v>
      </c>
    </row>
    <row r="2554" spans="1:9" x14ac:dyDescent="0.3">
      <c r="A2554" t="str">
        <f t="shared" si="39"/>
        <v>CASE-2553</v>
      </c>
      <c r="B2554" s="1">
        <v>45742</v>
      </c>
      <c r="C2554" t="s">
        <v>12</v>
      </c>
      <c r="D2554">
        <v>3</v>
      </c>
      <c r="E2554" t="b">
        <v>1</v>
      </c>
      <c r="F2554" s="2">
        <v>5.5709560026980904</v>
      </c>
      <c r="G2554" t="b">
        <v>0</v>
      </c>
      <c r="H2554" t="s">
        <v>30</v>
      </c>
      <c r="I2554" t="s">
        <v>34</v>
      </c>
    </row>
    <row r="2555" spans="1:9" x14ac:dyDescent="0.3">
      <c r="A2555" t="str">
        <f t="shared" si="39"/>
        <v>CASE-2554</v>
      </c>
      <c r="B2555" s="1">
        <v>45684</v>
      </c>
      <c r="C2555" t="s">
        <v>9</v>
      </c>
      <c r="D2555">
        <v>4</v>
      </c>
      <c r="E2555" t="b">
        <v>1</v>
      </c>
      <c r="F2555" s="2">
        <v>6.5626739157429661</v>
      </c>
      <c r="G2555" t="b">
        <v>0</v>
      </c>
      <c r="H2555" t="s">
        <v>21</v>
      </c>
      <c r="I2555" t="s">
        <v>34</v>
      </c>
    </row>
    <row r="2556" spans="1:9" x14ac:dyDescent="0.3">
      <c r="A2556" t="str">
        <f t="shared" si="39"/>
        <v>CASE-2555</v>
      </c>
      <c r="B2556" s="1">
        <v>45526</v>
      </c>
      <c r="C2556" t="s">
        <v>10</v>
      </c>
      <c r="D2556">
        <v>2</v>
      </c>
      <c r="E2556" t="b">
        <v>0</v>
      </c>
      <c r="F2556" s="2">
        <v>30.194740721093464</v>
      </c>
      <c r="G2556" t="b">
        <v>0</v>
      </c>
      <c r="H2556" t="s">
        <v>22</v>
      </c>
      <c r="I2556" t="s">
        <v>33</v>
      </c>
    </row>
    <row r="2557" spans="1:9" x14ac:dyDescent="0.3">
      <c r="A2557" t="str">
        <f t="shared" si="39"/>
        <v>CASE-2556</v>
      </c>
      <c r="B2557" s="1">
        <v>45782</v>
      </c>
      <c r="C2557" t="s">
        <v>10</v>
      </c>
      <c r="D2557">
        <v>1</v>
      </c>
      <c r="E2557" t="b">
        <v>0</v>
      </c>
      <c r="F2557" s="2">
        <v>38.817386719492625</v>
      </c>
      <c r="G2557" t="b">
        <v>0</v>
      </c>
      <c r="H2557" t="s">
        <v>24</v>
      </c>
      <c r="I2557" t="s">
        <v>33</v>
      </c>
    </row>
    <row r="2558" spans="1:9" x14ac:dyDescent="0.3">
      <c r="A2558" t="str">
        <f t="shared" si="39"/>
        <v>CASE-2557</v>
      </c>
      <c r="B2558" s="1">
        <v>45725</v>
      </c>
      <c r="C2558" t="s">
        <v>11</v>
      </c>
      <c r="D2558">
        <v>2</v>
      </c>
      <c r="E2558" t="b">
        <v>1</v>
      </c>
      <c r="F2558" s="2">
        <v>7.9281021198532544</v>
      </c>
      <c r="G2558" t="b">
        <v>0</v>
      </c>
      <c r="H2558" t="s">
        <v>32</v>
      </c>
      <c r="I2558" t="s">
        <v>35</v>
      </c>
    </row>
    <row r="2559" spans="1:9" x14ac:dyDescent="0.3">
      <c r="A2559" t="str">
        <f t="shared" si="39"/>
        <v>CASE-2558</v>
      </c>
      <c r="B2559" s="1">
        <v>45495</v>
      </c>
      <c r="C2559" t="s">
        <v>11</v>
      </c>
      <c r="D2559">
        <v>1</v>
      </c>
      <c r="E2559" t="b">
        <v>0</v>
      </c>
      <c r="F2559" s="2">
        <v>32.51041697118719</v>
      </c>
      <c r="G2559" t="b">
        <v>0</v>
      </c>
      <c r="H2559" t="s">
        <v>17</v>
      </c>
      <c r="I2559" t="s">
        <v>33</v>
      </c>
    </row>
    <row r="2560" spans="1:9" x14ac:dyDescent="0.3">
      <c r="A2560" t="str">
        <f t="shared" si="39"/>
        <v>CASE-2559</v>
      </c>
      <c r="B2560" s="1">
        <v>45645</v>
      </c>
      <c r="C2560" t="s">
        <v>10</v>
      </c>
      <c r="D2560">
        <v>3</v>
      </c>
      <c r="E2560" t="b">
        <v>0</v>
      </c>
      <c r="F2560" s="2">
        <v>32.82516143578956</v>
      </c>
      <c r="G2560" t="b">
        <v>0</v>
      </c>
      <c r="H2560" t="s">
        <v>13</v>
      </c>
      <c r="I2560" t="s">
        <v>33</v>
      </c>
    </row>
    <row r="2561" spans="1:9" x14ac:dyDescent="0.3">
      <c r="A2561" t="str">
        <f t="shared" si="39"/>
        <v>CASE-2560</v>
      </c>
      <c r="B2561" s="1">
        <v>45679</v>
      </c>
      <c r="C2561" t="s">
        <v>11</v>
      </c>
      <c r="D2561">
        <v>2</v>
      </c>
      <c r="E2561" t="b">
        <v>0</v>
      </c>
      <c r="F2561" s="2">
        <v>22.434910202644346</v>
      </c>
      <c r="G2561" t="b">
        <v>0</v>
      </c>
      <c r="H2561" t="s">
        <v>27</v>
      </c>
      <c r="I2561" t="s">
        <v>33</v>
      </c>
    </row>
    <row r="2562" spans="1:9" x14ac:dyDescent="0.3">
      <c r="A2562" t="str">
        <f t="shared" si="39"/>
        <v>CASE-2561</v>
      </c>
      <c r="B2562" s="1">
        <v>45860</v>
      </c>
      <c r="C2562" t="s">
        <v>10</v>
      </c>
      <c r="D2562">
        <v>2</v>
      </c>
      <c r="E2562" t="b">
        <v>1</v>
      </c>
      <c r="F2562" s="2">
        <v>15.743466649264215</v>
      </c>
      <c r="G2562" t="b">
        <v>0</v>
      </c>
      <c r="H2562" t="s">
        <v>13</v>
      </c>
      <c r="I2562" t="s">
        <v>33</v>
      </c>
    </row>
    <row r="2563" spans="1:9" x14ac:dyDescent="0.3">
      <c r="A2563" t="str">
        <f t="shared" ref="A2563:A2626" si="40">"CASE-"&amp;TEXT(ROW()-1,"0000")</f>
        <v>CASE-2562</v>
      </c>
      <c r="B2563" s="1">
        <v>46056</v>
      </c>
      <c r="C2563" t="s">
        <v>9</v>
      </c>
      <c r="D2563">
        <v>4</v>
      </c>
      <c r="E2563" t="b">
        <v>1</v>
      </c>
      <c r="F2563" s="2">
        <v>5.3945393095503515</v>
      </c>
      <c r="G2563" t="b">
        <v>0</v>
      </c>
      <c r="H2563" t="s">
        <v>32</v>
      </c>
      <c r="I2563" t="s">
        <v>34</v>
      </c>
    </row>
    <row r="2564" spans="1:9" x14ac:dyDescent="0.3">
      <c r="A2564" t="str">
        <f t="shared" si="40"/>
        <v>CASE-2563</v>
      </c>
      <c r="B2564" s="1">
        <v>45743</v>
      </c>
      <c r="C2564" t="s">
        <v>9</v>
      </c>
      <c r="D2564">
        <v>4</v>
      </c>
      <c r="E2564" t="b">
        <v>0</v>
      </c>
      <c r="F2564" s="2">
        <v>5.4850074208604367</v>
      </c>
      <c r="G2564" t="b">
        <v>0</v>
      </c>
      <c r="H2564" t="s">
        <v>14</v>
      </c>
      <c r="I2564" t="s">
        <v>34</v>
      </c>
    </row>
    <row r="2565" spans="1:9" x14ac:dyDescent="0.3">
      <c r="A2565" t="str">
        <f t="shared" si="40"/>
        <v>CASE-2564</v>
      </c>
      <c r="B2565" s="1">
        <v>46048</v>
      </c>
      <c r="C2565" t="s">
        <v>9</v>
      </c>
      <c r="D2565">
        <v>2</v>
      </c>
      <c r="E2565" t="b">
        <v>1</v>
      </c>
      <c r="F2565" s="2">
        <v>8.7370211319010203</v>
      </c>
      <c r="G2565" t="b">
        <v>0</v>
      </c>
      <c r="H2565" t="s">
        <v>20</v>
      </c>
      <c r="I2565" t="s">
        <v>34</v>
      </c>
    </row>
    <row r="2566" spans="1:9" x14ac:dyDescent="0.3">
      <c r="A2566" t="str">
        <f t="shared" si="40"/>
        <v>CASE-2565</v>
      </c>
      <c r="B2566" s="1">
        <v>45647</v>
      </c>
      <c r="C2566" t="s">
        <v>12</v>
      </c>
      <c r="D2566">
        <v>2</v>
      </c>
      <c r="E2566" t="b">
        <v>0</v>
      </c>
      <c r="F2566" s="2">
        <v>37.353861168684411</v>
      </c>
      <c r="G2566" t="b">
        <v>0</v>
      </c>
      <c r="H2566" t="s">
        <v>14</v>
      </c>
      <c r="I2566" t="s">
        <v>33</v>
      </c>
    </row>
    <row r="2567" spans="1:9" x14ac:dyDescent="0.3">
      <c r="A2567" t="str">
        <f t="shared" si="40"/>
        <v>CASE-2566</v>
      </c>
      <c r="B2567" s="1">
        <v>45555</v>
      </c>
      <c r="C2567" t="s">
        <v>11</v>
      </c>
      <c r="D2567">
        <v>1</v>
      </c>
      <c r="E2567" t="b">
        <v>0</v>
      </c>
      <c r="F2567" s="2">
        <v>27.426243661873439</v>
      </c>
      <c r="G2567" t="b">
        <v>0</v>
      </c>
      <c r="H2567" t="s">
        <v>30</v>
      </c>
      <c r="I2567" t="s">
        <v>33</v>
      </c>
    </row>
    <row r="2568" spans="1:9" x14ac:dyDescent="0.3">
      <c r="A2568" t="str">
        <f t="shared" si="40"/>
        <v>CASE-2567</v>
      </c>
      <c r="B2568" s="1">
        <v>45620</v>
      </c>
      <c r="C2568" t="s">
        <v>11</v>
      </c>
      <c r="D2568">
        <v>2</v>
      </c>
      <c r="E2568" t="b">
        <v>0</v>
      </c>
      <c r="F2568" s="2">
        <v>19.716071956337146</v>
      </c>
      <c r="G2568" t="b">
        <v>0</v>
      </c>
      <c r="H2568" t="s">
        <v>30</v>
      </c>
      <c r="I2568" t="s">
        <v>33</v>
      </c>
    </row>
    <row r="2569" spans="1:9" x14ac:dyDescent="0.3">
      <c r="A2569" t="str">
        <f t="shared" si="40"/>
        <v>CASE-2568</v>
      </c>
      <c r="B2569" s="1">
        <v>46085</v>
      </c>
      <c r="C2569" t="s">
        <v>10</v>
      </c>
      <c r="D2569">
        <v>3</v>
      </c>
      <c r="E2569" t="b">
        <v>1</v>
      </c>
      <c r="F2569" s="2">
        <v>6.338316187044291</v>
      </c>
      <c r="G2569" t="b">
        <v>0</v>
      </c>
      <c r="H2569" t="s">
        <v>14</v>
      </c>
      <c r="I2569" t="s">
        <v>34</v>
      </c>
    </row>
    <row r="2570" spans="1:9" x14ac:dyDescent="0.3">
      <c r="A2570" t="str">
        <f t="shared" si="40"/>
        <v>CASE-2569</v>
      </c>
      <c r="B2570" s="1">
        <v>45783</v>
      </c>
      <c r="C2570" t="s">
        <v>11</v>
      </c>
      <c r="D2570">
        <v>2</v>
      </c>
      <c r="E2570" t="b">
        <v>1</v>
      </c>
      <c r="F2570" s="2">
        <v>6.4749505320543896</v>
      </c>
      <c r="G2570" t="b">
        <v>0</v>
      </c>
      <c r="H2570" t="s">
        <v>15</v>
      </c>
      <c r="I2570" t="s">
        <v>34</v>
      </c>
    </row>
    <row r="2571" spans="1:9" x14ac:dyDescent="0.3">
      <c r="A2571" t="str">
        <f t="shared" si="40"/>
        <v>CASE-2570</v>
      </c>
      <c r="B2571" s="1">
        <v>45876</v>
      </c>
      <c r="C2571" t="s">
        <v>11</v>
      </c>
      <c r="D2571">
        <v>2</v>
      </c>
      <c r="E2571" t="b">
        <v>1</v>
      </c>
      <c r="F2571" s="2">
        <v>5.989991543683729</v>
      </c>
      <c r="G2571" t="b">
        <v>0</v>
      </c>
      <c r="H2571" t="s">
        <v>25</v>
      </c>
      <c r="I2571" t="s">
        <v>34</v>
      </c>
    </row>
    <row r="2572" spans="1:9" x14ac:dyDescent="0.3">
      <c r="A2572" t="str">
        <f t="shared" si="40"/>
        <v>CASE-2571</v>
      </c>
      <c r="B2572" s="1">
        <v>45749</v>
      </c>
      <c r="C2572" t="s">
        <v>10</v>
      </c>
      <c r="D2572">
        <v>5</v>
      </c>
      <c r="E2572" t="b">
        <v>1</v>
      </c>
      <c r="F2572" s="2">
        <v>6.4621665689140073</v>
      </c>
      <c r="G2572" t="b">
        <v>0</v>
      </c>
      <c r="H2572" t="s">
        <v>19</v>
      </c>
      <c r="I2572" t="s">
        <v>34</v>
      </c>
    </row>
    <row r="2573" spans="1:9" x14ac:dyDescent="0.3">
      <c r="A2573" t="str">
        <f t="shared" si="40"/>
        <v>CASE-2572</v>
      </c>
      <c r="B2573" s="1">
        <v>45877</v>
      </c>
      <c r="C2573" t="s">
        <v>9</v>
      </c>
      <c r="D2573">
        <v>2</v>
      </c>
      <c r="E2573" t="b">
        <v>1</v>
      </c>
      <c r="F2573" s="2">
        <v>1.0360040824176053</v>
      </c>
      <c r="G2573" t="b">
        <v>0</v>
      </c>
      <c r="H2573" t="s">
        <v>29</v>
      </c>
      <c r="I2573" t="s">
        <v>34</v>
      </c>
    </row>
    <row r="2574" spans="1:9" x14ac:dyDescent="0.3">
      <c r="A2574" t="str">
        <f t="shared" si="40"/>
        <v>CASE-2573</v>
      </c>
      <c r="B2574" s="1">
        <v>46014</v>
      </c>
      <c r="C2574" t="s">
        <v>12</v>
      </c>
      <c r="D2574">
        <v>5</v>
      </c>
      <c r="E2574" t="b">
        <v>0</v>
      </c>
      <c r="F2574" s="2">
        <v>31.735084072181646</v>
      </c>
      <c r="G2574" t="b">
        <v>0</v>
      </c>
      <c r="H2574" t="s">
        <v>30</v>
      </c>
      <c r="I2574" t="s">
        <v>33</v>
      </c>
    </row>
    <row r="2575" spans="1:9" x14ac:dyDescent="0.3">
      <c r="A2575" t="str">
        <f t="shared" si="40"/>
        <v>CASE-2574</v>
      </c>
      <c r="B2575" s="1">
        <v>45693</v>
      </c>
      <c r="C2575" t="s">
        <v>9</v>
      </c>
      <c r="D2575">
        <v>1</v>
      </c>
      <c r="E2575" t="b">
        <v>1</v>
      </c>
      <c r="F2575" s="2">
        <v>4.1720331553809338</v>
      </c>
      <c r="G2575" t="b">
        <v>0</v>
      </c>
      <c r="H2575" t="s">
        <v>14</v>
      </c>
      <c r="I2575" t="s">
        <v>35</v>
      </c>
    </row>
    <row r="2576" spans="1:9" x14ac:dyDescent="0.3">
      <c r="A2576" t="str">
        <f t="shared" si="40"/>
        <v>CASE-2575</v>
      </c>
      <c r="B2576" s="1">
        <v>45683</v>
      </c>
      <c r="C2576" t="s">
        <v>10</v>
      </c>
      <c r="D2576">
        <v>4</v>
      </c>
      <c r="E2576" t="b">
        <v>1</v>
      </c>
      <c r="F2576" s="2">
        <v>9.3307894660301471</v>
      </c>
      <c r="G2576" t="b">
        <v>0</v>
      </c>
      <c r="H2576" t="s">
        <v>32</v>
      </c>
      <c r="I2576" t="s">
        <v>34</v>
      </c>
    </row>
    <row r="2577" spans="1:9" x14ac:dyDescent="0.3">
      <c r="A2577" t="str">
        <f t="shared" si="40"/>
        <v>CASE-2576</v>
      </c>
      <c r="B2577" s="1">
        <v>46200</v>
      </c>
      <c r="C2577" t="s">
        <v>9</v>
      </c>
      <c r="D2577">
        <v>4</v>
      </c>
      <c r="E2577" t="b">
        <v>0</v>
      </c>
      <c r="F2577" s="2">
        <v>3.2009137367716476</v>
      </c>
      <c r="G2577" t="b">
        <v>0</v>
      </c>
      <c r="H2577" t="s">
        <v>32</v>
      </c>
      <c r="I2577" t="s">
        <v>35</v>
      </c>
    </row>
    <row r="2578" spans="1:9" x14ac:dyDescent="0.3">
      <c r="A2578" t="str">
        <f t="shared" si="40"/>
        <v>CASE-2577</v>
      </c>
      <c r="B2578" s="1">
        <v>46186</v>
      </c>
      <c r="C2578" t="s">
        <v>9</v>
      </c>
      <c r="D2578">
        <v>5</v>
      </c>
      <c r="E2578" t="b">
        <v>1</v>
      </c>
      <c r="F2578" s="2">
        <v>8.2405568677762595</v>
      </c>
      <c r="G2578" t="b">
        <v>0</v>
      </c>
      <c r="H2578" t="s">
        <v>23</v>
      </c>
      <c r="I2578" t="s">
        <v>34</v>
      </c>
    </row>
    <row r="2579" spans="1:9" x14ac:dyDescent="0.3">
      <c r="A2579" t="str">
        <f t="shared" si="40"/>
        <v>CASE-2578</v>
      </c>
      <c r="B2579" s="1">
        <v>46145</v>
      </c>
      <c r="C2579" t="s">
        <v>11</v>
      </c>
      <c r="D2579">
        <v>2</v>
      </c>
      <c r="E2579" t="b">
        <v>1</v>
      </c>
      <c r="F2579" s="2">
        <v>18.495743833946754</v>
      </c>
      <c r="G2579" t="b">
        <v>0</v>
      </c>
      <c r="H2579" t="s">
        <v>20</v>
      </c>
      <c r="I2579" t="s">
        <v>33</v>
      </c>
    </row>
    <row r="2580" spans="1:9" x14ac:dyDescent="0.3">
      <c r="A2580" t="str">
        <f t="shared" si="40"/>
        <v>CASE-2579</v>
      </c>
      <c r="B2580" s="1">
        <v>45618</v>
      </c>
      <c r="C2580" t="s">
        <v>11</v>
      </c>
      <c r="D2580">
        <v>3</v>
      </c>
      <c r="E2580" t="b">
        <v>0</v>
      </c>
      <c r="F2580" s="2">
        <v>16.909344839667991</v>
      </c>
      <c r="G2580" t="b">
        <v>0</v>
      </c>
      <c r="H2580" t="s">
        <v>24</v>
      </c>
      <c r="I2580" t="s">
        <v>33</v>
      </c>
    </row>
    <row r="2581" spans="1:9" x14ac:dyDescent="0.3">
      <c r="A2581" t="str">
        <f t="shared" si="40"/>
        <v>CASE-2580</v>
      </c>
      <c r="B2581" s="1">
        <v>46027</v>
      </c>
      <c r="C2581" t="s">
        <v>9</v>
      </c>
      <c r="D2581">
        <v>4</v>
      </c>
      <c r="E2581" t="b">
        <v>1</v>
      </c>
      <c r="F2581" s="2">
        <v>27.66045923476797</v>
      </c>
      <c r="G2581" t="b">
        <v>0</v>
      </c>
      <c r="H2581" t="s">
        <v>18</v>
      </c>
      <c r="I2581" t="s">
        <v>33</v>
      </c>
    </row>
    <row r="2582" spans="1:9" x14ac:dyDescent="0.3">
      <c r="A2582" t="str">
        <f t="shared" si="40"/>
        <v>CASE-2581</v>
      </c>
      <c r="B2582" s="1">
        <v>45507</v>
      </c>
      <c r="C2582" t="s">
        <v>9</v>
      </c>
      <c r="D2582">
        <v>1</v>
      </c>
      <c r="E2582" t="b">
        <v>0</v>
      </c>
      <c r="F2582" s="2">
        <v>24.563140934564778</v>
      </c>
      <c r="G2582" t="b">
        <v>0</v>
      </c>
      <c r="H2582" t="s">
        <v>28</v>
      </c>
      <c r="I2582" t="s">
        <v>33</v>
      </c>
    </row>
    <row r="2583" spans="1:9" x14ac:dyDescent="0.3">
      <c r="A2583" t="str">
        <f t="shared" si="40"/>
        <v>CASE-2582</v>
      </c>
      <c r="B2583" s="1">
        <v>45621</v>
      </c>
      <c r="C2583" t="s">
        <v>11</v>
      </c>
      <c r="D2583">
        <v>1</v>
      </c>
      <c r="E2583" t="b">
        <v>0</v>
      </c>
      <c r="F2583" s="2">
        <v>22.625100091116501</v>
      </c>
      <c r="G2583" t="b">
        <v>0</v>
      </c>
      <c r="H2583" t="s">
        <v>24</v>
      </c>
      <c r="I2583" t="s">
        <v>33</v>
      </c>
    </row>
    <row r="2584" spans="1:9" x14ac:dyDescent="0.3">
      <c r="A2584" t="str">
        <f t="shared" si="40"/>
        <v>CASE-2583</v>
      </c>
      <c r="B2584" s="1">
        <v>45667</v>
      </c>
      <c r="C2584" t="s">
        <v>11</v>
      </c>
      <c r="D2584">
        <v>5</v>
      </c>
      <c r="E2584" t="b">
        <v>1</v>
      </c>
      <c r="F2584" s="2">
        <v>7.7537604610796329</v>
      </c>
      <c r="G2584" t="b">
        <v>0</v>
      </c>
      <c r="H2584" t="s">
        <v>19</v>
      </c>
      <c r="I2584" t="s">
        <v>34</v>
      </c>
    </row>
    <row r="2585" spans="1:9" x14ac:dyDescent="0.3">
      <c r="A2585" t="str">
        <f t="shared" si="40"/>
        <v>CASE-2584</v>
      </c>
      <c r="B2585" s="1">
        <v>45539</v>
      </c>
      <c r="C2585" t="s">
        <v>9</v>
      </c>
      <c r="D2585">
        <v>5</v>
      </c>
      <c r="E2585" t="b">
        <v>0</v>
      </c>
      <c r="F2585" s="2">
        <v>25.982181041705743</v>
      </c>
      <c r="G2585" t="b">
        <v>0</v>
      </c>
      <c r="H2585" t="s">
        <v>24</v>
      </c>
      <c r="I2585" t="s">
        <v>33</v>
      </c>
    </row>
    <row r="2586" spans="1:9" x14ac:dyDescent="0.3">
      <c r="A2586" t="str">
        <f t="shared" si="40"/>
        <v>CASE-2585</v>
      </c>
      <c r="B2586" s="1">
        <v>46129</v>
      </c>
      <c r="C2586" t="s">
        <v>11</v>
      </c>
      <c r="D2586">
        <v>5</v>
      </c>
      <c r="E2586" t="b">
        <v>1</v>
      </c>
      <c r="F2586" s="2">
        <v>6.0011409837534551</v>
      </c>
      <c r="G2586" t="b">
        <v>0</v>
      </c>
      <c r="H2586" t="s">
        <v>16</v>
      </c>
      <c r="I2586" t="s">
        <v>34</v>
      </c>
    </row>
    <row r="2587" spans="1:9" x14ac:dyDescent="0.3">
      <c r="A2587" t="str">
        <f t="shared" si="40"/>
        <v>CASE-2586</v>
      </c>
      <c r="B2587" s="1">
        <v>45580</v>
      </c>
      <c r="C2587" t="s">
        <v>10</v>
      </c>
      <c r="D2587">
        <v>1</v>
      </c>
      <c r="E2587" t="b">
        <v>0</v>
      </c>
      <c r="F2587" s="2">
        <v>39.459015562742401</v>
      </c>
      <c r="G2587" t="b">
        <v>0</v>
      </c>
      <c r="H2587" t="s">
        <v>25</v>
      </c>
      <c r="I2587" t="s">
        <v>33</v>
      </c>
    </row>
    <row r="2588" spans="1:9" x14ac:dyDescent="0.3">
      <c r="A2588" t="str">
        <f t="shared" si="40"/>
        <v>CASE-2587</v>
      </c>
      <c r="B2588" s="1">
        <v>46111</v>
      </c>
      <c r="C2588" t="s">
        <v>9</v>
      </c>
      <c r="D2588">
        <v>1</v>
      </c>
      <c r="E2588" t="b">
        <v>1</v>
      </c>
      <c r="F2588" s="2">
        <v>7.9120226879276165</v>
      </c>
      <c r="G2588" t="b">
        <v>0</v>
      </c>
      <c r="H2588" t="s">
        <v>27</v>
      </c>
      <c r="I2588" t="s">
        <v>34</v>
      </c>
    </row>
    <row r="2589" spans="1:9" x14ac:dyDescent="0.3">
      <c r="A2589" t="str">
        <f t="shared" si="40"/>
        <v>CASE-2588</v>
      </c>
      <c r="B2589" s="1">
        <v>45858</v>
      </c>
      <c r="C2589" t="s">
        <v>12</v>
      </c>
      <c r="D2589">
        <v>4</v>
      </c>
      <c r="E2589" t="b">
        <v>1</v>
      </c>
      <c r="F2589" s="2">
        <v>6.6337589864013964</v>
      </c>
      <c r="G2589" t="b">
        <v>0</v>
      </c>
      <c r="H2589" t="s">
        <v>16</v>
      </c>
      <c r="I2589" t="s">
        <v>34</v>
      </c>
    </row>
    <row r="2590" spans="1:9" x14ac:dyDescent="0.3">
      <c r="A2590" t="str">
        <f t="shared" si="40"/>
        <v>CASE-2589</v>
      </c>
      <c r="B2590" s="1">
        <v>45640</v>
      </c>
      <c r="C2590" t="s">
        <v>10</v>
      </c>
      <c r="D2590">
        <v>2</v>
      </c>
      <c r="E2590" t="b">
        <v>0</v>
      </c>
      <c r="F2590" s="2">
        <v>18.774557992988015</v>
      </c>
      <c r="G2590" t="b">
        <v>0</v>
      </c>
      <c r="H2590" t="s">
        <v>13</v>
      </c>
      <c r="I2590" t="s">
        <v>33</v>
      </c>
    </row>
    <row r="2591" spans="1:9" x14ac:dyDescent="0.3">
      <c r="A2591" t="str">
        <f t="shared" si="40"/>
        <v>CASE-2590</v>
      </c>
      <c r="B2591" s="1">
        <v>45742</v>
      </c>
      <c r="C2591" t="s">
        <v>10</v>
      </c>
      <c r="D2591">
        <v>3</v>
      </c>
      <c r="E2591" t="b">
        <v>1</v>
      </c>
      <c r="F2591" s="2">
        <v>15.234811721612049</v>
      </c>
      <c r="G2591" t="b">
        <v>0</v>
      </c>
      <c r="H2591" t="s">
        <v>17</v>
      </c>
      <c r="I2591" t="s">
        <v>33</v>
      </c>
    </row>
    <row r="2592" spans="1:9" x14ac:dyDescent="0.3">
      <c r="A2592" t="str">
        <f t="shared" si="40"/>
        <v>CASE-2591</v>
      </c>
      <c r="B2592" s="1">
        <v>45960</v>
      </c>
      <c r="C2592" t="s">
        <v>11</v>
      </c>
      <c r="D2592">
        <v>1</v>
      </c>
      <c r="E2592" t="b">
        <v>1</v>
      </c>
      <c r="F2592" s="2">
        <v>7.8531863883043016</v>
      </c>
      <c r="G2592" t="b">
        <v>0</v>
      </c>
      <c r="H2592" t="s">
        <v>30</v>
      </c>
      <c r="I2592" t="s">
        <v>34</v>
      </c>
    </row>
    <row r="2593" spans="1:9" x14ac:dyDescent="0.3">
      <c r="A2593" t="str">
        <f t="shared" si="40"/>
        <v>CASE-2592</v>
      </c>
      <c r="B2593" s="1">
        <v>45982</v>
      </c>
      <c r="C2593" t="s">
        <v>12</v>
      </c>
      <c r="D2593">
        <v>3</v>
      </c>
      <c r="E2593" t="b">
        <v>1</v>
      </c>
      <c r="F2593" s="2">
        <v>6.3811880785952502</v>
      </c>
      <c r="G2593" t="b">
        <v>0</v>
      </c>
      <c r="H2593" t="s">
        <v>27</v>
      </c>
      <c r="I2593" t="s">
        <v>34</v>
      </c>
    </row>
    <row r="2594" spans="1:9" x14ac:dyDescent="0.3">
      <c r="A2594" t="str">
        <f t="shared" si="40"/>
        <v>CASE-2593</v>
      </c>
      <c r="B2594" s="1">
        <v>45615</v>
      </c>
      <c r="C2594" t="s">
        <v>11</v>
      </c>
      <c r="D2594">
        <v>2</v>
      </c>
      <c r="E2594" t="b">
        <v>0</v>
      </c>
      <c r="F2594" s="2">
        <v>32.550274531039193</v>
      </c>
      <c r="G2594" t="b">
        <v>0</v>
      </c>
      <c r="H2594" t="s">
        <v>26</v>
      </c>
      <c r="I2594" t="s">
        <v>33</v>
      </c>
    </row>
    <row r="2595" spans="1:9" x14ac:dyDescent="0.3">
      <c r="A2595" t="str">
        <f t="shared" si="40"/>
        <v>CASE-2594</v>
      </c>
      <c r="B2595" s="1">
        <v>45494</v>
      </c>
      <c r="C2595" t="s">
        <v>12</v>
      </c>
      <c r="D2595">
        <v>4</v>
      </c>
      <c r="E2595" t="b">
        <v>0</v>
      </c>
      <c r="F2595" s="2">
        <v>17.630973467632725</v>
      </c>
      <c r="G2595" t="b">
        <v>0</v>
      </c>
      <c r="H2595" t="s">
        <v>23</v>
      </c>
      <c r="I2595" t="s">
        <v>33</v>
      </c>
    </row>
    <row r="2596" spans="1:9" x14ac:dyDescent="0.3">
      <c r="A2596" t="str">
        <f t="shared" si="40"/>
        <v>CASE-2595</v>
      </c>
      <c r="B2596" s="1">
        <v>45757</v>
      </c>
      <c r="C2596" t="s">
        <v>10</v>
      </c>
      <c r="D2596">
        <v>1</v>
      </c>
      <c r="E2596" t="b">
        <v>1</v>
      </c>
      <c r="F2596" s="2">
        <v>6.0983119034812336</v>
      </c>
      <c r="G2596" t="b">
        <v>0</v>
      </c>
      <c r="H2596" t="s">
        <v>24</v>
      </c>
      <c r="I2596" t="s">
        <v>34</v>
      </c>
    </row>
    <row r="2597" spans="1:9" x14ac:dyDescent="0.3">
      <c r="A2597" t="str">
        <f t="shared" si="40"/>
        <v>CASE-2596</v>
      </c>
      <c r="B2597" s="1">
        <v>45895</v>
      </c>
      <c r="C2597" t="s">
        <v>11</v>
      </c>
      <c r="D2597">
        <v>5</v>
      </c>
      <c r="E2597" t="b">
        <v>1</v>
      </c>
      <c r="F2597" s="2">
        <v>9.2580591085063233</v>
      </c>
      <c r="G2597" t="b">
        <v>0</v>
      </c>
      <c r="H2597" t="s">
        <v>22</v>
      </c>
      <c r="I2597" t="s">
        <v>34</v>
      </c>
    </row>
    <row r="2598" spans="1:9" x14ac:dyDescent="0.3">
      <c r="A2598" t="str">
        <f t="shared" si="40"/>
        <v>CASE-2597</v>
      </c>
      <c r="B2598" s="1">
        <v>45763</v>
      </c>
      <c r="C2598" t="s">
        <v>9</v>
      </c>
      <c r="D2598">
        <v>1</v>
      </c>
      <c r="E2598" t="b">
        <v>1</v>
      </c>
      <c r="F2598" s="2">
        <v>5.414162362736703</v>
      </c>
      <c r="G2598" t="b">
        <v>0</v>
      </c>
      <c r="H2598" t="s">
        <v>29</v>
      </c>
      <c r="I2598" t="s">
        <v>34</v>
      </c>
    </row>
    <row r="2599" spans="1:9" x14ac:dyDescent="0.3">
      <c r="A2599" t="str">
        <f t="shared" si="40"/>
        <v>CASE-2598</v>
      </c>
      <c r="B2599" s="1">
        <v>45737</v>
      </c>
      <c r="C2599" t="s">
        <v>10</v>
      </c>
      <c r="D2599">
        <v>5</v>
      </c>
      <c r="E2599" t="b">
        <v>1</v>
      </c>
      <c r="F2599" s="2">
        <v>7.535878212660875</v>
      </c>
      <c r="G2599" t="b">
        <v>0</v>
      </c>
      <c r="H2599" t="s">
        <v>16</v>
      </c>
      <c r="I2599" t="s">
        <v>34</v>
      </c>
    </row>
    <row r="2600" spans="1:9" x14ac:dyDescent="0.3">
      <c r="A2600" t="str">
        <f t="shared" si="40"/>
        <v>CASE-2599</v>
      </c>
      <c r="B2600" s="1">
        <v>45780</v>
      </c>
      <c r="C2600" t="s">
        <v>9</v>
      </c>
      <c r="D2600">
        <v>1</v>
      </c>
      <c r="E2600" t="b">
        <v>1</v>
      </c>
      <c r="F2600" s="2">
        <v>20.121464837193336</v>
      </c>
      <c r="G2600" t="b">
        <v>0</v>
      </c>
      <c r="H2600" t="s">
        <v>20</v>
      </c>
      <c r="I2600" t="s">
        <v>33</v>
      </c>
    </row>
    <row r="2601" spans="1:9" x14ac:dyDescent="0.3">
      <c r="A2601" t="str">
        <f t="shared" si="40"/>
        <v>CASE-2600</v>
      </c>
      <c r="B2601" s="1">
        <v>45717</v>
      </c>
      <c r="C2601" t="s">
        <v>12</v>
      </c>
      <c r="D2601">
        <v>4</v>
      </c>
      <c r="E2601" t="b">
        <v>0</v>
      </c>
      <c r="F2601" s="2">
        <v>7.4239578050650241</v>
      </c>
      <c r="G2601" t="b">
        <v>0</v>
      </c>
      <c r="H2601" t="s">
        <v>13</v>
      </c>
      <c r="I2601" t="s">
        <v>34</v>
      </c>
    </row>
    <row r="2602" spans="1:9" x14ac:dyDescent="0.3">
      <c r="A2602" t="str">
        <f t="shared" si="40"/>
        <v>CASE-2601</v>
      </c>
      <c r="B2602" s="1">
        <v>45978</v>
      </c>
      <c r="C2602" t="s">
        <v>9</v>
      </c>
      <c r="D2602">
        <v>4</v>
      </c>
      <c r="E2602" t="b">
        <v>1</v>
      </c>
      <c r="F2602" s="2">
        <v>7.9059870361493694</v>
      </c>
      <c r="G2602" t="b">
        <v>0</v>
      </c>
      <c r="H2602" t="s">
        <v>22</v>
      </c>
      <c r="I2602" t="s">
        <v>34</v>
      </c>
    </row>
    <row r="2603" spans="1:9" x14ac:dyDescent="0.3">
      <c r="A2603" t="str">
        <f t="shared" si="40"/>
        <v>CASE-2602</v>
      </c>
      <c r="B2603" s="1">
        <v>45746</v>
      </c>
      <c r="C2603" t="s">
        <v>12</v>
      </c>
      <c r="D2603">
        <v>3</v>
      </c>
      <c r="E2603" t="b">
        <v>1</v>
      </c>
      <c r="F2603" s="2">
        <v>5.2028001282649097</v>
      </c>
      <c r="G2603" t="b">
        <v>0</v>
      </c>
      <c r="H2603" t="s">
        <v>14</v>
      </c>
      <c r="I2603" t="s">
        <v>34</v>
      </c>
    </row>
    <row r="2604" spans="1:9" x14ac:dyDescent="0.3">
      <c r="A2604" t="str">
        <f t="shared" si="40"/>
        <v>CASE-2603</v>
      </c>
      <c r="B2604" s="1">
        <v>45490</v>
      </c>
      <c r="C2604" t="s">
        <v>10</v>
      </c>
      <c r="D2604">
        <v>2</v>
      </c>
      <c r="E2604" t="b">
        <v>0</v>
      </c>
      <c r="F2604" s="2">
        <v>10.417993469919885</v>
      </c>
      <c r="G2604" t="b">
        <v>0</v>
      </c>
      <c r="H2604" t="s">
        <v>16</v>
      </c>
      <c r="I2604" t="s">
        <v>33</v>
      </c>
    </row>
    <row r="2605" spans="1:9" x14ac:dyDescent="0.3">
      <c r="A2605" t="str">
        <f t="shared" si="40"/>
        <v>CASE-2604</v>
      </c>
      <c r="B2605" s="1">
        <v>45942</v>
      </c>
      <c r="C2605" t="s">
        <v>11</v>
      </c>
      <c r="D2605">
        <v>5</v>
      </c>
      <c r="E2605" t="b">
        <v>1</v>
      </c>
      <c r="F2605" s="2">
        <v>5.5143617877366786</v>
      </c>
      <c r="G2605" t="b">
        <v>0</v>
      </c>
      <c r="H2605" t="s">
        <v>30</v>
      </c>
      <c r="I2605" t="s">
        <v>34</v>
      </c>
    </row>
    <row r="2606" spans="1:9" x14ac:dyDescent="0.3">
      <c r="A2606" t="str">
        <f t="shared" si="40"/>
        <v>CASE-2605</v>
      </c>
      <c r="B2606" s="1">
        <v>45738</v>
      </c>
      <c r="C2606" t="s">
        <v>10</v>
      </c>
      <c r="D2606">
        <v>1</v>
      </c>
      <c r="E2606" t="b">
        <v>1</v>
      </c>
      <c r="F2606" s="2">
        <v>7.494238083516767</v>
      </c>
      <c r="G2606" t="b">
        <v>0</v>
      </c>
      <c r="H2606" t="s">
        <v>25</v>
      </c>
      <c r="I2606" t="s">
        <v>34</v>
      </c>
    </row>
    <row r="2607" spans="1:9" x14ac:dyDescent="0.3">
      <c r="A2607" t="str">
        <f t="shared" si="40"/>
        <v>CASE-2606</v>
      </c>
      <c r="B2607" s="1">
        <v>45677</v>
      </c>
      <c r="C2607" t="s">
        <v>11</v>
      </c>
      <c r="D2607">
        <v>1</v>
      </c>
      <c r="E2607" t="b">
        <v>1</v>
      </c>
      <c r="F2607" s="2">
        <v>8.9336276952808902</v>
      </c>
      <c r="G2607" t="b">
        <v>0</v>
      </c>
      <c r="H2607" t="s">
        <v>17</v>
      </c>
      <c r="I2607" t="s">
        <v>34</v>
      </c>
    </row>
    <row r="2608" spans="1:9" x14ac:dyDescent="0.3">
      <c r="A2608" t="str">
        <f t="shared" si="40"/>
        <v>CASE-2607</v>
      </c>
      <c r="B2608" s="1">
        <v>45592</v>
      </c>
      <c r="C2608" t="s">
        <v>9</v>
      </c>
      <c r="D2608">
        <v>3</v>
      </c>
      <c r="E2608" t="b">
        <v>0</v>
      </c>
      <c r="F2608" s="2">
        <v>32.182039897094953</v>
      </c>
      <c r="G2608" t="b">
        <v>0</v>
      </c>
      <c r="H2608" t="s">
        <v>19</v>
      </c>
      <c r="I2608" t="s">
        <v>33</v>
      </c>
    </row>
    <row r="2609" spans="1:9" x14ac:dyDescent="0.3">
      <c r="A2609" t="str">
        <f t="shared" si="40"/>
        <v>CASE-2608</v>
      </c>
      <c r="B2609" s="1">
        <v>45554</v>
      </c>
      <c r="C2609" t="s">
        <v>10</v>
      </c>
      <c r="D2609">
        <v>5</v>
      </c>
      <c r="E2609" t="b">
        <v>0</v>
      </c>
      <c r="F2609" s="2">
        <v>42.184816707001922</v>
      </c>
      <c r="G2609" t="b">
        <v>0</v>
      </c>
      <c r="H2609" t="s">
        <v>31</v>
      </c>
      <c r="I2609" t="s">
        <v>33</v>
      </c>
    </row>
    <row r="2610" spans="1:9" x14ac:dyDescent="0.3">
      <c r="A2610" t="str">
        <f t="shared" si="40"/>
        <v>CASE-2609</v>
      </c>
      <c r="B2610" s="1">
        <v>46168</v>
      </c>
      <c r="C2610" t="s">
        <v>10</v>
      </c>
      <c r="D2610">
        <v>1</v>
      </c>
      <c r="E2610" t="b">
        <v>0</v>
      </c>
      <c r="F2610" s="2">
        <v>7.5876569231910631</v>
      </c>
      <c r="G2610" t="b">
        <v>0</v>
      </c>
      <c r="H2610" t="s">
        <v>18</v>
      </c>
      <c r="I2610" t="s">
        <v>34</v>
      </c>
    </row>
    <row r="2611" spans="1:9" x14ac:dyDescent="0.3">
      <c r="A2611" t="str">
        <f t="shared" si="40"/>
        <v>CASE-2610</v>
      </c>
      <c r="B2611" s="1">
        <v>45733</v>
      </c>
      <c r="C2611" t="s">
        <v>12</v>
      </c>
      <c r="D2611">
        <v>5</v>
      </c>
      <c r="E2611" t="b">
        <v>1</v>
      </c>
      <c r="F2611" s="2">
        <v>7.264789901145158</v>
      </c>
      <c r="G2611" t="b">
        <v>0</v>
      </c>
      <c r="H2611" t="s">
        <v>24</v>
      </c>
      <c r="I2611" t="s">
        <v>34</v>
      </c>
    </row>
    <row r="2612" spans="1:9" x14ac:dyDescent="0.3">
      <c r="A2612" t="str">
        <f t="shared" si="40"/>
        <v>CASE-2611</v>
      </c>
      <c r="B2612" s="1">
        <v>45486</v>
      </c>
      <c r="C2612" t="s">
        <v>12</v>
      </c>
      <c r="D2612">
        <v>1</v>
      </c>
      <c r="E2612" t="b">
        <v>0</v>
      </c>
      <c r="F2612" s="2">
        <v>30.976991560428196</v>
      </c>
      <c r="G2612" t="b">
        <v>0</v>
      </c>
      <c r="H2612" t="s">
        <v>30</v>
      </c>
      <c r="I2612" t="s">
        <v>33</v>
      </c>
    </row>
    <row r="2613" spans="1:9" x14ac:dyDescent="0.3">
      <c r="A2613" t="str">
        <f t="shared" si="40"/>
        <v>CASE-2612</v>
      </c>
      <c r="B2613" s="1">
        <v>45896</v>
      </c>
      <c r="C2613" t="s">
        <v>10</v>
      </c>
      <c r="D2613">
        <v>3</v>
      </c>
      <c r="E2613" t="b">
        <v>1</v>
      </c>
      <c r="F2613" s="2">
        <v>24.241439580963995</v>
      </c>
      <c r="G2613" t="b">
        <v>0</v>
      </c>
      <c r="H2613" t="s">
        <v>15</v>
      </c>
      <c r="I2613" t="s">
        <v>33</v>
      </c>
    </row>
    <row r="2614" spans="1:9" x14ac:dyDescent="0.3">
      <c r="A2614" t="str">
        <f t="shared" si="40"/>
        <v>CASE-2613</v>
      </c>
      <c r="B2614" s="1">
        <v>45820</v>
      </c>
      <c r="C2614" t="s">
        <v>12</v>
      </c>
      <c r="D2614">
        <v>1</v>
      </c>
      <c r="E2614" t="b">
        <v>1</v>
      </c>
      <c r="F2614" s="2">
        <v>3.8964849106715649</v>
      </c>
      <c r="G2614" t="b">
        <v>0</v>
      </c>
      <c r="H2614" t="s">
        <v>31</v>
      </c>
      <c r="I2614" t="s">
        <v>34</v>
      </c>
    </row>
    <row r="2615" spans="1:9" x14ac:dyDescent="0.3">
      <c r="A2615" t="str">
        <f t="shared" si="40"/>
        <v>CASE-2614</v>
      </c>
      <c r="B2615" s="1">
        <v>45789</v>
      </c>
      <c r="C2615" t="s">
        <v>11</v>
      </c>
      <c r="D2615">
        <v>3</v>
      </c>
      <c r="E2615" t="b">
        <v>1</v>
      </c>
      <c r="F2615" s="2">
        <v>25.2817939563433</v>
      </c>
      <c r="G2615" t="b">
        <v>0</v>
      </c>
      <c r="H2615" t="s">
        <v>28</v>
      </c>
      <c r="I2615" t="s">
        <v>33</v>
      </c>
    </row>
    <row r="2616" spans="1:9" x14ac:dyDescent="0.3">
      <c r="A2616" t="str">
        <f t="shared" si="40"/>
        <v>CASE-2615</v>
      </c>
      <c r="B2616" s="1">
        <v>45957</v>
      </c>
      <c r="C2616" t="s">
        <v>10</v>
      </c>
      <c r="D2616">
        <v>3</v>
      </c>
      <c r="E2616" t="b">
        <v>1</v>
      </c>
      <c r="F2616" s="2">
        <v>6.3320335399123895</v>
      </c>
      <c r="G2616" t="b">
        <v>0</v>
      </c>
      <c r="H2616" t="s">
        <v>23</v>
      </c>
      <c r="I2616" t="s">
        <v>35</v>
      </c>
    </row>
    <row r="2617" spans="1:9" x14ac:dyDescent="0.3">
      <c r="A2617" t="str">
        <f t="shared" si="40"/>
        <v>CASE-2616</v>
      </c>
      <c r="B2617" s="1">
        <v>46009</v>
      </c>
      <c r="C2617" t="s">
        <v>11</v>
      </c>
      <c r="D2617">
        <v>3</v>
      </c>
      <c r="E2617" t="b">
        <v>1</v>
      </c>
      <c r="F2617" s="2">
        <v>8.8460619070423441</v>
      </c>
      <c r="G2617" t="b">
        <v>0</v>
      </c>
      <c r="H2617" t="s">
        <v>22</v>
      </c>
      <c r="I2617" t="s">
        <v>34</v>
      </c>
    </row>
    <row r="2618" spans="1:9" x14ac:dyDescent="0.3">
      <c r="A2618" t="str">
        <f t="shared" si="40"/>
        <v>CASE-2617</v>
      </c>
      <c r="B2618" s="1">
        <v>46123</v>
      </c>
      <c r="C2618" t="s">
        <v>10</v>
      </c>
      <c r="D2618">
        <v>4</v>
      </c>
      <c r="E2618" t="b">
        <v>1</v>
      </c>
      <c r="F2618" s="2">
        <v>18.996364529998989</v>
      </c>
      <c r="G2618" t="b">
        <v>0</v>
      </c>
      <c r="H2618" t="s">
        <v>19</v>
      </c>
      <c r="I2618" t="s">
        <v>33</v>
      </c>
    </row>
    <row r="2619" spans="1:9" x14ac:dyDescent="0.3">
      <c r="A2619" t="str">
        <f t="shared" si="40"/>
        <v>CASE-2618</v>
      </c>
      <c r="B2619" s="1">
        <v>46087</v>
      </c>
      <c r="C2619" t="s">
        <v>10</v>
      </c>
      <c r="D2619">
        <v>4</v>
      </c>
      <c r="E2619" t="b">
        <v>0</v>
      </c>
      <c r="F2619" s="2">
        <v>7.5146074824975946</v>
      </c>
      <c r="G2619" t="b">
        <v>1</v>
      </c>
      <c r="H2619" t="s">
        <v>31</v>
      </c>
      <c r="I2619" t="s">
        <v>34</v>
      </c>
    </row>
    <row r="2620" spans="1:9" x14ac:dyDescent="0.3">
      <c r="A2620" t="str">
        <f t="shared" si="40"/>
        <v>CASE-2619</v>
      </c>
      <c r="B2620" s="1">
        <v>45659</v>
      </c>
      <c r="C2620" t="s">
        <v>12</v>
      </c>
      <c r="D2620">
        <v>3</v>
      </c>
      <c r="E2620" t="b">
        <v>1</v>
      </c>
      <c r="F2620" s="2">
        <v>6.383272280239666</v>
      </c>
      <c r="G2620" t="b">
        <v>0</v>
      </c>
      <c r="H2620" t="s">
        <v>26</v>
      </c>
      <c r="I2620" t="s">
        <v>35</v>
      </c>
    </row>
    <row r="2621" spans="1:9" x14ac:dyDescent="0.3">
      <c r="A2621" t="str">
        <f t="shared" si="40"/>
        <v>CASE-2620</v>
      </c>
      <c r="B2621" s="1">
        <v>45868</v>
      </c>
      <c r="C2621" t="s">
        <v>9</v>
      </c>
      <c r="D2621">
        <v>2</v>
      </c>
      <c r="E2621" t="b">
        <v>1</v>
      </c>
      <c r="F2621" s="2">
        <v>17.521388361058065</v>
      </c>
      <c r="G2621" t="b">
        <v>0</v>
      </c>
      <c r="H2621" t="s">
        <v>32</v>
      </c>
      <c r="I2621" t="s">
        <v>33</v>
      </c>
    </row>
    <row r="2622" spans="1:9" x14ac:dyDescent="0.3">
      <c r="A2622" t="str">
        <f t="shared" si="40"/>
        <v>CASE-2621</v>
      </c>
      <c r="B2622" s="1">
        <v>45505</v>
      </c>
      <c r="C2622" t="s">
        <v>9</v>
      </c>
      <c r="D2622">
        <v>5</v>
      </c>
      <c r="E2622" t="b">
        <v>0</v>
      </c>
      <c r="F2622" s="2">
        <v>18.1064287314071</v>
      </c>
      <c r="G2622" t="b">
        <v>0</v>
      </c>
      <c r="H2622" t="s">
        <v>15</v>
      </c>
      <c r="I2622" t="s">
        <v>33</v>
      </c>
    </row>
    <row r="2623" spans="1:9" x14ac:dyDescent="0.3">
      <c r="A2623" t="str">
        <f t="shared" si="40"/>
        <v>CASE-2622</v>
      </c>
      <c r="B2623" s="1">
        <v>46087</v>
      </c>
      <c r="C2623" t="s">
        <v>11</v>
      </c>
      <c r="D2623">
        <v>4</v>
      </c>
      <c r="E2623" t="b">
        <v>0</v>
      </c>
      <c r="F2623" s="2">
        <v>6.3635080097246295</v>
      </c>
      <c r="G2623" t="b">
        <v>0</v>
      </c>
      <c r="H2623" t="s">
        <v>29</v>
      </c>
      <c r="I2623" t="s">
        <v>34</v>
      </c>
    </row>
    <row r="2624" spans="1:9" x14ac:dyDescent="0.3">
      <c r="A2624" t="str">
        <f t="shared" si="40"/>
        <v>CASE-2623</v>
      </c>
      <c r="B2624" s="1">
        <v>45937</v>
      </c>
      <c r="C2624" t="s">
        <v>11</v>
      </c>
      <c r="D2624">
        <v>1</v>
      </c>
      <c r="E2624" t="b">
        <v>1</v>
      </c>
      <c r="F2624" s="2">
        <v>22.443023266222625</v>
      </c>
      <c r="G2624" t="b">
        <v>0</v>
      </c>
      <c r="H2624" t="s">
        <v>18</v>
      </c>
      <c r="I2624" t="s">
        <v>33</v>
      </c>
    </row>
    <row r="2625" spans="1:9" x14ac:dyDescent="0.3">
      <c r="A2625" t="str">
        <f t="shared" si="40"/>
        <v>CASE-2624</v>
      </c>
      <c r="B2625" s="1">
        <v>45906</v>
      </c>
      <c r="C2625" t="s">
        <v>9</v>
      </c>
      <c r="D2625">
        <v>3</v>
      </c>
      <c r="E2625" t="b">
        <v>1</v>
      </c>
      <c r="F2625" s="2">
        <v>1.5386170119793121</v>
      </c>
      <c r="G2625" t="b">
        <v>0</v>
      </c>
      <c r="H2625" t="s">
        <v>27</v>
      </c>
      <c r="I2625" t="s">
        <v>34</v>
      </c>
    </row>
    <row r="2626" spans="1:9" x14ac:dyDescent="0.3">
      <c r="A2626" t="str">
        <f t="shared" si="40"/>
        <v>CASE-2625</v>
      </c>
      <c r="B2626" s="1">
        <v>46028</v>
      </c>
      <c r="C2626" t="s">
        <v>11</v>
      </c>
      <c r="D2626">
        <v>3</v>
      </c>
      <c r="E2626" t="b">
        <v>1</v>
      </c>
      <c r="F2626" s="2">
        <v>9.8087890102736104</v>
      </c>
      <c r="G2626" t="b">
        <v>0</v>
      </c>
      <c r="H2626" t="s">
        <v>31</v>
      </c>
      <c r="I2626" t="s">
        <v>34</v>
      </c>
    </row>
    <row r="2627" spans="1:9" x14ac:dyDescent="0.3">
      <c r="A2627" t="str">
        <f t="shared" ref="A2627:A2690" si="41">"CASE-"&amp;TEXT(ROW()-1,"0000")</f>
        <v>CASE-2626</v>
      </c>
      <c r="B2627" s="1">
        <v>45681</v>
      </c>
      <c r="C2627" t="s">
        <v>12</v>
      </c>
      <c r="D2627">
        <v>5</v>
      </c>
      <c r="E2627" t="b">
        <v>1</v>
      </c>
      <c r="F2627" s="2">
        <v>7.9361428380180516</v>
      </c>
      <c r="G2627" t="b">
        <v>0</v>
      </c>
      <c r="H2627" t="s">
        <v>16</v>
      </c>
      <c r="I2627" t="s">
        <v>34</v>
      </c>
    </row>
    <row r="2628" spans="1:9" x14ac:dyDescent="0.3">
      <c r="A2628" t="str">
        <f t="shared" si="41"/>
        <v>CASE-2627</v>
      </c>
      <c r="B2628" s="1">
        <v>46199</v>
      </c>
      <c r="C2628" t="s">
        <v>10</v>
      </c>
      <c r="D2628">
        <v>3</v>
      </c>
      <c r="E2628" t="b">
        <v>0</v>
      </c>
      <c r="F2628" s="2">
        <v>6.2342478585296792</v>
      </c>
      <c r="G2628" t="b">
        <v>0</v>
      </c>
      <c r="H2628" t="s">
        <v>13</v>
      </c>
      <c r="I2628" t="s">
        <v>34</v>
      </c>
    </row>
    <row r="2629" spans="1:9" x14ac:dyDescent="0.3">
      <c r="A2629" t="str">
        <f t="shared" si="41"/>
        <v>CASE-2628</v>
      </c>
      <c r="B2629" s="1">
        <v>45616</v>
      </c>
      <c r="C2629" t="s">
        <v>11</v>
      </c>
      <c r="D2629">
        <v>3</v>
      </c>
      <c r="E2629" t="b">
        <v>0</v>
      </c>
      <c r="F2629" s="2">
        <v>36.543644589170611</v>
      </c>
      <c r="G2629" t="b">
        <v>0</v>
      </c>
      <c r="H2629" t="s">
        <v>28</v>
      </c>
      <c r="I2629" t="s">
        <v>33</v>
      </c>
    </row>
    <row r="2630" spans="1:9" x14ac:dyDescent="0.3">
      <c r="A2630" t="str">
        <f t="shared" si="41"/>
        <v>CASE-2629</v>
      </c>
      <c r="B2630" s="1">
        <v>45984</v>
      </c>
      <c r="C2630" t="s">
        <v>10</v>
      </c>
      <c r="D2630">
        <v>5</v>
      </c>
      <c r="E2630" t="b">
        <v>1</v>
      </c>
      <c r="F2630" s="2">
        <v>8.5184517130809603</v>
      </c>
      <c r="G2630" t="b">
        <v>0</v>
      </c>
      <c r="H2630" t="s">
        <v>27</v>
      </c>
      <c r="I2630" t="s">
        <v>34</v>
      </c>
    </row>
    <row r="2631" spans="1:9" x14ac:dyDescent="0.3">
      <c r="A2631" t="str">
        <f t="shared" si="41"/>
        <v>CASE-2630</v>
      </c>
      <c r="B2631" s="1">
        <v>45823</v>
      </c>
      <c r="C2631" t="s">
        <v>9</v>
      </c>
      <c r="D2631">
        <v>4</v>
      </c>
      <c r="E2631" t="b">
        <v>1</v>
      </c>
      <c r="F2631" s="2">
        <v>6.6639852850314805</v>
      </c>
      <c r="G2631" t="b">
        <v>0</v>
      </c>
      <c r="H2631" t="s">
        <v>20</v>
      </c>
      <c r="I2631" t="s">
        <v>34</v>
      </c>
    </row>
    <row r="2632" spans="1:9" x14ac:dyDescent="0.3">
      <c r="A2632" t="str">
        <f t="shared" si="41"/>
        <v>CASE-2631</v>
      </c>
      <c r="B2632" s="1">
        <v>45605</v>
      </c>
      <c r="C2632" t="s">
        <v>12</v>
      </c>
      <c r="D2632">
        <v>3</v>
      </c>
      <c r="E2632" t="b">
        <v>0</v>
      </c>
      <c r="F2632" s="2">
        <v>11.542671556921377</v>
      </c>
      <c r="G2632" t="b">
        <v>0</v>
      </c>
      <c r="H2632" t="s">
        <v>23</v>
      </c>
      <c r="I2632" t="s">
        <v>33</v>
      </c>
    </row>
    <row r="2633" spans="1:9" x14ac:dyDescent="0.3">
      <c r="A2633" t="str">
        <f t="shared" si="41"/>
        <v>CASE-2632</v>
      </c>
      <c r="B2633" s="1">
        <v>45937</v>
      </c>
      <c r="C2633" t="s">
        <v>9</v>
      </c>
      <c r="D2633">
        <v>5</v>
      </c>
      <c r="E2633" t="b">
        <v>1</v>
      </c>
      <c r="F2633" s="2">
        <v>5.5711323802442587</v>
      </c>
      <c r="G2633" t="b">
        <v>0</v>
      </c>
      <c r="H2633" t="s">
        <v>18</v>
      </c>
      <c r="I2633" t="s">
        <v>34</v>
      </c>
    </row>
    <row r="2634" spans="1:9" x14ac:dyDescent="0.3">
      <c r="A2634" t="str">
        <f t="shared" si="41"/>
        <v>CASE-2633</v>
      </c>
      <c r="B2634" s="1">
        <v>45987</v>
      </c>
      <c r="C2634" t="s">
        <v>11</v>
      </c>
      <c r="D2634">
        <v>4</v>
      </c>
      <c r="E2634" t="b">
        <v>0</v>
      </c>
      <c r="F2634" s="2">
        <v>7.090891258968429</v>
      </c>
      <c r="G2634" t="b">
        <v>0</v>
      </c>
      <c r="H2634" t="s">
        <v>26</v>
      </c>
      <c r="I2634" t="s">
        <v>34</v>
      </c>
    </row>
    <row r="2635" spans="1:9" x14ac:dyDescent="0.3">
      <c r="A2635" t="str">
        <f t="shared" si="41"/>
        <v>CASE-2634</v>
      </c>
      <c r="B2635" s="1">
        <v>45945</v>
      </c>
      <c r="C2635" t="s">
        <v>12</v>
      </c>
      <c r="D2635">
        <v>2</v>
      </c>
      <c r="E2635" t="b">
        <v>1</v>
      </c>
      <c r="F2635" s="2">
        <v>6.0014543535396117</v>
      </c>
      <c r="G2635" t="b">
        <v>0</v>
      </c>
      <c r="H2635" t="s">
        <v>28</v>
      </c>
      <c r="I2635" t="s">
        <v>34</v>
      </c>
    </row>
    <row r="2636" spans="1:9" x14ac:dyDescent="0.3">
      <c r="A2636" t="str">
        <f t="shared" si="41"/>
        <v>CASE-2635</v>
      </c>
      <c r="B2636" s="1">
        <v>45475</v>
      </c>
      <c r="C2636" t="s">
        <v>11</v>
      </c>
      <c r="D2636">
        <v>1</v>
      </c>
      <c r="E2636" t="b">
        <v>0</v>
      </c>
      <c r="F2636" s="2">
        <v>18.475318043219115</v>
      </c>
      <c r="G2636" t="b">
        <v>0</v>
      </c>
      <c r="H2636" t="s">
        <v>18</v>
      </c>
      <c r="I2636" t="s">
        <v>33</v>
      </c>
    </row>
    <row r="2637" spans="1:9" x14ac:dyDescent="0.3">
      <c r="A2637" t="str">
        <f t="shared" si="41"/>
        <v>CASE-2636</v>
      </c>
      <c r="B2637" s="1">
        <v>45770</v>
      </c>
      <c r="C2637" t="s">
        <v>10</v>
      </c>
      <c r="D2637">
        <v>4</v>
      </c>
      <c r="E2637" t="b">
        <v>1</v>
      </c>
      <c r="F2637" s="2">
        <v>5.4133227159373334</v>
      </c>
      <c r="G2637" t="b">
        <v>0</v>
      </c>
      <c r="H2637" t="s">
        <v>22</v>
      </c>
      <c r="I2637" t="s">
        <v>34</v>
      </c>
    </row>
    <row r="2638" spans="1:9" x14ac:dyDescent="0.3">
      <c r="A2638" t="str">
        <f t="shared" si="41"/>
        <v>CASE-2637</v>
      </c>
      <c r="B2638" s="1">
        <v>46081</v>
      </c>
      <c r="C2638" t="s">
        <v>9</v>
      </c>
      <c r="D2638">
        <v>2</v>
      </c>
      <c r="E2638" t="b">
        <v>1</v>
      </c>
      <c r="F2638" s="2">
        <v>18.911051768793179</v>
      </c>
      <c r="G2638" t="b">
        <v>0</v>
      </c>
      <c r="H2638" t="s">
        <v>13</v>
      </c>
      <c r="I2638" t="s">
        <v>33</v>
      </c>
    </row>
    <row r="2639" spans="1:9" x14ac:dyDescent="0.3">
      <c r="A2639" t="str">
        <f t="shared" si="41"/>
        <v>CASE-2638</v>
      </c>
      <c r="B2639" s="1">
        <v>46056</v>
      </c>
      <c r="C2639" t="s">
        <v>12</v>
      </c>
      <c r="D2639">
        <v>5</v>
      </c>
      <c r="E2639" t="b">
        <v>1</v>
      </c>
      <c r="F2639" s="2">
        <v>3.1362071100611431</v>
      </c>
      <c r="G2639" t="b">
        <v>0</v>
      </c>
      <c r="H2639" t="s">
        <v>25</v>
      </c>
      <c r="I2639" t="s">
        <v>34</v>
      </c>
    </row>
    <row r="2640" spans="1:9" x14ac:dyDescent="0.3">
      <c r="A2640" t="str">
        <f t="shared" si="41"/>
        <v>CASE-2639</v>
      </c>
      <c r="B2640" s="1">
        <v>45482</v>
      </c>
      <c r="C2640" t="s">
        <v>12</v>
      </c>
      <c r="D2640">
        <v>4</v>
      </c>
      <c r="E2640" t="b">
        <v>0</v>
      </c>
      <c r="F2640" s="2">
        <v>16.708763200520838</v>
      </c>
      <c r="G2640" t="b">
        <v>0</v>
      </c>
      <c r="H2640" t="s">
        <v>18</v>
      </c>
      <c r="I2640" t="s">
        <v>33</v>
      </c>
    </row>
    <row r="2641" spans="1:9" x14ac:dyDescent="0.3">
      <c r="A2641" t="str">
        <f t="shared" si="41"/>
        <v>CASE-2640</v>
      </c>
      <c r="B2641" s="1">
        <v>46198</v>
      </c>
      <c r="C2641" t="s">
        <v>10</v>
      </c>
      <c r="D2641">
        <v>4</v>
      </c>
      <c r="E2641" t="b">
        <v>1</v>
      </c>
      <c r="F2641" s="2">
        <v>2.2730608852587055</v>
      </c>
      <c r="G2641" t="b">
        <v>0</v>
      </c>
      <c r="H2641" t="s">
        <v>15</v>
      </c>
      <c r="I2641" t="s">
        <v>34</v>
      </c>
    </row>
    <row r="2642" spans="1:9" x14ac:dyDescent="0.3">
      <c r="A2642" t="str">
        <f t="shared" si="41"/>
        <v>CASE-2641</v>
      </c>
      <c r="B2642" s="1">
        <v>46137</v>
      </c>
      <c r="C2642" t="s">
        <v>9</v>
      </c>
      <c r="D2642">
        <v>3</v>
      </c>
      <c r="E2642" t="b">
        <v>1</v>
      </c>
      <c r="F2642" s="2">
        <v>28.668639990366792</v>
      </c>
      <c r="G2642" t="b">
        <v>0</v>
      </c>
      <c r="H2642" t="s">
        <v>14</v>
      </c>
      <c r="I2642" t="s">
        <v>33</v>
      </c>
    </row>
    <row r="2643" spans="1:9" x14ac:dyDescent="0.3">
      <c r="A2643" t="str">
        <f t="shared" si="41"/>
        <v>CASE-2642</v>
      </c>
      <c r="B2643" s="1">
        <v>45716</v>
      </c>
      <c r="C2643" t="s">
        <v>12</v>
      </c>
      <c r="D2643">
        <v>4</v>
      </c>
      <c r="E2643" t="b">
        <v>1</v>
      </c>
      <c r="F2643" s="2">
        <v>4.5918488975924951</v>
      </c>
      <c r="G2643" t="b">
        <v>0</v>
      </c>
      <c r="H2643" t="s">
        <v>16</v>
      </c>
      <c r="I2643" t="s">
        <v>34</v>
      </c>
    </row>
    <row r="2644" spans="1:9" x14ac:dyDescent="0.3">
      <c r="A2644" t="str">
        <f t="shared" si="41"/>
        <v>CASE-2643</v>
      </c>
      <c r="B2644" s="1">
        <v>46010</v>
      </c>
      <c r="C2644" t="s">
        <v>12</v>
      </c>
      <c r="D2644">
        <v>4</v>
      </c>
      <c r="E2644" t="b">
        <v>1</v>
      </c>
      <c r="F2644" s="2">
        <v>5.4638739199308759</v>
      </c>
      <c r="G2644" t="b">
        <v>0</v>
      </c>
      <c r="H2644" t="s">
        <v>27</v>
      </c>
      <c r="I2644" t="s">
        <v>34</v>
      </c>
    </row>
    <row r="2645" spans="1:9" x14ac:dyDescent="0.3">
      <c r="A2645" t="str">
        <f t="shared" si="41"/>
        <v>CASE-2644</v>
      </c>
      <c r="B2645" s="1">
        <v>45570</v>
      </c>
      <c r="C2645" t="s">
        <v>9</v>
      </c>
      <c r="D2645">
        <v>3</v>
      </c>
      <c r="E2645" t="b">
        <v>0</v>
      </c>
      <c r="F2645" s="2">
        <v>-1.1052921292757709</v>
      </c>
      <c r="G2645" t="b">
        <v>0</v>
      </c>
      <c r="H2645" t="s">
        <v>22</v>
      </c>
      <c r="I2645" t="s">
        <v>33</v>
      </c>
    </row>
    <row r="2646" spans="1:9" x14ac:dyDescent="0.3">
      <c r="A2646" t="str">
        <f t="shared" si="41"/>
        <v>CASE-2645</v>
      </c>
      <c r="B2646" s="1">
        <v>45729</v>
      </c>
      <c r="C2646" t="s">
        <v>11</v>
      </c>
      <c r="D2646">
        <v>5</v>
      </c>
      <c r="E2646" t="b">
        <v>0</v>
      </c>
      <c r="F2646" s="2">
        <v>6.1089166131909911</v>
      </c>
      <c r="G2646" t="b">
        <v>1</v>
      </c>
      <c r="H2646" t="s">
        <v>19</v>
      </c>
      <c r="I2646" t="s">
        <v>34</v>
      </c>
    </row>
    <row r="2647" spans="1:9" x14ac:dyDescent="0.3">
      <c r="A2647" t="str">
        <f t="shared" si="41"/>
        <v>CASE-2646</v>
      </c>
      <c r="B2647" s="1">
        <v>45891</v>
      </c>
      <c r="C2647" t="s">
        <v>11</v>
      </c>
      <c r="D2647">
        <v>4</v>
      </c>
      <c r="E2647" t="b">
        <v>1</v>
      </c>
      <c r="F2647" s="2">
        <v>5.0848964489118336</v>
      </c>
      <c r="G2647" t="b">
        <v>0</v>
      </c>
      <c r="H2647" t="s">
        <v>18</v>
      </c>
      <c r="I2647" t="s">
        <v>34</v>
      </c>
    </row>
    <row r="2648" spans="1:9" x14ac:dyDescent="0.3">
      <c r="A2648" t="str">
        <f t="shared" si="41"/>
        <v>CASE-2647</v>
      </c>
      <c r="B2648" s="1">
        <v>45668</v>
      </c>
      <c r="C2648" t="s">
        <v>10</v>
      </c>
      <c r="D2648">
        <v>3</v>
      </c>
      <c r="E2648" t="b">
        <v>1</v>
      </c>
      <c r="F2648" s="2">
        <v>6.5119804079559742</v>
      </c>
      <c r="G2648" t="b">
        <v>0</v>
      </c>
      <c r="H2648" t="s">
        <v>19</v>
      </c>
      <c r="I2648" t="s">
        <v>35</v>
      </c>
    </row>
    <row r="2649" spans="1:9" x14ac:dyDescent="0.3">
      <c r="A2649" t="str">
        <f t="shared" si="41"/>
        <v>CASE-2648</v>
      </c>
      <c r="B2649" s="1">
        <v>46152</v>
      </c>
      <c r="C2649" t="s">
        <v>12</v>
      </c>
      <c r="D2649">
        <v>2</v>
      </c>
      <c r="E2649" t="b">
        <v>1</v>
      </c>
      <c r="F2649" s="2">
        <v>16.621469779288848</v>
      </c>
      <c r="G2649" t="b">
        <v>0</v>
      </c>
      <c r="H2649" t="s">
        <v>14</v>
      </c>
      <c r="I2649" t="s">
        <v>33</v>
      </c>
    </row>
    <row r="2650" spans="1:9" x14ac:dyDescent="0.3">
      <c r="A2650" t="str">
        <f t="shared" si="41"/>
        <v>CASE-2649</v>
      </c>
      <c r="B2650" s="1">
        <v>45796</v>
      </c>
      <c r="C2650" t="s">
        <v>12</v>
      </c>
      <c r="D2650">
        <v>3</v>
      </c>
      <c r="E2650" t="b">
        <v>1</v>
      </c>
      <c r="F2650" s="2">
        <v>6.6528771830039748</v>
      </c>
      <c r="G2650" t="b">
        <v>0</v>
      </c>
      <c r="H2650" t="s">
        <v>14</v>
      </c>
      <c r="I2650" t="s">
        <v>34</v>
      </c>
    </row>
    <row r="2651" spans="1:9" x14ac:dyDescent="0.3">
      <c r="A2651" t="str">
        <f t="shared" si="41"/>
        <v>CASE-2650</v>
      </c>
      <c r="B2651" s="1">
        <v>45869</v>
      </c>
      <c r="C2651" t="s">
        <v>11</v>
      </c>
      <c r="D2651">
        <v>3</v>
      </c>
      <c r="E2651" t="b">
        <v>1</v>
      </c>
      <c r="F2651" s="2">
        <v>8.8988151647428619</v>
      </c>
      <c r="G2651" t="b">
        <v>0</v>
      </c>
      <c r="H2651" t="s">
        <v>16</v>
      </c>
      <c r="I2651" t="s">
        <v>34</v>
      </c>
    </row>
    <row r="2652" spans="1:9" x14ac:dyDescent="0.3">
      <c r="A2652" t="str">
        <f t="shared" si="41"/>
        <v>CASE-2651</v>
      </c>
      <c r="B2652" s="1">
        <v>45743</v>
      </c>
      <c r="C2652" t="s">
        <v>10</v>
      </c>
      <c r="D2652">
        <v>5</v>
      </c>
      <c r="E2652" t="b">
        <v>1</v>
      </c>
      <c r="F2652" s="2">
        <v>10.639841629008666</v>
      </c>
      <c r="G2652" t="b">
        <v>0</v>
      </c>
      <c r="H2652" t="s">
        <v>18</v>
      </c>
      <c r="I2652" t="s">
        <v>34</v>
      </c>
    </row>
    <row r="2653" spans="1:9" x14ac:dyDescent="0.3">
      <c r="A2653" t="str">
        <f t="shared" si="41"/>
        <v>CASE-2652</v>
      </c>
      <c r="B2653" s="1">
        <v>45796</v>
      </c>
      <c r="C2653" t="s">
        <v>10</v>
      </c>
      <c r="D2653">
        <v>2</v>
      </c>
      <c r="E2653" t="b">
        <v>1</v>
      </c>
      <c r="F2653" s="2">
        <v>3.7986189010428868</v>
      </c>
      <c r="G2653" t="b">
        <v>0</v>
      </c>
      <c r="H2653" t="s">
        <v>18</v>
      </c>
      <c r="I2653" t="s">
        <v>34</v>
      </c>
    </row>
    <row r="2654" spans="1:9" x14ac:dyDescent="0.3">
      <c r="A2654" t="str">
        <f t="shared" si="41"/>
        <v>CASE-2653</v>
      </c>
      <c r="B2654" s="1">
        <v>45895</v>
      </c>
      <c r="C2654" t="s">
        <v>10</v>
      </c>
      <c r="D2654">
        <v>4</v>
      </c>
      <c r="E2654" t="b">
        <v>1</v>
      </c>
      <c r="F2654" s="2">
        <v>26.168596415278756</v>
      </c>
      <c r="G2654" t="b">
        <v>0</v>
      </c>
      <c r="H2654" t="s">
        <v>26</v>
      </c>
      <c r="I2654" t="s">
        <v>33</v>
      </c>
    </row>
    <row r="2655" spans="1:9" x14ac:dyDescent="0.3">
      <c r="A2655" t="str">
        <f t="shared" si="41"/>
        <v>CASE-2654</v>
      </c>
      <c r="B2655" s="1">
        <v>45729</v>
      </c>
      <c r="C2655" t="s">
        <v>10</v>
      </c>
      <c r="D2655">
        <v>4</v>
      </c>
      <c r="E2655" t="b">
        <v>0</v>
      </c>
      <c r="F2655" s="2">
        <v>4.3383399361129014</v>
      </c>
      <c r="G2655" t="b">
        <v>0</v>
      </c>
      <c r="H2655" t="s">
        <v>22</v>
      </c>
      <c r="I2655" t="s">
        <v>34</v>
      </c>
    </row>
    <row r="2656" spans="1:9" x14ac:dyDescent="0.3">
      <c r="A2656" t="str">
        <f t="shared" si="41"/>
        <v>CASE-2655</v>
      </c>
      <c r="B2656" s="1">
        <v>45945</v>
      </c>
      <c r="C2656" t="s">
        <v>10</v>
      </c>
      <c r="D2656">
        <v>5</v>
      </c>
      <c r="E2656" t="b">
        <v>1</v>
      </c>
      <c r="F2656" s="2">
        <v>6.8098953007900862</v>
      </c>
      <c r="G2656" t="b">
        <v>0</v>
      </c>
      <c r="H2656" t="s">
        <v>24</v>
      </c>
      <c r="I2656" t="s">
        <v>34</v>
      </c>
    </row>
    <row r="2657" spans="1:9" x14ac:dyDescent="0.3">
      <c r="A2657" t="str">
        <f t="shared" si="41"/>
        <v>CASE-2656</v>
      </c>
      <c r="B2657" s="1">
        <v>45836</v>
      </c>
      <c r="C2657" t="s">
        <v>12</v>
      </c>
      <c r="D2657">
        <v>5</v>
      </c>
      <c r="E2657" t="b">
        <v>1</v>
      </c>
      <c r="F2657" s="2">
        <v>35.571912023756617</v>
      </c>
      <c r="G2657" t="b">
        <v>0</v>
      </c>
      <c r="H2657" t="s">
        <v>29</v>
      </c>
      <c r="I2657" t="s">
        <v>33</v>
      </c>
    </row>
    <row r="2658" spans="1:9" x14ac:dyDescent="0.3">
      <c r="A2658" t="str">
        <f t="shared" si="41"/>
        <v>CASE-2657</v>
      </c>
      <c r="B2658" s="1">
        <v>45911</v>
      </c>
      <c r="C2658" t="s">
        <v>12</v>
      </c>
      <c r="D2658">
        <v>4</v>
      </c>
      <c r="E2658" t="b">
        <v>1</v>
      </c>
      <c r="F2658" s="2">
        <v>14.815260347381903</v>
      </c>
      <c r="G2658" t="b">
        <v>0</v>
      </c>
      <c r="H2658" t="s">
        <v>27</v>
      </c>
      <c r="I2658" t="s">
        <v>33</v>
      </c>
    </row>
    <row r="2659" spans="1:9" x14ac:dyDescent="0.3">
      <c r="A2659" t="str">
        <f t="shared" si="41"/>
        <v>CASE-2658</v>
      </c>
      <c r="B2659" s="1">
        <v>45495</v>
      </c>
      <c r="C2659" t="s">
        <v>12</v>
      </c>
      <c r="D2659">
        <v>3</v>
      </c>
      <c r="E2659" t="b">
        <v>0</v>
      </c>
      <c r="F2659" s="2">
        <v>24.415107788780062</v>
      </c>
      <c r="G2659" t="b">
        <v>0</v>
      </c>
      <c r="H2659" t="s">
        <v>32</v>
      </c>
      <c r="I2659" t="s">
        <v>33</v>
      </c>
    </row>
    <row r="2660" spans="1:9" x14ac:dyDescent="0.3">
      <c r="A2660" t="str">
        <f t="shared" si="41"/>
        <v>CASE-2659</v>
      </c>
      <c r="B2660" s="1">
        <v>45652</v>
      </c>
      <c r="C2660" t="s">
        <v>10</v>
      </c>
      <c r="D2660">
        <v>1</v>
      </c>
      <c r="E2660" t="b">
        <v>0</v>
      </c>
      <c r="F2660" s="2">
        <v>33.109789611776627</v>
      </c>
      <c r="G2660" t="b">
        <v>0</v>
      </c>
      <c r="H2660" t="s">
        <v>23</v>
      </c>
      <c r="I2660" t="s">
        <v>33</v>
      </c>
    </row>
    <row r="2661" spans="1:9" x14ac:dyDescent="0.3">
      <c r="A2661" t="str">
        <f t="shared" si="41"/>
        <v>CASE-2660</v>
      </c>
      <c r="B2661" s="1">
        <v>45476</v>
      </c>
      <c r="C2661" t="s">
        <v>9</v>
      </c>
      <c r="D2661">
        <v>2</v>
      </c>
      <c r="E2661" t="b">
        <v>0</v>
      </c>
      <c r="F2661" s="2">
        <v>24.25810603301046</v>
      </c>
      <c r="G2661" t="b">
        <v>0</v>
      </c>
      <c r="H2661" t="s">
        <v>15</v>
      </c>
      <c r="I2661" t="s">
        <v>33</v>
      </c>
    </row>
    <row r="2662" spans="1:9" x14ac:dyDescent="0.3">
      <c r="A2662" t="str">
        <f t="shared" si="41"/>
        <v>CASE-2661</v>
      </c>
      <c r="B2662" s="1">
        <v>46203</v>
      </c>
      <c r="C2662" t="s">
        <v>11</v>
      </c>
      <c r="D2662">
        <v>2</v>
      </c>
      <c r="E2662" t="b">
        <v>1</v>
      </c>
      <c r="F2662" s="2">
        <v>3.8526257964728399</v>
      </c>
      <c r="G2662" t="b">
        <v>0</v>
      </c>
      <c r="H2662" t="s">
        <v>22</v>
      </c>
      <c r="I2662" t="s">
        <v>34</v>
      </c>
    </row>
    <row r="2663" spans="1:9" x14ac:dyDescent="0.3">
      <c r="A2663" t="str">
        <f t="shared" si="41"/>
        <v>CASE-2662</v>
      </c>
      <c r="B2663" s="1">
        <v>45845</v>
      </c>
      <c r="C2663" t="s">
        <v>11</v>
      </c>
      <c r="D2663">
        <v>2</v>
      </c>
      <c r="E2663" t="b">
        <v>1</v>
      </c>
      <c r="F2663" s="2">
        <v>7.3544639532589002</v>
      </c>
      <c r="G2663" t="b">
        <v>0</v>
      </c>
      <c r="H2663" t="s">
        <v>16</v>
      </c>
      <c r="I2663" t="s">
        <v>34</v>
      </c>
    </row>
    <row r="2664" spans="1:9" x14ac:dyDescent="0.3">
      <c r="A2664" t="str">
        <f t="shared" si="41"/>
        <v>CASE-2663</v>
      </c>
      <c r="B2664" s="1">
        <v>45875</v>
      </c>
      <c r="C2664" t="s">
        <v>12</v>
      </c>
      <c r="D2664">
        <v>2</v>
      </c>
      <c r="E2664" t="b">
        <v>1</v>
      </c>
      <c r="F2664" s="2">
        <v>13.339334095356529</v>
      </c>
      <c r="G2664" t="b">
        <v>0</v>
      </c>
      <c r="H2664" t="s">
        <v>16</v>
      </c>
      <c r="I2664" t="s">
        <v>33</v>
      </c>
    </row>
    <row r="2665" spans="1:9" x14ac:dyDescent="0.3">
      <c r="A2665" t="str">
        <f t="shared" si="41"/>
        <v>CASE-2664</v>
      </c>
      <c r="B2665" s="1">
        <v>45845</v>
      </c>
      <c r="C2665" t="s">
        <v>11</v>
      </c>
      <c r="D2665">
        <v>3</v>
      </c>
      <c r="E2665" t="b">
        <v>1</v>
      </c>
      <c r="F2665" s="2">
        <v>4.6380509917240058</v>
      </c>
      <c r="G2665" t="b">
        <v>0</v>
      </c>
      <c r="H2665" t="s">
        <v>26</v>
      </c>
      <c r="I2665" t="s">
        <v>34</v>
      </c>
    </row>
    <row r="2666" spans="1:9" x14ac:dyDescent="0.3">
      <c r="A2666" t="str">
        <f t="shared" si="41"/>
        <v>CASE-2665</v>
      </c>
      <c r="B2666" s="1">
        <v>45539</v>
      </c>
      <c r="C2666" t="s">
        <v>12</v>
      </c>
      <c r="D2666">
        <v>4</v>
      </c>
      <c r="E2666" t="b">
        <v>0</v>
      </c>
      <c r="F2666" s="2">
        <v>23.186696576479047</v>
      </c>
      <c r="G2666" t="b">
        <v>0</v>
      </c>
      <c r="H2666" t="s">
        <v>30</v>
      </c>
      <c r="I2666" t="s">
        <v>33</v>
      </c>
    </row>
    <row r="2667" spans="1:9" x14ac:dyDescent="0.3">
      <c r="A2667" t="str">
        <f t="shared" si="41"/>
        <v>CASE-2666</v>
      </c>
      <c r="B2667" s="1">
        <v>46150</v>
      </c>
      <c r="C2667" t="s">
        <v>11</v>
      </c>
      <c r="D2667">
        <v>2</v>
      </c>
      <c r="E2667" t="b">
        <v>1</v>
      </c>
      <c r="F2667" s="2">
        <v>19.193784619753146</v>
      </c>
      <c r="G2667" t="b">
        <v>0</v>
      </c>
      <c r="H2667" t="s">
        <v>13</v>
      </c>
      <c r="I2667" t="s">
        <v>33</v>
      </c>
    </row>
    <row r="2668" spans="1:9" x14ac:dyDescent="0.3">
      <c r="A2668" t="str">
        <f t="shared" si="41"/>
        <v>CASE-2667</v>
      </c>
      <c r="B2668" s="1">
        <v>45833</v>
      </c>
      <c r="C2668" t="s">
        <v>9</v>
      </c>
      <c r="D2668">
        <v>2</v>
      </c>
      <c r="E2668" t="b">
        <v>1</v>
      </c>
      <c r="F2668" s="2">
        <v>5.6401448083836101</v>
      </c>
      <c r="G2668" t="b">
        <v>0</v>
      </c>
      <c r="H2668" t="s">
        <v>20</v>
      </c>
      <c r="I2668" t="s">
        <v>34</v>
      </c>
    </row>
    <row r="2669" spans="1:9" x14ac:dyDescent="0.3">
      <c r="A2669" t="str">
        <f t="shared" si="41"/>
        <v>CASE-2668</v>
      </c>
      <c r="B2669" s="1">
        <v>45501</v>
      </c>
      <c r="C2669" t="s">
        <v>11</v>
      </c>
      <c r="D2669">
        <v>1</v>
      </c>
      <c r="E2669" t="b">
        <v>0</v>
      </c>
      <c r="F2669" s="2">
        <v>44.992169692206822</v>
      </c>
      <c r="G2669" t="b">
        <v>0</v>
      </c>
      <c r="H2669" t="s">
        <v>30</v>
      </c>
      <c r="I2669" t="s">
        <v>33</v>
      </c>
    </row>
    <row r="2670" spans="1:9" x14ac:dyDescent="0.3">
      <c r="A2670" t="str">
        <f t="shared" si="41"/>
        <v>CASE-2669</v>
      </c>
      <c r="B2670" s="1">
        <v>46098</v>
      </c>
      <c r="C2670" t="s">
        <v>10</v>
      </c>
      <c r="D2670">
        <v>1</v>
      </c>
      <c r="E2670" t="b">
        <v>0</v>
      </c>
      <c r="F2670" s="2">
        <v>7.2684014590960322</v>
      </c>
      <c r="G2670" t="b">
        <v>0</v>
      </c>
      <c r="H2670" t="s">
        <v>21</v>
      </c>
      <c r="I2670" t="s">
        <v>34</v>
      </c>
    </row>
    <row r="2671" spans="1:9" x14ac:dyDescent="0.3">
      <c r="A2671" t="str">
        <f t="shared" si="41"/>
        <v>CASE-2670</v>
      </c>
      <c r="B2671" s="1">
        <v>45719</v>
      </c>
      <c r="C2671" t="s">
        <v>12</v>
      </c>
      <c r="D2671">
        <v>1</v>
      </c>
      <c r="E2671" t="b">
        <v>1</v>
      </c>
      <c r="F2671" s="2">
        <v>31.080327121397207</v>
      </c>
      <c r="G2671" t="b">
        <v>0</v>
      </c>
      <c r="H2671" t="s">
        <v>18</v>
      </c>
      <c r="I2671" t="s">
        <v>33</v>
      </c>
    </row>
    <row r="2672" spans="1:9" x14ac:dyDescent="0.3">
      <c r="A2672" t="str">
        <f t="shared" si="41"/>
        <v>CASE-2671</v>
      </c>
      <c r="B2672" s="1">
        <v>45564</v>
      </c>
      <c r="C2672" t="s">
        <v>9</v>
      </c>
      <c r="D2672">
        <v>2</v>
      </c>
      <c r="E2672" t="b">
        <v>0</v>
      </c>
      <c r="F2672" s="2">
        <v>18.947874877393058</v>
      </c>
      <c r="G2672" t="b">
        <v>0</v>
      </c>
      <c r="H2672" t="s">
        <v>28</v>
      </c>
      <c r="I2672" t="s">
        <v>33</v>
      </c>
    </row>
    <row r="2673" spans="1:9" x14ac:dyDescent="0.3">
      <c r="A2673" t="str">
        <f t="shared" si="41"/>
        <v>CASE-2672</v>
      </c>
      <c r="B2673" s="1">
        <v>46190</v>
      </c>
      <c r="C2673" t="s">
        <v>11</v>
      </c>
      <c r="D2673">
        <v>3</v>
      </c>
      <c r="E2673" t="b">
        <v>1</v>
      </c>
      <c r="F2673" s="2">
        <v>4.0825313882232095</v>
      </c>
      <c r="G2673" t="b">
        <v>0</v>
      </c>
      <c r="H2673" t="s">
        <v>32</v>
      </c>
      <c r="I2673" t="s">
        <v>34</v>
      </c>
    </row>
    <row r="2674" spans="1:9" x14ac:dyDescent="0.3">
      <c r="A2674" t="str">
        <f t="shared" si="41"/>
        <v>CASE-2673</v>
      </c>
      <c r="B2674" s="1">
        <v>45594</v>
      </c>
      <c r="C2674" t="s">
        <v>12</v>
      </c>
      <c r="D2674">
        <v>5</v>
      </c>
      <c r="E2674" t="b">
        <v>0</v>
      </c>
      <c r="F2674" s="2">
        <v>13.303122144989837</v>
      </c>
      <c r="G2674" t="b">
        <v>0</v>
      </c>
      <c r="H2674" t="s">
        <v>32</v>
      </c>
      <c r="I2674" t="s">
        <v>33</v>
      </c>
    </row>
    <row r="2675" spans="1:9" x14ac:dyDescent="0.3">
      <c r="A2675" t="str">
        <f t="shared" si="41"/>
        <v>CASE-2674</v>
      </c>
      <c r="B2675" s="1">
        <v>45876</v>
      </c>
      <c r="C2675" t="s">
        <v>12</v>
      </c>
      <c r="D2675">
        <v>1</v>
      </c>
      <c r="E2675" t="b">
        <v>1</v>
      </c>
      <c r="F2675" s="2">
        <v>28.592192236058278</v>
      </c>
      <c r="G2675" t="b">
        <v>0</v>
      </c>
      <c r="H2675" t="s">
        <v>20</v>
      </c>
      <c r="I2675" t="s">
        <v>33</v>
      </c>
    </row>
    <row r="2676" spans="1:9" x14ac:dyDescent="0.3">
      <c r="A2676" t="str">
        <f t="shared" si="41"/>
        <v>CASE-2675</v>
      </c>
      <c r="B2676" s="1">
        <v>45885</v>
      </c>
      <c r="C2676" t="s">
        <v>12</v>
      </c>
      <c r="D2676">
        <v>1</v>
      </c>
      <c r="E2676" t="b">
        <v>1</v>
      </c>
      <c r="F2676" s="2">
        <v>6.8320133789028237</v>
      </c>
      <c r="G2676" t="b">
        <v>0</v>
      </c>
      <c r="H2676" t="s">
        <v>15</v>
      </c>
      <c r="I2676" t="s">
        <v>34</v>
      </c>
    </row>
    <row r="2677" spans="1:9" x14ac:dyDescent="0.3">
      <c r="A2677" t="str">
        <f t="shared" si="41"/>
        <v>CASE-2676</v>
      </c>
      <c r="B2677" s="1">
        <v>45763</v>
      </c>
      <c r="C2677" t="s">
        <v>10</v>
      </c>
      <c r="D2677">
        <v>4</v>
      </c>
      <c r="E2677" t="b">
        <v>1</v>
      </c>
      <c r="F2677" s="2">
        <v>7.0742538845586962</v>
      </c>
      <c r="G2677" t="b">
        <v>0</v>
      </c>
      <c r="H2677" t="s">
        <v>18</v>
      </c>
      <c r="I2677" t="s">
        <v>34</v>
      </c>
    </row>
    <row r="2678" spans="1:9" x14ac:dyDescent="0.3">
      <c r="A2678" t="str">
        <f t="shared" si="41"/>
        <v>CASE-2677</v>
      </c>
      <c r="B2678" s="1">
        <v>45563</v>
      </c>
      <c r="C2678" t="s">
        <v>9</v>
      </c>
      <c r="D2678">
        <v>3</v>
      </c>
      <c r="E2678" t="b">
        <v>0</v>
      </c>
      <c r="F2678" s="2">
        <v>16.673371549019258</v>
      </c>
      <c r="G2678" t="b">
        <v>0</v>
      </c>
      <c r="H2678" t="s">
        <v>22</v>
      </c>
      <c r="I2678" t="s">
        <v>33</v>
      </c>
    </row>
    <row r="2679" spans="1:9" x14ac:dyDescent="0.3">
      <c r="A2679" t="str">
        <f t="shared" si="41"/>
        <v>CASE-2678</v>
      </c>
      <c r="B2679" s="1">
        <v>46121</v>
      </c>
      <c r="C2679" t="s">
        <v>9</v>
      </c>
      <c r="D2679">
        <v>4</v>
      </c>
      <c r="E2679" t="b">
        <v>1</v>
      </c>
      <c r="F2679" s="2">
        <v>5.426753145517659</v>
      </c>
      <c r="G2679" t="b">
        <v>0</v>
      </c>
      <c r="H2679" t="s">
        <v>13</v>
      </c>
      <c r="I2679" t="s">
        <v>34</v>
      </c>
    </row>
    <row r="2680" spans="1:9" x14ac:dyDescent="0.3">
      <c r="A2680" t="str">
        <f t="shared" si="41"/>
        <v>CASE-2679</v>
      </c>
      <c r="B2680" s="1">
        <v>46108</v>
      </c>
      <c r="C2680" t="s">
        <v>10</v>
      </c>
      <c r="D2680">
        <v>5</v>
      </c>
      <c r="E2680" t="b">
        <v>1</v>
      </c>
      <c r="F2680" s="2">
        <v>4.7001121939155022</v>
      </c>
      <c r="G2680" t="b">
        <v>0</v>
      </c>
      <c r="H2680" t="s">
        <v>23</v>
      </c>
      <c r="I2680" t="s">
        <v>34</v>
      </c>
    </row>
    <row r="2681" spans="1:9" x14ac:dyDescent="0.3">
      <c r="A2681" t="str">
        <f t="shared" si="41"/>
        <v>CASE-2680</v>
      </c>
      <c r="B2681" s="1">
        <v>45871</v>
      </c>
      <c r="C2681" t="s">
        <v>11</v>
      </c>
      <c r="D2681">
        <v>4</v>
      </c>
      <c r="E2681" t="b">
        <v>1</v>
      </c>
      <c r="F2681" s="2">
        <v>7.3773821797259336</v>
      </c>
      <c r="G2681" t="b">
        <v>0</v>
      </c>
      <c r="H2681" t="s">
        <v>23</v>
      </c>
      <c r="I2681" t="s">
        <v>34</v>
      </c>
    </row>
    <row r="2682" spans="1:9" x14ac:dyDescent="0.3">
      <c r="A2682" t="str">
        <f t="shared" si="41"/>
        <v>CASE-2681</v>
      </c>
      <c r="B2682" s="1">
        <v>45840</v>
      </c>
      <c r="C2682" t="s">
        <v>9</v>
      </c>
      <c r="D2682">
        <v>3</v>
      </c>
      <c r="E2682" t="b">
        <v>1</v>
      </c>
      <c r="F2682" s="2">
        <v>5.104733609220121</v>
      </c>
      <c r="G2682" t="b">
        <v>0</v>
      </c>
      <c r="H2682" t="s">
        <v>30</v>
      </c>
      <c r="I2682" t="s">
        <v>34</v>
      </c>
    </row>
    <row r="2683" spans="1:9" x14ac:dyDescent="0.3">
      <c r="A2683" t="str">
        <f t="shared" si="41"/>
        <v>CASE-2682</v>
      </c>
      <c r="B2683" s="1">
        <v>46138</v>
      </c>
      <c r="C2683" t="s">
        <v>12</v>
      </c>
      <c r="D2683">
        <v>4</v>
      </c>
      <c r="E2683" t="b">
        <v>0</v>
      </c>
      <c r="F2683" s="2">
        <v>3.960364836681658</v>
      </c>
      <c r="G2683" t="b">
        <v>0</v>
      </c>
      <c r="H2683" t="s">
        <v>21</v>
      </c>
      <c r="I2683" t="s">
        <v>34</v>
      </c>
    </row>
    <row r="2684" spans="1:9" x14ac:dyDescent="0.3">
      <c r="A2684" t="str">
        <f t="shared" si="41"/>
        <v>CASE-2683</v>
      </c>
      <c r="B2684" s="1">
        <v>45475</v>
      </c>
      <c r="C2684" t="s">
        <v>12</v>
      </c>
      <c r="D2684">
        <v>3</v>
      </c>
      <c r="E2684" t="b">
        <v>0</v>
      </c>
      <c r="F2684" s="2">
        <v>21.259268916891649</v>
      </c>
      <c r="G2684" t="b">
        <v>0</v>
      </c>
      <c r="H2684" t="s">
        <v>27</v>
      </c>
      <c r="I2684" t="s">
        <v>33</v>
      </c>
    </row>
    <row r="2685" spans="1:9" x14ac:dyDescent="0.3">
      <c r="A2685" t="str">
        <f t="shared" si="41"/>
        <v>CASE-2684</v>
      </c>
      <c r="B2685" s="1">
        <v>45862</v>
      </c>
      <c r="C2685" t="s">
        <v>12</v>
      </c>
      <c r="D2685">
        <v>2</v>
      </c>
      <c r="E2685" t="b">
        <v>1</v>
      </c>
      <c r="F2685" s="2">
        <v>40.246363804058639</v>
      </c>
      <c r="G2685" t="b">
        <v>0</v>
      </c>
      <c r="H2685" t="s">
        <v>25</v>
      </c>
      <c r="I2685" t="s">
        <v>33</v>
      </c>
    </row>
    <row r="2686" spans="1:9" x14ac:dyDescent="0.3">
      <c r="A2686" t="str">
        <f t="shared" si="41"/>
        <v>CASE-2685</v>
      </c>
      <c r="B2686" s="1">
        <v>45724</v>
      </c>
      <c r="C2686" t="s">
        <v>12</v>
      </c>
      <c r="D2686">
        <v>1</v>
      </c>
      <c r="E2686" t="b">
        <v>1</v>
      </c>
      <c r="F2686" s="2">
        <v>3.2277086701449296</v>
      </c>
      <c r="G2686" t="b">
        <v>0</v>
      </c>
      <c r="H2686" t="s">
        <v>21</v>
      </c>
      <c r="I2686" t="s">
        <v>34</v>
      </c>
    </row>
    <row r="2687" spans="1:9" x14ac:dyDescent="0.3">
      <c r="A2687" t="str">
        <f t="shared" si="41"/>
        <v>CASE-2686</v>
      </c>
      <c r="B2687" s="1">
        <v>45931</v>
      </c>
      <c r="C2687" t="s">
        <v>12</v>
      </c>
      <c r="D2687">
        <v>1</v>
      </c>
      <c r="E2687" t="b">
        <v>0</v>
      </c>
      <c r="F2687" s="2">
        <v>5.501757271588632</v>
      </c>
      <c r="G2687" t="b">
        <v>0</v>
      </c>
      <c r="H2687" t="s">
        <v>21</v>
      </c>
      <c r="I2687" t="s">
        <v>34</v>
      </c>
    </row>
    <row r="2688" spans="1:9" x14ac:dyDescent="0.3">
      <c r="A2688" t="str">
        <f t="shared" si="41"/>
        <v>CASE-2687</v>
      </c>
      <c r="B2688" s="1">
        <v>45774</v>
      </c>
      <c r="C2688" t="s">
        <v>10</v>
      </c>
      <c r="D2688">
        <v>2</v>
      </c>
      <c r="E2688" t="b">
        <v>1</v>
      </c>
      <c r="F2688" s="2">
        <v>6.9060130231663219</v>
      </c>
      <c r="G2688" t="b">
        <v>0</v>
      </c>
      <c r="H2688" t="s">
        <v>27</v>
      </c>
      <c r="I2688" t="s">
        <v>34</v>
      </c>
    </row>
    <row r="2689" spans="1:9" x14ac:dyDescent="0.3">
      <c r="A2689" t="str">
        <f t="shared" si="41"/>
        <v>CASE-2688</v>
      </c>
      <c r="B2689" s="1">
        <v>45557</v>
      </c>
      <c r="C2689" t="s">
        <v>10</v>
      </c>
      <c r="D2689">
        <v>2</v>
      </c>
      <c r="E2689" t="b">
        <v>0</v>
      </c>
      <c r="F2689" s="2">
        <v>35.848117395694032</v>
      </c>
      <c r="G2689" t="b">
        <v>0</v>
      </c>
      <c r="H2689" t="s">
        <v>17</v>
      </c>
      <c r="I2689" t="s">
        <v>33</v>
      </c>
    </row>
    <row r="2690" spans="1:9" x14ac:dyDescent="0.3">
      <c r="A2690" t="str">
        <f t="shared" si="41"/>
        <v>CASE-2689</v>
      </c>
      <c r="B2690" s="1">
        <v>46027</v>
      </c>
      <c r="C2690" t="s">
        <v>9</v>
      </c>
      <c r="D2690">
        <v>1</v>
      </c>
      <c r="E2690" t="b">
        <v>1</v>
      </c>
      <c r="F2690" s="2">
        <v>6.2841673940234974</v>
      </c>
      <c r="G2690" t="b">
        <v>0</v>
      </c>
      <c r="H2690" t="s">
        <v>14</v>
      </c>
      <c r="I2690" t="s">
        <v>34</v>
      </c>
    </row>
    <row r="2691" spans="1:9" x14ac:dyDescent="0.3">
      <c r="A2691" t="str">
        <f t="shared" ref="A2691:A2754" si="42">"CASE-"&amp;TEXT(ROW()-1,"0000")</f>
        <v>CASE-2690</v>
      </c>
      <c r="B2691" s="1">
        <v>46028</v>
      </c>
      <c r="C2691" t="s">
        <v>12</v>
      </c>
      <c r="D2691">
        <v>4</v>
      </c>
      <c r="E2691" t="b">
        <v>1</v>
      </c>
      <c r="F2691" s="2">
        <v>6.3097931570848198</v>
      </c>
      <c r="G2691" t="b">
        <v>0</v>
      </c>
      <c r="H2691" t="s">
        <v>28</v>
      </c>
      <c r="I2691" t="s">
        <v>34</v>
      </c>
    </row>
    <row r="2692" spans="1:9" x14ac:dyDescent="0.3">
      <c r="A2692" t="str">
        <f t="shared" si="42"/>
        <v>CASE-2691</v>
      </c>
      <c r="B2692" s="1">
        <v>45971</v>
      </c>
      <c r="C2692" t="s">
        <v>12</v>
      </c>
      <c r="D2692">
        <v>4</v>
      </c>
      <c r="E2692" t="b">
        <v>0</v>
      </c>
      <c r="F2692" s="2">
        <v>18.823784215011294</v>
      </c>
      <c r="G2692" t="b">
        <v>0</v>
      </c>
      <c r="H2692" t="s">
        <v>29</v>
      </c>
      <c r="I2692" t="s">
        <v>33</v>
      </c>
    </row>
    <row r="2693" spans="1:9" x14ac:dyDescent="0.3">
      <c r="A2693" t="str">
        <f t="shared" si="42"/>
        <v>CASE-2692</v>
      </c>
      <c r="B2693" s="1">
        <v>45661</v>
      </c>
      <c r="C2693" t="s">
        <v>12</v>
      </c>
      <c r="D2693">
        <v>1</v>
      </c>
      <c r="E2693" t="b">
        <v>1</v>
      </c>
      <c r="F2693" s="2">
        <v>6.5821561782324096</v>
      </c>
      <c r="G2693" t="b">
        <v>0</v>
      </c>
      <c r="H2693" t="s">
        <v>26</v>
      </c>
      <c r="I2693" t="s">
        <v>34</v>
      </c>
    </row>
    <row r="2694" spans="1:9" x14ac:dyDescent="0.3">
      <c r="A2694" t="str">
        <f t="shared" si="42"/>
        <v>CASE-2693</v>
      </c>
      <c r="B2694" s="1">
        <v>45869</v>
      </c>
      <c r="C2694" t="s">
        <v>9</v>
      </c>
      <c r="D2694">
        <v>1</v>
      </c>
      <c r="E2694" t="b">
        <v>1</v>
      </c>
      <c r="F2694" s="2">
        <v>7.028766102941387</v>
      </c>
      <c r="G2694" t="b">
        <v>0</v>
      </c>
      <c r="H2694" t="s">
        <v>19</v>
      </c>
      <c r="I2694" t="s">
        <v>34</v>
      </c>
    </row>
    <row r="2695" spans="1:9" x14ac:dyDescent="0.3">
      <c r="A2695" t="str">
        <f t="shared" si="42"/>
        <v>CASE-2694</v>
      </c>
      <c r="B2695" s="1">
        <v>45647</v>
      </c>
      <c r="C2695" t="s">
        <v>10</v>
      </c>
      <c r="D2695">
        <v>1</v>
      </c>
      <c r="E2695" t="b">
        <v>0</v>
      </c>
      <c r="F2695" s="2">
        <v>30.300698694932976</v>
      </c>
      <c r="G2695" t="b">
        <v>0</v>
      </c>
      <c r="H2695" t="s">
        <v>28</v>
      </c>
      <c r="I2695" t="s">
        <v>33</v>
      </c>
    </row>
    <row r="2696" spans="1:9" x14ac:dyDescent="0.3">
      <c r="A2696" t="str">
        <f t="shared" si="42"/>
        <v>CASE-2695</v>
      </c>
      <c r="B2696" s="1">
        <v>45987</v>
      </c>
      <c r="C2696" t="s">
        <v>12</v>
      </c>
      <c r="D2696">
        <v>5</v>
      </c>
      <c r="E2696" t="b">
        <v>0</v>
      </c>
      <c r="F2696" s="2">
        <v>6.7223532846050791</v>
      </c>
      <c r="G2696" t="b">
        <v>0</v>
      </c>
      <c r="H2696" t="s">
        <v>18</v>
      </c>
      <c r="I2696" t="s">
        <v>35</v>
      </c>
    </row>
    <row r="2697" spans="1:9" x14ac:dyDescent="0.3">
      <c r="A2697" t="str">
        <f t="shared" si="42"/>
        <v>CASE-2696</v>
      </c>
      <c r="B2697" s="1">
        <v>45634</v>
      </c>
      <c r="C2697" t="s">
        <v>12</v>
      </c>
      <c r="D2697">
        <v>4</v>
      </c>
      <c r="E2697" t="b">
        <v>0</v>
      </c>
      <c r="F2697" s="2">
        <v>11.994379745537236</v>
      </c>
      <c r="G2697" t="b">
        <v>0</v>
      </c>
      <c r="H2697" t="s">
        <v>18</v>
      </c>
      <c r="I2697" t="s">
        <v>33</v>
      </c>
    </row>
    <row r="2698" spans="1:9" x14ac:dyDescent="0.3">
      <c r="A2698" t="str">
        <f t="shared" si="42"/>
        <v>CASE-2697</v>
      </c>
      <c r="B2698" s="1">
        <v>46141</v>
      </c>
      <c r="C2698" t="s">
        <v>9</v>
      </c>
      <c r="D2698">
        <v>5</v>
      </c>
      <c r="E2698" t="b">
        <v>1</v>
      </c>
      <c r="F2698" s="2">
        <v>7.3803466603180388</v>
      </c>
      <c r="G2698" t="b">
        <v>0</v>
      </c>
      <c r="H2698" t="s">
        <v>27</v>
      </c>
      <c r="I2698" t="s">
        <v>34</v>
      </c>
    </row>
    <row r="2699" spans="1:9" x14ac:dyDescent="0.3">
      <c r="A2699" t="str">
        <f t="shared" si="42"/>
        <v>CASE-2698</v>
      </c>
      <c r="B2699" s="1">
        <v>45622</v>
      </c>
      <c r="C2699" t="s">
        <v>12</v>
      </c>
      <c r="D2699">
        <v>5</v>
      </c>
      <c r="E2699" t="b">
        <v>0</v>
      </c>
      <c r="F2699" s="2">
        <v>16.44815623719203</v>
      </c>
      <c r="G2699" t="b">
        <v>0</v>
      </c>
      <c r="H2699" t="s">
        <v>22</v>
      </c>
      <c r="I2699" t="s">
        <v>33</v>
      </c>
    </row>
    <row r="2700" spans="1:9" x14ac:dyDescent="0.3">
      <c r="A2700" t="str">
        <f t="shared" si="42"/>
        <v>CASE-2699</v>
      </c>
      <c r="B2700" s="1">
        <v>45576</v>
      </c>
      <c r="C2700" t="s">
        <v>12</v>
      </c>
      <c r="D2700">
        <v>4</v>
      </c>
      <c r="E2700" t="b">
        <v>0</v>
      </c>
      <c r="F2700" s="2">
        <v>15.890333038789647</v>
      </c>
      <c r="G2700" t="b">
        <v>0</v>
      </c>
      <c r="H2700" t="s">
        <v>25</v>
      </c>
      <c r="I2700" t="s">
        <v>33</v>
      </c>
    </row>
    <row r="2701" spans="1:9" x14ac:dyDescent="0.3">
      <c r="A2701" t="str">
        <f t="shared" si="42"/>
        <v>CASE-2700</v>
      </c>
      <c r="B2701" s="1">
        <v>45780</v>
      </c>
      <c r="C2701" t="s">
        <v>12</v>
      </c>
      <c r="D2701">
        <v>2</v>
      </c>
      <c r="E2701" t="b">
        <v>1</v>
      </c>
      <c r="F2701" s="2">
        <v>5.9657689627813424</v>
      </c>
      <c r="G2701" t="b">
        <v>0</v>
      </c>
      <c r="H2701" t="s">
        <v>25</v>
      </c>
      <c r="I2701" t="s">
        <v>34</v>
      </c>
    </row>
    <row r="2702" spans="1:9" x14ac:dyDescent="0.3">
      <c r="A2702" t="str">
        <f t="shared" si="42"/>
        <v>CASE-2701</v>
      </c>
      <c r="B2702" s="1">
        <v>45985</v>
      </c>
      <c r="C2702" t="s">
        <v>11</v>
      </c>
      <c r="D2702">
        <v>2</v>
      </c>
      <c r="E2702" t="b">
        <v>1</v>
      </c>
      <c r="F2702" s="2">
        <v>2.7236887756408454</v>
      </c>
      <c r="G2702" t="b">
        <v>0</v>
      </c>
      <c r="H2702" t="s">
        <v>20</v>
      </c>
      <c r="I2702" t="s">
        <v>34</v>
      </c>
    </row>
    <row r="2703" spans="1:9" x14ac:dyDescent="0.3">
      <c r="A2703" t="str">
        <f t="shared" si="42"/>
        <v>CASE-2702</v>
      </c>
      <c r="B2703" s="1">
        <v>45778</v>
      </c>
      <c r="C2703" t="s">
        <v>12</v>
      </c>
      <c r="D2703">
        <v>5</v>
      </c>
      <c r="E2703" t="b">
        <v>0</v>
      </c>
      <c r="F2703" s="2">
        <v>6.5930340329977906</v>
      </c>
      <c r="G2703" t="b">
        <v>0</v>
      </c>
      <c r="H2703" t="s">
        <v>21</v>
      </c>
      <c r="I2703" t="s">
        <v>34</v>
      </c>
    </row>
    <row r="2704" spans="1:9" x14ac:dyDescent="0.3">
      <c r="A2704" t="str">
        <f t="shared" si="42"/>
        <v>CASE-2703</v>
      </c>
      <c r="B2704" s="1">
        <v>45577</v>
      </c>
      <c r="C2704" t="s">
        <v>9</v>
      </c>
      <c r="D2704">
        <v>4</v>
      </c>
      <c r="E2704" t="b">
        <v>0</v>
      </c>
      <c r="F2704" s="2">
        <v>20.202437139316618</v>
      </c>
      <c r="G2704" t="b">
        <v>0</v>
      </c>
      <c r="H2704" t="s">
        <v>20</v>
      </c>
      <c r="I2704" t="s">
        <v>33</v>
      </c>
    </row>
    <row r="2705" spans="1:9" x14ac:dyDescent="0.3">
      <c r="A2705" t="str">
        <f t="shared" si="42"/>
        <v>CASE-2704</v>
      </c>
      <c r="B2705" s="1">
        <v>45776</v>
      </c>
      <c r="C2705" t="s">
        <v>12</v>
      </c>
      <c r="D2705">
        <v>5</v>
      </c>
      <c r="E2705" t="b">
        <v>1</v>
      </c>
      <c r="F2705" s="2">
        <v>14.741777108111419</v>
      </c>
      <c r="G2705" t="b">
        <v>0</v>
      </c>
      <c r="H2705" t="s">
        <v>25</v>
      </c>
      <c r="I2705" t="s">
        <v>33</v>
      </c>
    </row>
    <row r="2706" spans="1:9" x14ac:dyDescent="0.3">
      <c r="A2706" t="str">
        <f t="shared" si="42"/>
        <v>CASE-2705</v>
      </c>
      <c r="B2706" s="1">
        <v>45993</v>
      </c>
      <c r="C2706" t="s">
        <v>12</v>
      </c>
      <c r="D2706">
        <v>3</v>
      </c>
      <c r="E2706" t="b">
        <v>1</v>
      </c>
      <c r="F2706" s="2">
        <v>9.4030578612203577</v>
      </c>
      <c r="G2706" t="b">
        <v>0</v>
      </c>
      <c r="H2706" t="s">
        <v>16</v>
      </c>
      <c r="I2706" t="s">
        <v>34</v>
      </c>
    </row>
    <row r="2707" spans="1:9" x14ac:dyDescent="0.3">
      <c r="A2707" t="str">
        <f t="shared" si="42"/>
        <v>CASE-2706</v>
      </c>
      <c r="B2707" s="1">
        <v>46084</v>
      </c>
      <c r="C2707" t="s">
        <v>10</v>
      </c>
      <c r="D2707">
        <v>2</v>
      </c>
      <c r="E2707" t="b">
        <v>1</v>
      </c>
      <c r="F2707" s="2">
        <v>5.4226003651008021</v>
      </c>
      <c r="G2707" t="b">
        <v>0</v>
      </c>
      <c r="H2707" t="s">
        <v>13</v>
      </c>
      <c r="I2707" t="s">
        <v>34</v>
      </c>
    </row>
    <row r="2708" spans="1:9" x14ac:dyDescent="0.3">
      <c r="A2708" t="str">
        <f t="shared" si="42"/>
        <v>CASE-2707</v>
      </c>
      <c r="B2708" s="1">
        <v>46099</v>
      </c>
      <c r="C2708" t="s">
        <v>9</v>
      </c>
      <c r="D2708">
        <v>4</v>
      </c>
      <c r="E2708" t="b">
        <v>1</v>
      </c>
      <c r="F2708" s="2">
        <v>19.118638274417847</v>
      </c>
      <c r="G2708" t="b">
        <v>0</v>
      </c>
      <c r="H2708" t="s">
        <v>22</v>
      </c>
      <c r="I2708" t="s">
        <v>33</v>
      </c>
    </row>
    <row r="2709" spans="1:9" x14ac:dyDescent="0.3">
      <c r="A2709" t="str">
        <f t="shared" si="42"/>
        <v>CASE-2708</v>
      </c>
      <c r="B2709" s="1">
        <v>45962</v>
      </c>
      <c r="C2709" t="s">
        <v>9</v>
      </c>
      <c r="D2709">
        <v>4</v>
      </c>
      <c r="E2709" t="b">
        <v>1</v>
      </c>
      <c r="F2709" s="2">
        <v>7.1013725230521807</v>
      </c>
      <c r="G2709" t="b">
        <v>0</v>
      </c>
      <c r="H2709" t="s">
        <v>20</v>
      </c>
      <c r="I2709" t="s">
        <v>34</v>
      </c>
    </row>
    <row r="2710" spans="1:9" x14ac:dyDescent="0.3">
      <c r="A2710" t="str">
        <f t="shared" si="42"/>
        <v>CASE-2709</v>
      </c>
      <c r="B2710" s="1">
        <v>45806</v>
      </c>
      <c r="C2710" t="s">
        <v>9</v>
      </c>
      <c r="D2710">
        <v>3</v>
      </c>
      <c r="E2710" t="b">
        <v>1</v>
      </c>
      <c r="F2710" s="2">
        <v>20.84396958741285</v>
      </c>
      <c r="G2710" t="b">
        <v>0</v>
      </c>
      <c r="H2710" t="s">
        <v>17</v>
      </c>
      <c r="I2710" t="s">
        <v>33</v>
      </c>
    </row>
    <row r="2711" spans="1:9" x14ac:dyDescent="0.3">
      <c r="A2711" t="str">
        <f t="shared" si="42"/>
        <v>CASE-2710</v>
      </c>
      <c r="B2711" s="1">
        <v>46081</v>
      </c>
      <c r="C2711" t="s">
        <v>9</v>
      </c>
      <c r="D2711">
        <v>4</v>
      </c>
      <c r="E2711" t="b">
        <v>1</v>
      </c>
      <c r="F2711" s="2">
        <v>6.1090061886656466</v>
      </c>
      <c r="G2711" t="b">
        <v>0</v>
      </c>
      <c r="H2711" t="s">
        <v>15</v>
      </c>
      <c r="I2711" t="s">
        <v>35</v>
      </c>
    </row>
    <row r="2712" spans="1:9" x14ac:dyDescent="0.3">
      <c r="A2712" t="str">
        <f t="shared" si="42"/>
        <v>CASE-2711</v>
      </c>
      <c r="B2712" s="1">
        <v>45490</v>
      </c>
      <c r="C2712" t="s">
        <v>10</v>
      </c>
      <c r="D2712">
        <v>2</v>
      </c>
      <c r="E2712" t="b">
        <v>0</v>
      </c>
      <c r="F2712" s="2">
        <v>32.952501963595004</v>
      </c>
      <c r="G2712" t="b">
        <v>0</v>
      </c>
      <c r="H2712" t="s">
        <v>32</v>
      </c>
      <c r="I2712" t="s">
        <v>33</v>
      </c>
    </row>
    <row r="2713" spans="1:9" x14ac:dyDescent="0.3">
      <c r="A2713" t="str">
        <f t="shared" si="42"/>
        <v>CASE-2712</v>
      </c>
      <c r="B2713" s="1">
        <v>45741</v>
      </c>
      <c r="C2713" t="s">
        <v>10</v>
      </c>
      <c r="D2713">
        <v>2</v>
      </c>
      <c r="E2713" t="b">
        <v>1</v>
      </c>
      <c r="F2713" s="2">
        <v>9.2311456860735319</v>
      </c>
      <c r="G2713" t="b">
        <v>0</v>
      </c>
      <c r="H2713" t="s">
        <v>32</v>
      </c>
      <c r="I2713" t="s">
        <v>33</v>
      </c>
    </row>
    <row r="2714" spans="1:9" x14ac:dyDescent="0.3">
      <c r="A2714" t="str">
        <f t="shared" si="42"/>
        <v>CASE-2713</v>
      </c>
      <c r="B2714" s="1">
        <v>45527</v>
      </c>
      <c r="C2714" t="s">
        <v>10</v>
      </c>
      <c r="D2714">
        <v>3</v>
      </c>
      <c r="E2714" t="b">
        <v>0</v>
      </c>
      <c r="F2714" s="2">
        <v>16.837135753244862</v>
      </c>
      <c r="G2714" t="b">
        <v>0</v>
      </c>
      <c r="H2714" t="s">
        <v>31</v>
      </c>
      <c r="I2714" t="s">
        <v>33</v>
      </c>
    </row>
    <row r="2715" spans="1:9" x14ac:dyDescent="0.3">
      <c r="A2715" t="str">
        <f t="shared" si="42"/>
        <v>CASE-2714</v>
      </c>
      <c r="B2715" s="1">
        <v>45819</v>
      </c>
      <c r="C2715" t="s">
        <v>12</v>
      </c>
      <c r="D2715">
        <v>5</v>
      </c>
      <c r="E2715" t="b">
        <v>1</v>
      </c>
      <c r="F2715" s="2">
        <v>7.3990560321117664</v>
      </c>
      <c r="G2715" t="b">
        <v>0</v>
      </c>
      <c r="H2715" t="s">
        <v>16</v>
      </c>
      <c r="I2715" t="s">
        <v>34</v>
      </c>
    </row>
    <row r="2716" spans="1:9" x14ac:dyDescent="0.3">
      <c r="A2716" t="str">
        <f t="shared" si="42"/>
        <v>CASE-2715</v>
      </c>
      <c r="B2716" s="1">
        <v>45627</v>
      </c>
      <c r="C2716" t="s">
        <v>10</v>
      </c>
      <c r="D2716">
        <v>5</v>
      </c>
      <c r="E2716" t="b">
        <v>0</v>
      </c>
      <c r="F2716" s="2">
        <v>21.8424102310607</v>
      </c>
      <c r="G2716" t="b">
        <v>0</v>
      </c>
      <c r="H2716" t="s">
        <v>25</v>
      </c>
      <c r="I2716" t="s">
        <v>33</v>
      </c>
    </row>
    <row r="2717" spans="1:9" x14ac:dyDescent="0.3">
      <c r="A2717" t="str">
        <f t="shared" si="42"/>
        <v>CASE-2716</v>
      </c>
      <c r="B2717" s="1">
        <v>46040</v>
      </c>
      <c r="C2717" t="s">
        <v>9</v>
      </c>
      <c r="D2717">
        <v>3</v>
      </c>
      <c r="E2717" t="b">
        <v>1</v>
      </c>
      <c r="F2717" s="2">
        <v>5.7052321683873419</v>
      </c>
      <c r="G2717" t="b">
        <v>0</v>
      </c>
      <c r="H2717" t="s">
        <v>25</v>
      </c>
      <c r="I2717" t="s">
        <v>34</v>
      </c>
    </row>
    <row r="2718" spans="1:9" x14ac:dyDescent="0.3">
      <c r="A2718" t="str">
        <f t="shared" si="42"/>
        <v>CASE-2717</v>
      </c>
      <c r="B2718" s="1">
        <v>45600</v>
      </c>
      <c r="C2718" t="s">
        <v>9</v>
      </c>
      <c r="D2718">
        <v>5</v>
      </c>
      <c r="E2718" t="b">
        <v>0</v>
      </c>
      <c r="F2718" s="2">
        <v>19.061548380563242</v>
      </c>
      <c r="G2718" t="b">
        <v>0</v>
      </c>
      <c r="H2718" t="s">
        <v>32</v>
      </c>
      <c r="I2718" t="s">
        <v>33</v>
      </c>
    </row>
    <row r="2719" spans="1:9" x14ac:dyDescent="0.3">
      <c r="A2719" t="str">
        <f t="shared" si="42"/>
        <v>CASE-2718</v>
      </c>
      <c r="B2719" s="1">
        <v>45500</v>
      </c>
      <c r="C2719" t="s">
        <v>10</v>
      </c>
      <c r="D2719">
        <v>1</v>
      </c>
      <c r="E2719" t="b">
        <v>0</v>
      </c>
      <c r="F2719" s="2">
        <v>20.273451739260189</v>
      </c>
      <c r="G2719" t="b">
        <v>1</v>
      </c>
      <c r="H2719" t="s">
        <v>17</v>
      </c>
      <c r="I2719" t="s">
        <v>33</v>
      </c>
    </row>
    <row r="2720" spans="1:9" x14ac:dyDescent="0.3">
      <c r="A2720" t="str">
        <f t="shared" si="42"/>
        <v>CASE-2719</v>
      </c>
      <c r="B2720" s="1">
        <v>45687</v>
      </c>
      <c r="C2720" t="s">
        <v>11</v>
      </c>
      <c r="D2720">
        <v>3</v>
      </c>
      <c r="E2720" t="b">
        <v>0</v>
      </c>
      <c r="F2720" s="2">
        <v>32.528197741038653</v>
      </c>
      <c r="G2720" t="b">
        <v>0</v>
      </c>
      <c r="H2720" t="s">
        <v>18</v>
      </c>
      <c r="I2720" t="s">
        <v>33</v>
      </c>
    </row>
    <row r="2721" spans="1:9" x14ac:dyDescent="0.3">
      <c r="A2721" t="str">
        <f t="shared" si="42"/>
        <v>CASE-2720</v>
      </c>
      <c r="B2721" s="1">
        <v>45801</v>
      </c>
      <c r="C2721" t="s">
        <v>10</v>
      </c>
      <c r="D2721">
        <v>5</v>
      </c>
      <c r="E2721" t="b">
        <v>0</v>
      </c>
      <c r="F2721" s="2">
        <v>6.8784055869726286</v>
      </c>
      <c r="G2721" t="b">
        <v>0</v>
      </c>
      <c r="H2721" t="s">
        <v>18</v>
      </c>
      <c r="I2721" t="s">
        <v>34</v>
      </c>
    </row>
    <row r="2722" spans="1:9" x14ac:dyDescent="0.3">
      <c r="A2722" t="str">
        <f t="shared" si="42"/>
        <v>CASE-2721</v>
      </c>
      <c r="B2722" s="1">
        <v>45899</v>
      </c>
      <c r="C2722" t="s">
        <v>10</v>
      </c>
      <c r="D2722">
        <v>1</v>
      </c>
      <c r="E2722" t="b">
        <v>0</v>
      </c>
      <c r="F2722" s="2">
        <v>5.1791809156399751</v>
      </c>
      <c r="G2722" t="b">
        <v>0</v>
      </c>
      <c r="H2722" t="s">
        <v>21</v>
      </c>
      <c r="I2722" t="s">
        <v>34</v>
      </c>
    </row>
    <row r="2723" spans="1:9" x14ac:dyDescent="0.3">
      <c r="A2723" t="str">
        <f t="shared" si="42"/>
        <v>CASE-2722</v>
      </c>
      <c r="B2723" s="1">
        <v>46083</v>
      </c>
      <c r="C2723" t="s">
        <v>9</v>
      </c>
      <c r="D2723">
        <v>1</v>
      </c>
      <c r="E2723" t="b">
        <v>1</v>
      </c>
      <c r="F2723" s="2">
        <v>3.0995247772567782</v>
      </c>
      <c r="G2723" t="b">
        <v>0</v>
      </c>
      <c r="H2723" t="s">
        <v>25</v>
      </c>
      <c r="I2723" t="s">
        <v>35</v>
      </c>
    </row>
    <row r="2724" spans="1:9" x14ac:dyDescent="0.3">
      <c r="A2724" t="str">
        <f t="shared" si="42"/>
        <v>CASE-2723</v>
      </c>
      <c r="B2724" s="1">
        <v>45566</v>
      </c>
      <c r="C2724" t="s">
        <v>10</v>
      </c>
      <c r="D2724">
        <v>1</v>
      </c>
      <c r="E2724" t="b">
        <v>0</v>
      </c>
      <c r="F2724" s="2">
        <v>12.477407785683297</v>
      </c>
      <c r="G2724" t="b">
        <v>0</v>
      </c>
      <c r="H2724" t="s">
        <v>31</v>
      </c>
      <c r="I2724" t="s">
        <v>33</v>
      </c>
    </row>
    <row r="2725" spans="1:9" x14ac:dyDescent="0.3">
      <c r="A2725" t="str">
        <f t="shared" si="42"/>
        <v>CASE-2724</v>
      </c>
      <c r="B2725" s="1">
        <v>45940</v>
      </c>
      <c r="C2725" t="s">
        <v>10</v>
      </c>
      <c r="D2725">
        <v>5</v>
      </c>
      <c r="E2725" t="b">
        <v>1</v>
      </c>
      <c r="F2725" s="2">
        <v>5.8311628505858506</v>
      </c>
      <c r="G2725" t="b">
        <v>0</v>
      </c>
      <c r="H2725" t="s">
        <v>13</v>
      </c>
      <c r="I2725" t="s">
        <v>34</v>
      </c>
    </row>
    <row r="2726" spans="1:9" x14ac:dyDescent="0.3">
      <c r="A2726" t="str">
        <f t="shared" si="42"/>
        <v>CASE-2725</v>
      </c>
      <c r="B2726" s="1">
        <v>46090</v>
      </c>
      <c r="C2726" t="s">
        <v>11</v>
      </c>
      <c r="D2726">
        <v>4</v>
      </c>
      <c r="E2726" t="b">
        <v>1</v>
      </c>
      <c r="F2726" s="2">
        <v>6.4131605475475837</v>
      </c>
      <c r="G2726" t="b">
        <v>0</v>
      </c>
      <c r="H2726" t="s">
        <v>18</v>
      </c>
      <c r="I2726" t="s">
        <v>35</v>
      </c>
    </row>
    <row r="2727" spans="1:9" x14ac:dyDescent="0.3">
      <c r="A2727" t="str">
        <f t="shared" si="42"/>
        <v>CASE-2726</v>
      </c>
      <c r="B2727" s="1">
        <v>45968</v>
      </c>
      <c r="C2727" t="s">
        <v>10</v>
      </c>
      <c r="D2727">
        <v>1</v>
      </c>
      <c r="E2727" t="b">
        <v>1</v>
      </c>
      <c r="F2727" s="2">
        <v>5.2778381696520391</v>
      </c>
      <c r="G2727" t="b">
        <v>0</v>
      </c>
      <c r="H2727" t="s">
        <v>14</v>
      </c>
      <c r="I2727" t="s">
        <v>34</v>
      </c>
    </row>
    <row r="2728" spans="1:9" x14ac:dyDescent="0.3">
      <c r="A2728" t="str">
        <f t="shared" si="42"/>
        <v>CASE-2727</v>
      </c>
      <c r="B2728" s="1">
        <v>46034</v>
      </c>
      <c r="C2728" t="s">
        <v>9</v>
      </c>
      <c r="D2728">
        <v>3</v>
      </c>
      <c r="E2728" t="b">
        <v>1</v>
      </c>
      <c r="F2728" s="2">
        <v>23.420809925661054</v>
      </c>
      <c r="G2728" t="b">
        <v>0</v>
      </c>
      <c r="H2728" t="s">
        <v>31</v>
      </c>
      <c r="I2728" t="s">
        <v>33</v>
      </c>
    </row>
    <row r="2729" spans="1:9" x14ac:dyDescent="0.3">
      <c r="A2729" t="str">
        <f t="shared" si="42"/>
        <v>CASE-2728</v>
      </c>
      <c r="B2729" s="1">
        <v>45848</v>
      </c>
      <c r="C2729" t="s">
        <v>11</v>
      </c>
      <c r="D2729">
        <v>4</v>
      </c>
      <c r="E2729" t="b">
        <v>1</v>
      </c>
      <c r="F2729" s="2">
        <v>3.6621102888270811</v>
      </c>
      <c r="G2729" t="b">
        <v>0</v>
      </c>
      <c r="H2729" t="s">
        <v>14</v>
      </c>
      <c r="I2729" t="s">
        <v>34</v>
      </c>
    </row>
    <row r="2730" spans="1:9" x14ac:dyDescent="0.3">
      <c r="A2730" t="str">
        <f t="shared" si="42"/>
        <v>CASE-2729</v>
      </c>
      <c r="B2730" s="1">
        <v>46086</v>
      </c>
      <c r="C2730" t="s">
        <v>9</v>
      </c>
      <c r="D2730">
        <v>5</v>
      </c>
      <c r="E2730" t="b">
        <v>1</v>
      </c>
      <c r="F2730" s="2">
        <v>3.769859563258616</v>
      </c>
      <c r="G2730" t="b">
        <v>0</v>
      </c>
      <c r="H2730" t="s">
        <v>29</v>
      </c>
      <c r="I2730" t="s">
        <v>34</v>
      </c>
    </row>
    <row r="2731" spans="1:9" x14ac:dyDescent="0.3">
      <c r="A2731" t="str">
        <f t="shared" si="42"/>
        <v>CASE-2730</v>
      </c>
      <c r="B2731" s="1">
        <v>46064</v>
      </c>
      <c r="C2731" t="s">
        <v>12</v>
      </c>
      <c r="D2731">
        <v>2</v>
      </c>
      <c r="E2731" t="b">
        <v>0</v>
      </c>
      <c r="F2731" s="2">
        <v>5.3103840318222364</v>
      </c>
      <c r="G2731" t="b">
        <v>0</v>
      </c>
      <c r="H2731" t="s">
        <v>31</v>
      </c>
      <c r="I2731" t="s">
        <v>34</v>
      </c>
    </row>
    <row r="2732" spans="1:9" x14ac:dyDescent="0.3">
      <c r="A2732" t="str">
        <f t="shared" si="42"/>
        <v>CASE-2731</v>
      </c>
      <c r="B2732" s="1">
        <v>45801</v>
      </c>
      <c r="C2732" t="s">
        <v>11</v>
      </c>
      <c r="D2732">
        <v>5</v>
      </c>
      <c r="E2732" t="b">
        <v>1</v>
      </c>
      <c r="F2732" s="2">
        <v>23.791075874063338</v>
      </c>
      <c r="G2732" t="b">
        <v>0</v>
      </c>
      <c r="H2732" t="s">
        <v>18</v>
      </c>
      <c r="I2732" t="s">
        <v>33</v>
      </c>
    </row>
    <row r="2733" spans="1:9" x14ac:dyDescent="0.3">
      <c r="A2733" t="str">
        <f t="shared" si="42"/>
        <v>CASE-2732</v>
      </c>
      <c r="B2733" s="1">
        <v>46127</v>
      </c>
      <c r="C2733" t="s">
        <v>11</v>
      </c>
      <c r="D2733">
        <v>5</v>
      </c>
      <c r="E2733" t="b">
        <v>1</v>
      </c>
      <c r="F2733" s="2">
        <v>5.1960789308789774</v>
      </c>
      <c r="G2733" t="b">
        <v>0</v>
      </c>
      <c r="H2733" t="s">
        <v>15</v>
      </c>
      <c r="I2733" t="s">
        <v>34</v>
      </c>
    </row>
    <row r="2734" spans="1:9" x14ac:dyDescent="0.3">
      <c r="A2734" t="str">
        <f t="shared" si="42"/>
        <v>CASE-2733</v>
      </c>
      <c r="B2734" s="1">
        <v>45935</v>
      </c>
      <c r="C2734" t="s">
        <v>9</v>
      </c>
      <c r="D2734">
        <v>2</v>
      </c>
      <c r="E2734" t="b">
        <v>1</v>
      </c>
      <c r="F2734" s="2">
        <v>5.291158624823403</v>
      </c>
      <c r="G2734" t="b">
        <v>0</v>
      </c>
      <c r="H2734" t="s">
        <v>21</v>
      </c>
      <c r="I2734" t="s">
        <v>34</v>
      </c>
    </row>
    <row r="2735" spans="1:9" x14ac:dyDescent="0.3">
      <c r="A2735" t="str">
        <f t="shared" si="42"/>
        <v>CASE-2734</v>
      </c>
      <c r="B2735" s="1">
        <v>45788</v>
      </c>
      <c r="C2735" t="s">
        <v>10</v>
      </c>
      <c r="D2735">
        <v>1</v>
      </c>
      <c r="E2735" t="b">
        <v>1</v>
      </c>
      <c r="F2735" s="2">
        <v>6.4592720119113194</v>
      </c>
      <c r="G2735" t="b">
        <v>0</v>
      </c>
      <c r="H2735" t="s">
        <v>18</v>
      </c>
      <c r="I2735" t="s">
        <v>34</v>
      </c>
    </row>
    <row r="2736" spans="1:9" x14ac:dyDescent="0.3">
      <c r="A2736" t="str">
        <f t="shared" si="42"/>
        <v>CASE-2735</v>
      </c>
      <c r="B2736" s="1">
        <v>46198</v>
      </c>
      <c r="C2736" t="s">
        <v>10</v>
      </c>
      <c r="D2736">
        <v>5</v>
      </c>
      <c r="E2736" t="b">
        <v>1</v>
      </c>
      <c r="F2736" s="2">
        <v>30.418936293058515</v>
      </c>
      <c r="G2736" t="b">
        <v>0</v>
      </c>
      <c r="H2736" t="s">
        <v>13</v>
      </c>
      <c r="I2736" t="s">
        <v>33</v>
      </c>
    </row>
    <row r="2737" spans="1:9" x14ac:dyDescent="0.3">
      <c r="A2737" t="str">
        <f t="shared" si="42"/>
        <v>CASE-2736</v>
      </c>
      <c r="B2737" s="1">
        <v>45821</v>
      </c>
      <c r="C2737" t="s">
        <v>10</v>
      </c>
      <c r="D2737">
        <v>1</v>
      </c>
      <c r="E2737" t="b">
        <v>1</v>
      </c>
      <c r="F2737" s="2">
        <v>1.7947319045862269</v>
      </c>
      <c r="G2737" t="b">
        <v>0</v>
      </c>
      <c r="H2737" t="s">
        <v>20</v>
      </c>
      <c r="I2737" t="s">
        <v>35</v>
      </c>
    </row>
    <row r="2738" spans="1:9" x14ac:dyDescent="0.3">
      <c r="A2738" t="str">
        <f t="shared" si="42"/>
        <v>CASE-2737</v>
      </c>
      <c r="B2738" s="1">
        <v>45734</v>
      </c>
      <c r="C2738" t="s">
        <v>9</v>
      </c>
      <c r="D2738">
        <v>3</v>
      </c>
      <c r="E2738" t="b">
        <v>1</v>
      </c>
      <c r="F2738" s="2">
        <v>3.2418135120285965</v>
      </c>
      <c r="G2738" t="b">
        <v>0</v>
      </c>
      <c r="H2738" t="s">
        <v>28</v>
      </c>
      <c r="I2738" t="s">
        <v>34</v>
      </c>
    </row>
    <row r="2739" spans="1:9" x14ac:dyDescent="0.3">
      <c r="A2739" t="str">
        <f t="shared" si="42"/>
        <v>CASE-2738</v>
      </c>
      <c r="B2739" s="1">
        <v>45736</v>
      </c>
      <c r="C2739" t="s">
        <v>12</v>
      </c>
      <c r="D2739">
        <v>3</v>
      </c>
      <c r="E2739" t="b">
        <v>1</v>
      </c>
      <c r="F2739" s="2">
        <v>6.0166913783007043</v>
      </c>
      <c r="G2739" t="b">
        <v>0</v>
      </c>
      <c r="H2739" t="s">
        <v>31</v>
      </c>
      <c r="I2739" t="s">
        <v>35</v>
      </c>
    </row>
    <row r="2740" spans="1:9" x14ac:dyDescent="0.3">
      <c r="A2740" t="str">
        <f t="shared" si="42"/>
        <v>CASE-2739</v>
      </c>
      <c r="B2740" s="1">
        <v>45480</v>
      </c>
      <c r="C2740" t="s">
        <v>9</v>
      </c>
      <c r="D2740">
        <v>2</v>
      </c>
      <c r="E2740" t="b">
        <v>0</v>
      </c>
      <c r="F2740" s="2">
        <v>41.876785409342872</v>
      </c>
      <c r="G2740" t="b">
        <v>0</v>
      </c>
      <c r="H2740" t="s">
        <v>29</v>
      </c>
      <c r="I2740" t="s">
        <v>33</v>
      </c>
    </row>
    <row r="2741" spans="1:9" x14ac:dyDescent="0.3">
      <c r="A2741" t="str">
        <f t="shared" si="42"/>
        <v>CASE-2740</v>
      </c>
      <c r="B2741" s="1">
        <v>46198</v>
      </c>
      <c r="C2741" t="s">
        <v>10</v>
      </c>
      <c r="D2741">
        <v>1</v>
      </c>
      <c r="E2741" t="b">
        <v>0</v>
      </c>
      <c r="F2741" s="2">
        <v>6.4406870220502777</v>
      </c>
      <c r="G2741" t="b">
        <v>0</v>
      </c>
      <c r="H2741" t="s">
        <v>28</v>
      </c>
      <c r="I2741" t="s">
        <v>34</v>
      </c>
    </row>
    <row r="2742" spans="1:9" x14ac:dyDescent="0.3">
      <c r="A2742" t="str">
        <f t="shared" si="42"/>
        <v>CASE-2741</v>
      </c>
      <c r="B2742" s="1">
        <v>46117</v>
      </c>
      <c r="C2742" t="s">
        <v>10</v>
      </c>
      <c r="D2742">
        <v>4</v>
      </c>
      <c r="E2742" t="b">
        <v>1</v>
      </c>
      <c r="F2742" s="2">
        <v>6.7576456598740444</v>
      </c>
      <c r="G2742" t="b">
        <v>0</v>
      </c>
      <c r="H2742" t="s">
        <v>16</v>
      </c>
      <c r="I2742" t="s">
        <v>34</v>
      </c>
    </row>
    <row r="2743" spans="1:9" x14ac:dyDescent="0.3">
      <c r="A2743" t="str">
        <f t="shared" si="42"/>
        <v>CASE-2742</v>
      </c>
      <c r="B2743" s="1">
        <v>46018</v>
      </c>
      <c r="C2743" t="s">
        <v>11</v>
      </c>
      <c r="D2743">
        <v>2</v>
      </c>
      <c r="E2743" t="b">
        <v>1</v>
      </c>
      <c r="F2743" s="2">
        <v>3.6096017557335083</v>
      </c>
      <c r="G2743" t="b">
        <v>0</v>
      </c>
      <c r="H2743" t="s">
        <v>24</v>
      </c>
      <c r="I2743" t="s">
        <v>34</v>
      </c>
    </row>
    <row r="2744" spans="1:9" x14ac:dyDescent="0.3">
      <c r="A2744" t="str">
        <f t="shared" si="42"/>
        <v>CASE-2743</v>
      </c>
      <c r="B2744" s="1">
        <v>46140</v>
      </c>
      <c r="C2744" t="s">
        <v>10</v>
      </c>
      <c r="D2744">
        <v>1</v>
      </c>
      <c r="E2744" t="b">
        <v>1</v>
      </c>
      <c r="F2744" s="2">
        <v>8.7102124885410959</v>
      </c>
      <c r="G2744" t="b">
        <v>0</v>
      </c>
      <c r="H2744" t="s">
        <v>27</v>
      </c>
      <c r="I2744" t="s">
        <v>34</v>
      </c>
    </row>
    <row r="2745" spans="1:9" x14ac:dyDescent="0.3">
      <c r="A2745" t="str">
        <f t="shared" si="42"/>
        <v>CASE-2744</v>
      </c>
      <c r="B2745" s="1">
        <v>46199</v>
      </c>
      <c r="C2745" t="s">
        <v>10</v>
      </c>
      <c r="D2745">
        <v>1</v>
      </c>
      <c r="E2745" t="b">
        <v>0</v>
      </c>
      <c r="F2745" s="2">
        <v>6.253339678626018</v>
      </c>
      <c r="G2745" t="b">
        <v>0</v>
      </c>
      <c r="H2745" t="s">
        <v>20</v>
      </c>
      <c r="I2745" t="s">
        <v>34</v>
      </c>
    </row>
    <row r="2746" spans="1:9" x14ac:dyDescent="0.3">
      <c r="A2746" t="str">
        <f t="shared" si="42"/>
        <v>CASE-2745</v>
      </c>
      <c r="B2746" s="1">
        <v>45667</v>
      </c>
      <c r="C2746" t="s">
        <v>10</v>
      </c>
      <c r="D2746">
        <v>2</v>
      </c>
      <c r="E2746" t="b">
        <v>1</v>
      </c>
      <c r="F2746" s="2">
        <v>5.6486578176776057</v>
      </c>
      <c r="G2746" t="b">
        <v>0</v>
      </c>
      <c r="H2746" t="s">
        <v>30</v>
      </c>
      <c r="I2746" t="s">
        <v>34</v>
      </c>
    </row>
    <row r="2747" spans="1:9" x14ac:dyDescent="0.3">
      <c r="A2747" t="str">
        <f t="shared" si="42"/>
        <v>CASE-2746</v>
      </c>
      <c r="B2747" s="1">
        <v>46183</v>
      </c>
      <c r="C2747" t="s">
        <v>9</v>
      </c>
      <c r="D2747">
        <v>1</v>
      </c>
      <c r="E2747" t="b">
        <v>1</v>
      </c>
      <c r="F2747" s="2">
        <v>5.6235466778315546</v>
      </c>
      <c r="G2747" t="b">
        <v>0</v>
      </c>
      <c r="H2747" t="s">
        <v>17</v>
      </c>
      <c r="I2747" t="s">
        <v>34</v>
      </c>
    </row>
    <row r="2748" spans="1:9" x14ac:dyDescent="0.3">
      <c r="A2748" t="str">
        <f t="shared" si="42"/>
        <v>CASE-2747</v>
      </c>
      <c r="B2748" s="1">
        <v>46156</v>
      </c>
      <c r="C2748" t="s">
        <v>9</v>
      </c>
      <c r="D2748">
        <v>4</v>
      </c>
      <c r="E2748" t="b">
        <v>1</v>
      </c>
      <c r="F2748" s="2">
        <v>10.520863259692128</v>
      </c>
      <c r="G2748" t="b">
        <v>0</v>
      </c>
      <c r="H2748" t="s">
        <v>16</v>
      </c>
      <c r="I2748" t="s">
        <v>34</v>
      </c>
    </row>
    <row r="2749" spans="1:9" x14ac:dyDescent="0.3">
      <c r="A2749" t="str">
        <f t="shared" si="42"/>
        <v>CASE-2748</v>
      </c>
      <c r="B2749" s="1">
        <v>46099</v>
      </c>
      <c r="C2749" t="s">
        <v>10</v>
      </c>
      <c r="D2749">
        <v>5</v>
      </c>
      <c r="E2749" t="b">
        <v>1</v>
      </c>
      <c r="F2749" s="2">
        <v>9.1289776034592283</v>
      </c>
      <c r="G2749" t="b">
        <v>0</v>
      </c>
      <c r="H2749" t="s">
        <v>19</v>
      </c>
      <c r="I2749" t="s">
        <v>34</v>
      </c>
    </row>
    <row r="2750" spans="1:9" x14ac:dyDescent="0.3">
      <c r="A2750" t="str">
        <f t="shared" si="42"/>
        <v>CASE-2749</v>
      </c>
      <c r="B2750" s="1">
        <v>46056</v>
      </c>
      <c r="C2750" t="s">
        <v>12</v>
      </c>
      <c r="D2750">
        <v>3</v>
      </c>
      <c r="E2750" t="b">
        <v>1</v>
      </c>
      <c r="F2750" s="2">
        <v>4.5791400128071578</v>
      </c>
      <c r="G2750" t="b">
        <v>0</v>
      </c>
      <c r="H2750" t="s">
        <v>27</v>
      </c>
      <c r="I2750" t="s">
        <v>34</v>
      </c>
    </row>
    <row r="2751" spans="1:9" x14ac:dyDescent="0.3">
      <c r="A2751" t="str">
        <f t="shared" si="42"/>
        <v>CASE-2750</v>
      </c>
      <c r="B2751" s="1">
        <v>45660</v>
      </c>
      <c r="C2751" t="s">
        <v>9</v>
      </c>
      <c r="D2751">
        <v>2</v>
      </c>
      <c r="E2751" t="b">
        <v>1</v>
      </c>
      <c r="F2751" s="2">
        <v>4.0278487429142853</v>
      </c>
      <c r="G2751" t="b">
        <v>0</v>
      </c>
      <c r="H2751" t="s">
        <v>32</v>
      </c>
      <c r="I2751" t="s">
        <v>34</v>
      </c>
    </row>
    <row r="2752" spans="1:9" x14ac:dyDescent="0.3">
      <c r="A2752" t="str">
        <f t="shared" si="42"/>
        <v>CASE-2751</v>
      </c>
      <c r="B2752" s="1">
        <v>46121</v>
      </c>
      <c r="C2752" t="s">
        <v>9</v>
      </c>
      <c r="D2752">
        <v>5</v>
      </c>
      <c r="E2752" t="b">
        <v>0</v>
      </c>
      <c r="F2752" s="2">
        <v>7.08498211809545</v>
      </c>
      <c r="G2752" t="b">
        <v>0</v>
      </c>
      <c r="H2752" t="s">
        <v>30</v>
      </c>
      <c r="I2752" t="s">
        <v>34</v>
      </c>
    </row>
    <row r="2753" spans="1:9" x14ac:dyDescent="0.3">
      <c r="A2753" t="str">
        <f t="shared" si="42"/>
        <v>CASE-2752</v>
      </c>
      <c r="B2753" s="1">
        <v>45698</v>
      </c>
      <c r="C2753" t="s">
        <v>9</v>
      </c>
      <c r="D2753">
        <v>2</v>
      </c>
      <c r="E2753" t="b">
        <v>1</v>
      </c>
      <c r="F2753" s="2">
        <v>9.4498358227324815</v>
      </c>
      <c r="G2753" t="b">
        <v>0</v>
      </c>
      <c r="H2753" t="s">
        <v>31</v>
      </c>
      <c r="I2753" t="s">
        <v>34</v>
      </c>
    </row>
    <row r="2754" spans="1:9" x14ac:dyDescent="0.3">
      <c r="A2754" t="str">
        <f t="shared" si="42"/>
        <v>CASE-2753</v>
      </c>
      <c r="B2754" s="1">
        <v>45686</v>
      </c>
      <c r="C2754" t="s">
        <v>9</v>
      </c>
      <c r="D2754">
        <v>3</v>
      </c>
      <c r="E2754" t="b">
        <v>1</v>
      </c>
      <c r="F2754" s="2">
        <v>3.6821135867923225</v>
      </c>
      <c r="G2754" t="b">
        <v>0</v>
      </c>
      <c r="H2754" t="s">
        <v>19</v>
      </c>
      <c r="I2754" t="s">
        <v>34</v>
      </c>
    </row>
    <row r="2755" spans="1:9" x14ac:dyDescent="0.3">
      <c r="A2755" t="str">
        <f t="shared" ref="A2755:A2818" si="43">"CASE-"&amp;TEXT(ROW()-1,"0000")</f>
        <v>CASE-2754</v>
      </c>
      <c r="B2755" s="1">
        <v>45808</v>
      </c>
      <c r="C2755" t="s">
        <v>11</v>
      </c>
      <c r="D2755">
        <v>2</v>
      </c>
      <c r="E2755" t="b">
        <v>1</v>
      </c>
      <c r="F2755" s="2">
        <v>7.6659455612601635</v>
      </c>
      <c r="G2755" t="b">
        <v>0</v>
      </c>
      <c r="H2755" t="s">
        <v>30</v>
      </c>
      <c r="I2755" t="s">
        <v>35</v>
      </c>
    </row>
    <row r="2756" spans="1:9" x14ac:dyDescent="0.3">
      <c r="A2756" t="str">
        <f t="shared" si="43"/>
        <v>CASE-2755</v>
      </c>
      <c r="B2756" s="1">
        <v>45482</v>
      </c>
      <c r="C2756" t="s">
        <v>10</v>
      </c>
      <c r="D2756">
        <v>3</v>
      </c>
      <c r="E2756" t="b">
        <v>0</v>
      </c>
      <c r="F2756" s="2">
        <v>24.096032422952856</v>
      </c>
      <c r="G2756" t="b">
        <v>0</v>
      </c>
      <c r="H2756" t="s">
        <v>18</v>
      </c>
      <c r="I2756" t="s">
        <v>33</v>
      </c>
    </row>
    <row r="2757" spans="1:9" x14ac:dyDescent="0.3">
      <c r="A2757" t="str">
        <f t="shared" si="43"/>
        <v>CASE-2756</v>
      </c>
      <c r="B2757" s="1">
        <v>45980</v>
      </c>
      <c r="C2757" t="s">
        <v>10</v>
      </c>
      <c r="D2757">
        <v>1</v>
      </c>
      <c r="E2757" t="b">
        <v>1</v>
      </c>
      <c r="F2757" s="2">
        <v>13.921537987808318</v>
      </c>
      <c r="G2757" t="b">
        <v>0</v>
      </c>
      <c r="H2757" t="s">
        <v>13</v>
      </c>
      <c r="I2757" t="s">
        <v>33</v>
      </c>
    </row>
    <row r="2758" spans="1:9" x14ac:dyDescent="0.3">
      <c r="A2758" t="str">
        <f t="shared" si="43"/>
        <v>CASE-2757</v>
      </c>
      <c r="B2758" s="1">
        <v>45991</v>
      </c>
      <c r="C2758" t="s">
        <v>11</v>
      </c>
      <c r="D2758">
        <v>4</v>
      </c>
      <c r="E2758" t="b">
        <v>1</v>
      </c>
      <c r="F2758" s="2">
        <v>2.7121949450280187</v>
      </c>
      <c r="G2758" t="b">
        <v>0</v>
      </c>
      <c r="H2758" t="s">
        <v>19</v>
      </c>
      <c r="I2758" t="s">
        <v>34</v>
      </c>
    </row>
    <row r="2759" spans="1:9" x14ac:dyDescent="0.3">
      <c r="A2759" t="str">
        <f t="shared" si="43"/>
        <v>CASE-2758</v>
      </c>
      <c r="B2759" s="1">
        <v>45521</v>
      </c>
      <c r="C2759" t="s">
        <v>12</v>
      </c>
      <c r="D2759">
        <v>2</v>
      </c>
      <c r="E2759" t="b">
        <v>0</v>
      </c>
      <c r="F2759" s="2">
        <v>21.066284000252832</v>
      </c>
      <c r="G2759" t="b">
        <v>0</v>
      </c>
      <c r="H2759" t="s">
        <v>30</v>
      </c>
      <c r="I2759" t="s">
        <v>33</v>
      </c>
    </row>
    <row r="2760" spans="1:9" x14ac:dyDescent="0.3">
      <c r="A2760" t="str">
        <f t="shared" si="43"/>
        <v>CASE-2759</v>
      </c>
      <c r="B2760" s="1">
        <v>45509</v>
      </c>
      <c r="C2760" t="s">
        <v>9</v>
      </c>
      <c r="D2760">
        <v>5</v>
      </c>
      <c r="E2760" t="b">
        <v>0</v>
      </c>
      <c r="F2760" s="2">
        <v>22.96925668295</v>
      </c>
      <c r="G2760" t="b">
        <v>0</v>
      </c>
      <c r="H2760" t="s">
        <v>29</v>
      </c>
      <c r="I2760" t="s">
        <v>33</v>
      </c>
    </row>
    <row r="2761" spans="1:9" x14ac:dyDescent="0.3">
      <c r="A2761" t="str">
        <f t="shared" si="43"/>
        <v>CASE-2760</v>
      </c>
      <c r="B2761" s="1">
        <v>45744</v>
      </c>
      <c r="C2761" t="s">
        <v>9</v>
      </c>
      <c r="D2761">
        <v>5</v>
      </c>
      <c r="E2761" t="b">
        <v>1</v>
      </c>
      <c r="F2761" s="2">
        <v>8.3854294678628136</v>
      </c>
      <c r="G2761" t="b">
        <v>0</v>
      </c>
      <c r="H2761" t="s">
        <v>16</v>
      </c>
      <c r="I2761" t="s">
        <v>34</v>
      </c>
    </row>
    <row r="2762" spans="1:9" x14ac:dyDescent="0.3">
      <c r="A2762" t="str">
        <f t="shared" si="43"/>
        <v>CASE-2761</v>
      </c>
      <c r="B2762" s="1">
        <v>46153</v>
      </c>
      <c r="C2762" t="s">
        <v>9</v>
      </c>
      <c r="D2762">
        <v>2</v>
      </c>
      <c r="E2762" t="b">
        <v>1</v>
      </c>
      <c r="F2762" s="2">
        <v>5.1903077957750128</v>
      </c>
      <c r="G2762" t="b">
        <v>0</v>
      </c>
      <c r="H2762" t="s">
        <v>21</v>
      </c>
      <c r="I2762" t="s">
        <v>34</v>
      </c>
    </row>
    <row r="2763" spans="1:9" x14ac:dyDescent="0.3">
      <c r="A2763" t="str">
        <f t="shared" si="43"/>
        <v>CASE-2762</v>
      </c>
      <c r="B2763" s="1">
        <v>46095</v>
      </c>
      <c r="C2763" t="s">
        <v>10</v>
      </c>
      <c r="D2763">
        <v>3</v>
      </c>
      <c r="E2763" t="b">
        <v>1</v>
      </c>
      <c r="F2763" s="2">
        <v>3.8252048245932135</v>
      </c>
      <c r="G2763" t="b">
        <v>0</v>
      </c>
      <c r="H2763" t="s">
        <v>32</v>
      </c>
      <c r="I2763" t="s">
        <v>34</v>
      </c>
    </row>
    <row r="2764" spans="1:9" x14ac:dyDescent="0.3">
      <c r="A2764" t="str">
        <f t="shared" si="43"/>
        <v>CASE-2763</v>
      </c>
      <c r="B2764" s="1">
        <v>45859</v>
      </c>
      <c r="C2764" t="s">
        <v>12</v>
      </c>
      <c r="D2764">
        <v>5</v>
      </c>
      <c r="E2764" t="b">
        <v>1</v>
      </c>
      <c r="F2764" s="2">
        <v>7.8221189768901382</v>
      </c>
      <c r="G2764" t="b">
        <v>0</v>
      </c>
      <c r="H2764" t="s">
        <v>14</v>
      </c>
      <c r="I2764" t="s">
        <v>34</v>
      </c>
    </row>
    <row r="2765" spans="1:9" x14ac:dyDescent="0.3">
      <c r="A2765" t="str">
        <f t="shared" si="43"/>
        <v>CASE-2764</v>
      </c>
      <c r="B2765" s="1">
        <v>46010</v>
      </c>
      <c r="C2765" t="s">
        <v>11</v>
      </c>
      <c r="D2765">
        <v>5</v>
      </c>
      <c r="E2765" t="b">
        <v>1</v>
      </c>
      <c r="F2765" s="2">
        <v>7.5249609853760262</v>
      </c>
      <c r="G2765" t="b">
        <v>0</v>
      </c>
      <c r="H2765" t="s">
        <v>27</v>
      </c>
      <c r="I2765" t="s">
        <v>34</v>
      </c>
    </row>
    <row r="2766" spans="1:9" x14ac:dyDescent="0.3">
      <c r="A2766" t="str">
        <f t="shared" si="43"/>
        <v>CASE-2765</v>
      </c>
      <c r="B2766" s="1">
        <v>45700</v>
      </c>
      <c r="C2766" t="s">
        <v>12</v>
      </c>
      <c r="D2766">
        <v>5</v>
      </c>
      <c r="E2766" t="b">
        <v>1</v>
      </c>
      <c r="F2766" s="2">
        <v>7.548851929564476</v>
      </c>
      <c r="G2766" t="b">
        <v>0</v>
      </c>
      <c r="H2766" t="s">
        <v>18</v>
      </c>
      <c r="I2766" t="s">
        <v>34</v>
      </c>
    </row>
    <row r="2767" spans="1:9" x14ac:dyDescent="0.3">
      <c r="A2767" t="str">
        <f t="shared" si="43"/>
        <v>CASE-2766</v>
      </c>
      <c r="B2767" s="1">
        <v>45570</v>
      </c>
      <c r="C2767" t="s">
        <v>11</v>
      </c>
      <c r="D2767">
        <v>4</v>
      </c>
      <c r="E2767" t="b">
        <v>0</v>
      </c>
      <c r="F2767" s="2">
        <v>35.079199902975326</v>
      </c>
      <c r="G2767" t="b">
        <v>0</v>
      </c>
      <c r="H2767" t="s">
        <v>26</v>
      </c>
      <c r="I2767" t="s">
        <v>33</v>
      </c>
    </row>
    <row r="2768" spans="1:9" x14ac:dyDescent="0.3">
      <c r="A2768" t="str">
        <f t="shared" si="43"/>
        <v>CASE-2767</v>
      </c>
      <c r="B2768" s="1">
        <v>45867</v>
      </c>
      <c r="C2768" t="s">
        <v>12</v>
      </c>
      <c r="D2768">
        <v>2</v>
      </c>
      <c r="E2768" t="b">
        <v>1</v>
      </c>
      <c r="F2768" s="2">
        <v>7.6013697093362067</v>
      </c>
      <c r="G2768" t="b">
        <v>0</v>
      </c>
      <c r="H2768" t="s">
        <v>29</v>
      </c>
      <c r="I2768" t="s">
        <v>34</v>
      </c>
    </row>
    <row r="2769" spans="1:9" x14ac:dyDescent="0.3">
      <c r="A2769" t="str">
        <f t="shared" si="43"/>
        <v>CASE-2768</v>
      </c>
      <c r="B2769" s="1">
        <v>45564</v>
      </c>
      <c r="C2769" t="s">
        <v>12</v>
      </c>
      <c r="D2769">
        <v>4</v>
      </c>
      <c r="E2769" t="b">
        <v>0</v>
      </c>
      <c r="F2769" s="2">
        <v>27.06439018491308</v>
      </c>
      <c r="G2769" t="b">
        <v>1</v>
      </c>
      <c r="H2769" t="s">
        <v>32</v>
      </c>
      <c r="I2769" t="s">
        <v>33</v>
      </c>
    </row>
    <row r="2770" spans="1:9" x14ac:dyDescent="0.3">
      <c r="A2770" t="str">
        <f t="shared" si="43"/>
        <v>CASE-2769</v>
      </c>
      <c r="B2770" s="1">
        <v>45989</v>
      </c>
      <c r="C2770" t="s">
        <v>9</v>
      </c>
      <c r="D2770">
        <v>5</v>
      </c>
      <c r="E2770" t="b">
        <v>1</v>
      </c>
      <c r="F2770" s="2">
        <v>21.426183443505462</v>
      </c>
      <c r="G2770" t="b">
        <v>0</v>
      </c>
      <c r="H2770" t="s">
        <v>25</v>
      </c>
      <c r="I2770" t="s">
        <v>33</v>
      </c>
    </row>
    <row r="2771" spans="1:9" x14ac:dyDescent="0.3">
      <c r="A2771" t="str">
        <f t="shared" si="43"/>
        <v>CASE-2770</v>
      </c>
      <c r="B2771" s="1">
        <v>45758</v>
      </c>
      <c r="C2771" t="s">
        <v>11</v>
      </c>
      <c r="D2771">
        <v>1</v>
      </c>
      <c r="E2771" t="b">
        <v>1</v>
      </c>
      <c r="F2771" s="2">
        <v>29.703761260887276</v>
      </c>
      <c r="G2771" t="b">
        <v>0</v>
      </c>
      <c r="H2771" t="s">
        <v>13</v>
      </c>
      <c r="I2771" t="s">
        <v>33</v>
      </c>
    </row>
    <row r="2772" spans="1:9" x14ac:dyDescent="0.3">
      <c r="A2772" t="str">
        <f t="shared" si="43"/>
        <v>CASE-2771</v>
      </c>
      <c r="B2772" s="1">
        <v>45734</v>
      </c>
      <c r="C2772" t="s">
        <v>11</v>
      </c>
      <c r="D2772">
        <v>4</v>
      </c>
      <c r="E2772" t="b">
        <v>1</v>
      </c>
      <c r="F2772" s="2">
        <v>8.4863131191831389</v>
      </c>
      <c r="G2772" t="b">
        <v>0</v>
      </c>
      <c r="H2772" t="s">
        <v>30</v>
      </c>
      <c r="I2772" t="s">
        <v>34</v>
      </c>
    </row>
    <row r="2773" spans="1:9" x14ac:dyDescent="0.3">
      <c r="A2773" t="str">
        <f t="shared" si="43"/>
        <v>CASE-2772</v>
      </c>
      <c r="B2773" s="1">
        <v>46142</v>
      </c>
      <c r="C2773" t="s">
        <v>9</v>
      </c>
      <c r="D2773">
        <v>5</v>
      </c>
      <c r="E2773" t="b">
        <v>1</v>
      </c>
      <c r="F2773" s="2">
        <v>5.0471540697280428</v>
      </c>
      <c r="G2773" t="b">
        <v>0</v>
      </c>
      <c r="H2773" t="s">
        <v>30</v>
      </c>
      <c r="I2773" t="s">
        <v>34</v>
      </c>
    </row>
    <row r="2774" spans="1:9" x14ac:dyDescent="0.3">
      <c r="A2774" t="str">
        <f t="shared" si="43"/>
        <v>CASE-2773</v>
      </c>
      <c r="B2774" s="1">
        <v>45996</v>
      </c>
      <c r="C2774" t="s">
        <v>12</v>
      </c>
      <c r="D2774">
        <v>5</v>
      </c>
      <c r="E2774" t="b">
        <v>0</v>
      </c>
      <c r="F2774" s="2">
        <v>4.3119893370714095</v>
      </c>
      <c r="G2774" t="b">
        <v>0</v>
      </c>
      <c r="H2774" t="s">
        <v>30</v>
      </c>
      <c r="I2774" t="s">
        <v>34</v>
      </c>
    </row>
    <row r="2775" spans="1:9" x14ac:dyDescent="0.3">
      <c r="A2775" t="str">
        <f t="shared" si="43"/>
        <v>CASE-2774</v>
      </c>
      <c r="B2775" s="1">
        <v>45939</v>
      </c>
      <c r="C2775" t="s">
        <v>9</v>
      </c>
      <c r="D2775">
        <v>1</v>
      </c>
      <c r="E2775" t="b">
        <v>0</v>
      </c>
      <c r="F2775" s="2">
        <v>3.1355047032868746</v>
      </c>
      <c r="G2775" t="b">
        <v>0</v>
      </c>
      <c r="H2775" t="s">
        <v>27</v>
      </c>
      <c r="I2775" t="s">
        <v>34</v>
      </c>
    </row>
    <row r="2776" spans="1:9" x14ac:dyDescent="0.3">
      <c r="A2776" t="str">
        <f t="shared" si="43"/>
        <v>CASE-2775</v>
      </c>
      <c r="B2776" s="1">
        <v>46036</v>
      </c>
      <c r="C2776" t="s">
        <v>12</v>
      </c>
      <c r="D2776">
        <v>4</v>
      </c>
      <c r="E2776" t="b">
        <v>1</v>
      </c>
      <c r="F2776" s="2">
        <v>2.877456140645843</v>
      </c>
      <c r="G2776" t="b">
        <v>0</v>
      </c>
      <c r="H2776" t="s">
        <v>25</v>
      </c>
      <c r="I2776" t="s">
        <v>34</v>
      </c>
    </row>
    <row r="2777" spans="1:9" x14ac:dyDescent="0.3">
      <c r="A2777" t="str">
        <f t="shared" si="43"/>
        <v>CASE-2776</v>
      </c>
      <c r="B2777" s="1">
        <v>45894</v>
      </c>
      <c r="C2777" t="s">
        <v>10</v>
      </c>
      <c r="D2777">
        <v>5</v>
      </c>
      <c r="E2777" t="b">
        <v>1</v>
      </c>
      <c r="F2777" s="2">
        <v>8.16107887529758</v>
      </c>
      <c r="G2777" t="b">
        <v>0</v>
      </c>
      <c r="H2777" t="s">
        <v>32</v>
      </c>
      <c r="I2777" t="s">
        <v>35</v>
      </c>
    </row>
    <row r="2778" spans="1:9" x14ac:dyDescent="0.3">
      <c r="A2778" t="str">
        <f t="shared" si="43"/>
        <v>CASE-2777</v>
      </c>
      <c r="B2778" s="1">
        <v>46096</v>
      </c>
      <c r="C2778" t="s">
        <v>12</v>
      </c>
      <c r="D2778">
        <v>2</v>
      </c>
      <c r="E2778" t="b">
        <v>1</v>
      </c>
      <c r="F2778" s="2">
        <v>24.391955838656791</v>
      </c>
      <c r="G2778" t="b">
        <v>0</v>
      </c>
      <c r="H2778" t="s">
        <v>21</v>
      </c>
      <c r="I2778" t="s">
        <v>33</v>
      </c>
    </row>
    <row r="2779" spans="1:9" x14ac:dyDescent="0.3">
      <c r="A2779" t="str">
        <f t="shared" si="43"/>
        <v>CASE-2778</v>
      </c>
      <c r="B2779" s="1">
        <v>45723</v>
      </c>
      <c r="C2779" t="s">
        <v>11</v>
      </c>
      <c r="D2779">
        <v>2</v>
      </c>
      <c r="E2779" t="b">
        <v>1</v>
      </c>
      <c r="F2779" s="2">
        <v>4.1079977373734176</v>
      </c>
      <c r="G2779" t="b">
        <v>0</v>
      </c>
      <c r="H2779" t="s">
        <v>26</v>
      </c>
      <c r="I2779" t="s">
        <v>34</v>
      </c>
    </row>
    <row r="2780" spans="1:9" x14ac:dyDescent="0.3">
      <c r="A2780" t="str">
        <f t="shared" si="43"/>
        <v>CASE-2779</v>
      </c>
      <c r="B2780" s="1">
        <v>45981</v>
      </c>
      <c r="C2780" t="s">
        <v>12</v>
      </c>
      <c r="D2780">
        <v>5</v>
      </c>
      <c r="E2780" t="b">
        <v>1</v>
      </c>
      <c r="F2780" s="2">
        <v>5.5666867265610547</v>
      </c>
      <c r="G2780" t="b">
        <v>0</v>
      </c>
      <c r="H2780" t="s">
        <v>30</v>
      </c>
      <c r="I2780" t="s">
        <v>34</v>
      </c>
    </row>
    <row r="2781" spans="1:9" x14ac:dyDescent="0.3">
      <c r="A2781" t="str">
        <f t="shared" si="43"/>
        <v>CASE-2780</v>
      </c>
      <c r="B2781" s="1">
        <v>45918</v>
      </c>
      <c r="C2781" t="s">
        <v>12</v>
      </c>
      <c r="D2781">
        <v>4</v>
      </c>
      <c r="E2781" t="b">
        <v>1</v>
      </c>
      <c r="F2781" s="2">
        <v>6.8114645348337488</v>
      </c>
      <c r="G2781" t="b">
        <v>0</v>
      </c>
      <c r="H2781" t="s">
        <v>22</v>
      </c>
      <c r="I2781" t="s">
        <v>34</v>
      </c>
    </row>
    <row r="2782" spans="1:9" x14ac:dyDescent="0.3">
      <c r="A2782" t="str">
        <f t="shared" si="43"/>
        <v>CASE-2781</v>
      </c>
      <c r="B2782" s="1">
        <v>46112</v>
      </c>
      <c r="C2782" t="s">
        <v>11</v>
      </c>
      <c r="D2782">
        <v>1</v>
      </c>
      <c r="E2782" t="b">
        <v>0</v>
      </c>
      <c r="F2782" s="2">
        <v>11.694333912266584</v>
      </c>
      <c r="G2782" t="b">
        <v>0</v>
      </c>
      <c r="H2782" t="s">
        <v>19</v>
      </c>
      <c r="I2782" t="s">
        <v>34</v>
      </c>
    </row>
    <row r="2783" spans="1:9" x14ac:dyDescent="0.3">
      <c r="A2783" t="str">
        <f t="shared" si="43"/>
        <v>CASE-2782</v>
      </c>
      <c r="B2783" s="1">
        <v>45935</v>
      </c>
      <c r="C2783" t="s">
        <v>10</v>
      </c>
      <c r="D2783">
        <v>3</v>
      </c>
      <c r="E2783" t="b">
        <v>0</v>
      </c>
      <c r="F2783" s="2">
        <v>29.832206435362458</v>
      </c>
      <c r="G2783" t="b">
        <v>0</v>
      </c>
      <c r="H2783" t="s">
        <v>14</v>
      </c>
      <c r="I2783" t="s">
        <v>33</v>
      </c>
    </row>
    <row r="2784" spans="1:9" x14ac:dyDescent="0.3">
      <c r="A2784" t="str">
        <f t="shared" si="43"/>
        <v>CASE-2783</v>
      </c>
      <c r="B2784" s="1">
        <v>45771</v>
      </c>
      <c r="C2784" t="s">
        <v>11</v>
      </c>
      <c r="D2784">
        <v>5</v>
      </c>
      <c r="E2784" t="b">
        <v>0</v>
      </c>
      <c r="F2784" s="2">
        <v>7.2858647403116068</v>
      </c>
      <c r="G2784" t="b">
        <v>0</v>
      </c>
      <c r="H2784" t="s">
        <v>30</v>
      </c>
      <c r="I2784" t="s">
        <v>34</v>
      </c>
    </row>
    <row r="2785" spans="1:9" x14ac:dyDescent="0.3">
      <c r="A2785" t="str">
        <f t="shared" si="43"/>
        <v>CASE-2784</v>
      </c>
      <c r="B2785" s="1">
        <v>45875</v>
      </c>
      <c r="C2785" t="s">
        <v>10</v>
      </c>
      <c r="D2785">
        <v>2</v>
      </c>
      <c r="E2785" t="b">
        <v>0</v>
      </c>
      <c r="F2785" s="2">
        <v>22.823725111722801</v>
      </c>
      <c r="G2785" t="b">
        <v>0</v>
      </c>
      <c r="H2785" t="s">
        <v>21</v>
      </c>
      <c r="I2785" t="s">
        <v>33</v>
      </c>
    </row>
    <row r="2786" spans="1:9" x14ac:dyDescent="0.3">
      <c r="A2786" t="str">
        <f t="shared" si="43"/>
        <v>CASE-2785</v>
      </c>
      <c r="B2786" s="1">
        <v>46185</v>
      </c>
      <c r="C2786" t="s">
        <v>9</v>
      </c>
      <c r="D2786">
        <v>4</v>
      </c>
      <c r="E2786" t="b">
        <v>0</v>
      </c>
      <c r="F2786" s="2">
        <v>3.9984599495733422</v>
      </c>
      <c r="G2786" t="b">
        <v>0</v>
      </c>
      <c r="H2786" t="s">
        <v>14</v>
      </c>
      <c r="I2786" t="s">
        <v>34</v>
      </c>
    </row>
    <row r="2787" spans="1:9" x14ac:dyDescent="0.3">
      <c r="A2787" t="str">
        <f t="shared" si="43"/>
        <v>CASE-2786</v>
      </c>
      <c r="B2787" s="1">
        <v>45822</v>
      </c>
      <c r="C2787" t="s">
        <v>9</v>
      </c>
      <c r="D2787">
        <v>5</v>
      </c>
      <c r="E2787" t="b">
        <v>0</v>
      </c>
      <c r="F2787" s="2">
        <v>21.013019469418911</v>
      </c>
      <c r="G2787" t="b">
        <v>0</v>
      </c>
      <c r="H2787" t="s">
        <v>29</v>
      </c>
      <c r="I2787" t="s">
        <v>33</v>
      </c>
    </row>
    <row r="2788" spans="1:9" x14ac:dyDescent="0.3">
      <c r="A2788" t="str">
        <f t="shared" si="43"/>
        <v>CASE-2787</v>
      </c>
      <c r="B2788" s="1">
        <v>45614</v>
      </c>
      <c r="C2788" t="s">
        <v>12</v>
      </c>
      <c r="D2788">
        <v>5</v>
      </c>
      <c r="E2788" t="b">
        <v>0</v>
      </c>
      <c r="F2788" s="2">
        <v>28.138573308955451</v>
      </c>
      <c r="G2788" t="b">
        <v>0</v>
      </c>
      <c r="H2788" t="s">
        <v>30</v>
      </c>
      <c r="I2788" t="s">
        <v>33</v>
      </c>
    </row>
    <row r="2789" spans="1:9" x14ac:dyDescent="0.3">
      <c r="A2789" t="str">
        <f t="shared" si="43"/>
        <v>CASE-2788</v>
      </c>
      <c r="B2789" s="1">
        <v>46107</v>
      </c>
      <c r="C2789" t="s">
        <v>11</v>
      </c>
      <c r="D2789">
        <v>3</v>
      </c>
      <c r="E2789" t="b">
        <v>1</v>
      </c>
      <c r="F2789" s="2">
        <v>2.7959625927429412</v>
      </c>
      <c r="G2789" t="b">
        <v>0</v>
      </c>
      <c r="H2789" t="s">
        <v>21</v>
      </c>
      <c r="I2789" t="s">
        <v>34</v>
      </c>
    </row>
    <row r="2790" spans="1:9" x14ac:dyDescent="0.3">
      <c r="A2790" t="str">
        <f t="shared" si="43"/>
        <v>CASE-2789</v>
      </c>
      <c r="B2790" s="1">
        <v>45889</v>
      </c>
      <c r="C2790" t="s">
        <v>9</v>
      </c>
      <c r="D2790">
        <v>4</v>
      </c>
      <c r="E2790" t="b">
        <v>1</v>
      </c>
      <c r="F2790" s="2">
        <v>2.4766136664866583</v>
      </c>
      <c r="G2790" t="b">
        <v>0</v>
      </c>
      <c r="H2790" t="s">
        <v>23</v>
      </c>
      <c r="I2790" t="s">
        <v>34</v>
      </c>
    </row>
    <row r="2791" spans="1:9" x14ac:dyDescent="0.3">
      <c r="A2791" t="str">
        <f t="shared" si="43"/>
        <v>CASE-2790</v>
      </c>
      <c r="B2791" s="1">
        <v>45906</v>
      </c>
      <c r="C2791" t="s">
        <v>11</v>
      </c>
      <c r="D2791">
        <v>3</v>
      </c>
      <c r="E2791" t="b">
        <v>1</v>
      </c>
      <c r="F2791" s="2">
        <v>28.039460929835592</v>
      </c>
      <c r="G2791" t="b">
        <v>0</v>
      </c>
      <c r="H2791" t="s">
        <v>16</v>
      </c>
      <c r="I2791" t="s">
        <v>33</v>
      </c>
    </row>
    <row r="2792" spans="1:9" x14ac:dyDescent="0.3">
      <c r="A2792" t="str">
        <f t="shared" si="43"/>
        <v>CASE-2791</v>
      </c>
      <c r="B2792" s="1">
        <v>45606</v>
      </c>
      <c r="C2792" t="s">
        <v>10</v>
      </c>
      <c r="D2792">
        <v>3</v>
      </c>
      <c r="E2792" t="b">
        <v>0</v>
      </c>
      <c r="F2792" s="2">
        <v>30.564326115993484</v>
      </c>
      <c r="G2792" t="b">
        <v>0</v>
      </c>
      <c r="H2792" t="s">
        <v>32</v>
      </c>
      <c r="I2792" t="s">
        <v>33</v>
      </c>
    </row>
    <row r="2793" spans="1:9" x14ac:dyDescent="0.3">
      <c r="A2793" t="str">
        <f t="shared" si="43"/>
        <v>CASE-2792</v>
      </c>
      <c r="B2793" s="1">
        <v>46104</v>
      </c>
      <c r="C2793" t="s">
        <v>12</v>
      </c>
      <c r="D2793">
        <v>2</v>
      </c>
      <c r="E2793" t="b">
        <v>1</v>
      </c>
      <c r="F2793" s="2">
        <v>6.8624298500498089</v>
      </c>
      <c r="G2793" t="b">
        <v>0</v>
      </c>
      <c r="H2793" t="s">
        <v>27</v>
      </c>
      <c r="I2793" t="s">
        <v>34</v>
      </c>
    </row>
    <row r="2794" spans="1:9" x14ac:dyDescent="0.3">
      <c r="A2794" t="str">
        <f t="shared" si="43"/>
        <v>CASE-2793</v>
      </c>
      <c r="B2794" s="1">
        <v>45637</v>
      </c>
      <c r="C2794" t="s">
        <v>11</v>
      </c>
      <c r="D2794">
        <v>4</v>
      </c>
      <c r="E2794" t="b">
        <v>0</v>
      </c>
      <c r="F2794" s="2">
        <v>31.509316732408006</v>
      </c>
      <c r="G2794" t="b">
        <v>0</v>
      </c>
      <c r="H2794" t="s">
        <v>18</v>
      </c>
      <c r="I2794" t="s">
        <v>33</v>
      </c>
    </row>
    <row r="2795" spans="1:9" x14ac:dyDescent="0.3">
      <c r="A2795" t="str">
        <f t="shared" si="43"/>
        <v>CASE-2794</v>
      </c>
      <c r="B2795" s="1">
        <v>46071</v>
      </c>
      <c r="C2795" t="s">
        <v>12</v>
      </c>
      <c r="D2795">
        <v>4</v>
      </c>
      <c r="E2795" t="b">
        <v>0</v>
      </c>
      <c r="F2795" s="2">
        <v>5.2924939763827306</v>
      </c>
      <c r="G2795" t="b">
        <v>0</v>
      </c>
      <c r="H2795" t="s">
        <v>29</v>
      </c>
      <c r="I2795" t="s">
        <v>34</v>
      </c>
    </row>
    <row r="2796" spans="1:9" x14ac:dyDescent="0.3">
      <c r="A2796" t="str">
        <f t="shared" si="43"/>
        <v>CASE-2795</v>
      </c>
      <c r="B2796" s="1">
        <v>45917</v>
      </c>
      <c r="C2796" t="s">
        <v>12</v>
      </c>
      <c r="D2796">
        <v>1</v>
      </c>
      <c r="E2796" t="b">
        <v>0</v>
      </c>
      <c r="F2796" s="2">
        <v>6.1349023342618727</v>
      </c>
      <c r="G2796" t="b">
        <v>0</v>
      </c>
      <c r="H2796" t="s">
        <v>23</v>
      </c>
      <c r="I2796" t="s">
        <v>34</v>
      </c>
    </row>
    <row r="2797" spans="1:9" x14ac:dyDescent="0.3">
      <c r="A2797" t="str">
        <f t="shared" si="43"/>
        <v>CASE-2796</v>
      </c>
      <c r="B2797" s="1">
        <v>45515</v>
      </c>
      <c r="C2797" t="s">
        <v>10</v>
      </c>
      <c r="D2797">
        <v>2</v>
      </c>
      <c r="E2797" t="b">
        <v>0</v>
      </c>
      <c r="F2797" s="2">
        <v>26.687445966305877</v>
      </c>
      <c r="G2797" t="b">
        <v>0</v>
      </c>
      <c r="H2797" t="s">
        <v>31</v>
      </c>
      <c r="I2797" t="s">
        <v>33</v>
      </c>
    </row>
    <row r="2798" spans="1:9" x14ac:dyDescent="0.3">
      <c r="A2798" t="str">
        <f t="shared" si="43"/>
        <v>CASE-2797</v>
      </c>
      <c r="B2798" s="1">
        <v>45918</v>
      </c>
      <c r="C2798" t="s">
        <v>12</v>
      </c>
      <c r="D2798">
        <v>3</v>
      </c>
      <c r="E2798" t="b">
        <v>1</v>
      </c>
      <c r="F2798" s="2">
        <v>2.1234121483959822</v>
      </c>
      <c r="G2798" t="b">
        <v>0</v>
      </c>
      <c r="H2798" t="s">
        <v>25</v>
      </c>
      <c r="I2798" t="s">
        <v>34</v>
      </c>
    </row>
    <row r="2799" spans="1:9" x14ac:dyDescent="0.3">
      <c r="A2799" t="str">
        <f t="shared" si="43"/>
        <v>CASE-2798</v>
      </c>
      <c r="B2799" s="1">
        <v>45981</v>
      </c>
      <c r="C2799" t="s">
        <v>10</v>
      </c>
      <c r="D2799">
        <v>5</v>
      </c>
      <c r="E2799" t="b">
        <v>1</v>
      </c>
      <c r="F2799" s="2">
        <v>33.108890072905915</v>
      </c>
      <c r="G2799" t="b">
        <v>0</v>
      </c>
      <c r="H2799" t="s">
        <v>17</v>
      </c>
      <c r="I2799" t="s">
        <v>33</v>
      </c>
    </row>
    <row r="2800" spans="1:9" x14ac:dyDescent="0.3">
      <c r="A2800" t="str">
        <f t="shared" si="43"/>
        <v>CASE-2799</v>
      </c>
      <c r="B2800" s="1">
        <v>45743</v>
      </c>
      <c r="C2800" t="s">
        <v>9</v>
      </c>
      <c r="D2800">
        <v>3</v>
      </c>
      <c r="E2800" t="b">
        <v>1</v>
      </c>
      <c r="F2800" s="2">
        <v>24.793644787462792</v>
      </c>
      <c r="G2800" t="b">
        <v>0</v>
      </c>
      <c r="H2800" t="s">
        <v>27</v>
      </c>
      <c r="I2800" t="s">
        <v>33</v>
      </c>
    </row>
    <row r="2801" spans="1:9" x14ac:dyDescent="0.3">
      <c r="A2801" t="str">
        <f t="shared" si="43"/>
        <v>CASE-2800</v>
      </c>
      <c r="B2801" s="1">
        <v>46134</v>
      </c>
      <c r="C2801" t="s">
        <v>12</v>
      </c>
      <c r="D2801">
        <v>2</v>
      </c>
      <c r="E2801" t="b">
        <v>1</v>
      </c>
      <c r="F2801" s="2">
        <v>7.305228244777858</v>
      </c>
      <c r="G2801" t="b">
        <v>0</v>
      </c>
      <c r="H2801" t="s">
        <v>32</v>
      </c>
      <c r="I2801" t="s">
        <v>34</v>
      </c>
    </row>
    <row r="2802" spans="1:9" x14ac:dyDescent="0.3">
      <c r="A2802" t="str">
        <f t="shared" si="43"/>
        <v>CASE-2801</v>
      </c>
      <c r="B2802" s="1">
        <v>45634</v>
      </c>
      <c r="C2802" t="s">
        <v>10</v>
      </c>
      <c r="D2802">
        <v>2</v>
      </c>
      <c r="E2802" t="b">
        <v>0</v>
      </c>
      <c r="F2802" s="2">
        <v>15.031711222976787</v>
      </c>
      <c r="G2802" t="b">
        <v>0</v>
      </c>
      <c r="H2802" t="s">
        <v>31</v>
      </c>
      <c r="I2802" t="s">
        <v>33</v>
      </c>
    </row>
    <row r="2803" spans="1:9" x14ac:dyDescent="0.3">
      <c r="A2803" t="str">
        <f t="shared" si="43"/>
        <v>CASE-2802</v>
      </c>
      <c r="B2803" s="1">
        <v>46196</v>
      </c>
      <c r="C2803" t="s">
        <v>11</v>
      </c>
      <c r="D2803">
        <v>1</v>
      </c>
      <c r="E2803" t="b">
        <v>0</v>
      </c>
      <c r="F2803" s="2">
        <v>4.7141231635156595</v>
      </c>
      <c r="G2803" t="b">
        <v>0</v>
      </c>
      <c r="H2803" t="s">
        <v>15</v>
      </c>
      <c r="I2803" t="s">
        <v>35</v>
      </c>
    </row>
    <row r="2804" spans="1:9" x14ac:dyDescent="0.3">
      <c r="A2804" t="str">
        <f t="shared" si="43"/>
        <v>CASE-2803</v>
      </c>
      <c r="B2804" s="1">
        <v>45615</v>
      </c>
      <c r="C2804" t="s">
        <v>9</v>
      </c>
      <c r="D2804">
        <v>5</v>
      </c>
      <c r="E2804" t="b">
        <v>0</v>
      </c>
      <c r="F2804" s="2">
        <v>31.89799037842279</v>
      </c>
      <c r="G2804" t="b">
        <v>0</v>
      </c>
      <c r="H2804" t="s">
        <v>15</v>
      </c>
      <c r="I2804" t="s">
        <v>33</v>
      </c>
    </row>
    <row r="2805" spans="1:9" x14ac:dyDescent="0.3">
      <c r="A2805" t="str">
        <f t="shared" si="43"/>
        <v>CASE-2804</v>
      </c>
      <c r="B2805" s="1">
        <v>46156</v>
      </c>
      <c r="C2805" t="s">
        <v>10</v>
      </c>
      <c r="D2805">
        <v>3</v>
      </c>
      <c r="E2805" t="b">
        <v>1</v>
      </c>
      <c r="F2805" s="2">
        <v>8.1808069147472651</v>
      </c>
      <c r="G2805" t="b">
        <v>0</v>
      </c>
      <c r="H2805" t="s">
        <v>21</v>
      </c>
      <c r="I2805" t="s">
        <v>34</v>
      </c>
    </row>
    <row r="2806" spans="1:9" x14ac:dyDescent="0.3">
      <c r="A2806" t="str">
        <f t="shared" si="43"/>
        <v>CASE-2805</v>
      </c>
      <c r="B2806" s="1">
        <v>46143</v>
      </c>
      <c r="C2806" t="s">
        <v>10</v>
      </c>
      <c r="D2806">
        <v>1</v>
      </c>
      <c r="E2806" t="b">
        <v>1</v>
      </c>
      <c r="F2806" s="2">
        <v>7.5516476351341462</v>
      </c>
      <c r="G2806" t="b">
        <v>0</v>
      </c>
      <c r="H2806" t="s">
        <v>24</v>
      </c>
      <c r="I2806" t="s">
        <v>34</v>
      </c>
    </row>
    <row r="2807" spans="1:9" x14ac:dyDescent="0.3">
      <c r="A2807" t="str">
        <f t="shared" si="43"/>
        <v>CASE-2806</v>
      </c>
      <c r="B2807" s="1">
        <v>45735</v>
      </c>
      <c r="C2807" t="s">
        <v>9</v>
      </c>
      <c r="D2807">
        <v>2</v>
      </c>
      <c r="E2807" t="b">
        <v>1</v>
      </c>
      <c r="F2807" s="2">
        <v>5.7474330232464395</v>
      </c>
      <c r="G2807" t="b">
        <v>0</v>
      </c>
      <c r="H2807" t="s">
        <v>17</v>
      </c>
      <c r="I2807" t="s">
        <v>34</v>
      </c>
    </row>
    <row r="2808" spans="1:9" x14ac:dyDescent="0.3">
      <c r="A2808" t="str">
        <f t="shared" si="43"/>
        <v>CASE-2807</v>
      </c>
      <c r="B2808" s="1">
        <v>45855</v>
      </c>
      <c r="C2808" t="s">
        <v>11</v>
      </c>
      <c r="D2808">
        <v>4</v>
      </c>
      <c r="E2808" t="b">
        <v>1</v>
      </c>
      <c r="F2808" s="2">
        <v>6.1894456626365928</v>
      </c>
      <c r="G2808" t="b">
        <v>0</v>
      </c>
      <c r="H2808" t="s">
        <v>18</v>
      </c>
      <c r="I2808" t="s">
        <v>34</v>
      </c>
    </row>
    <row r="2809" spans="1:9" x14ac:dyDescent="0.3">
      <c r="A2809" t="str">
        <f t="shared" si="43"/>
        <v>CASE-2808</v>
      </c>
      <c r="B2809" s="1">
        <v>45668</v>
      </c>
      <c r="C2809" t="s">
        <v>10</v>
      </c>
      <c r="D2809">
        <v>2</v>
      </c>
      <c r="E2809" t="b">
        <v>1</v>
      </c>
      <c r="F2809" s="2">
        <v>3.4195187120547827</v>
      </c>
      <c r="G2809" t="b">
        <v>0</v>
      </c>
      <c r="H2809" t="s">
        <v>29</v>
      </c>
      <c r="I2809" t="s">
        <v>34</v>
      </c>
    </row>
    <row r="2810" spans="1:9" x14ac:dyDescent="0.3">
      <c r="A2810" t="str">
        <f t="shared" si="43"/>
        <v>CASE-2809</v>
      </c>
      <c r="B2810" s="1">
        <v>45695</v>
      </c>
      <c r="C2810" t="s">
        <v>10</v>
      </c>
      <c r="D2810">
        <v>3</v>
      </c>
      <c r="E2810" t="b">
        <v>1</v>
      </c>
      <c r="F2810" s="2">
        <v>6.3911190152654331</v>
      </c>
      <c r="G2810" t="b">
        <v>0</v>
      </c>
      <c r="H2810" t="s">
        <v>13</v>
      </c>
      <c r="I2810" t="s">
        <v>34</v>
      </c>
    </row>
    <row r="2811" spans="1:9" x14ac:dyDescent="0.3">
      <c r="A2811" t="str">
        <f t="shared" si="43"/>
        <v>CASE-2810</v>
      </c>
      <c r="B2811" s="1">
        <v>46078</v>
      </c>
      <c r="C2811" t="s">
        <v>12</v>
      </c>
      <c r="D2811">
        <v>3</v>
      </c>
      <c r="E2811" t="b">
        <v>1</v>
      </c>
      <c r="F2811" s="2">
        <v>7.2087623575040922</v>
      </c>
      <c r="G2811" t="b">
        <v>0</v>
      </c>
      <c r="H2811" t="s">
        <v>23</v>
      </c>
      <c r="I2811" t="s">
        <v>34</v>
      </c>
    </row>
    <row r="2812" spans="1:9" x14ac:dyDescent="0.3">
      <c r="A2812" t="str">
        <f t="shared" si="43"/>
        <v>CASE-2811</v>
      </c>
      <c r="B2812" s="1">
        <v>45494</v>
      </c>
      <c r="C2812" t="s">
        <v>9</v>
      </c>
      <c r="D2812">
        <v>1</v>
      </c>
      <c r="E2812" t="b">
        <v>0</v>
      </c>
      <c r="F2812" s="2">
        <v>23.005569984595734</v>
      </c>
      <c r="G2812" t="b">
        <v>0</v>
      </c>
      <c r="H2812" t="s">
        <v>32</v>
      </c>
      <c r="I2812" t="s">
        <v>33</v>
      </c>
    </row>
    <row r="2813" spans="1:9" x14ac:dyDescent="0.3">
      <c r="A2813" t="str">
        <f t="shared" si="43"/>
        <v>CASE-2812</v>
      </c>
      <c r="B2813" s="1">
        <v>45516</v>
      </c>
      <c r="C2813" t="s">
        <v>11</v>
      </c>
      <c r="D2813">
        <v>2</v>
      </c>
      <c r="E2813" t="b">
        <v>0</v>
      </c>
      <c r="F2813" s="2">
        <v>46.529336597235627</v>
      </c>
      <c r="G2813" t="b">
        <v>0</v>
      </c>
      <c r="H2813" t="s">
        <v>27</v>
      </c>
      <c r="I2813" t="s">
        <v>33</v>
      </c>
    </row>
    <row r="2814" spans="1:9" x14ac:dyDescent="0.3">
      <c r="A2814" t="str">
        <f t="shared" si="43"/>
        <v>CASE-2813</v>
      </c>
      <c r="B2814" s="1">
        <v>45984</v>
      </c>
      <c r="C2814" t="s">
        <v>10</v>
      </c>
      <c r="D2814">
        <v>3</v>
      </c>
      <c r="E2814" t="b">
        <v>1</v>
      </c>
      <c r="F2814" s="2">
        <v>5.0967197924397354</v>
      </c>
      <c r="G2814" t="b">
        <v>0</v>
      </c>
      <c r="H2814" t="s">
        <v>27</v>
      </c>
      <c r="I2814" t="s">
        <v>34</v>
      </c>
    </row>
    <row r="2815" spans="1:9" x14ac:dyDescent="0.3">
      <c r="A2815" t="str">
        <f t="shared" si="43"/>
        <v>CASE-2814</v>
      </c>
      <c r="B2815" s="1">
        <v>45602</v>
      </c>
      <c r="C2815" t="s">
        <v>11</v>
      </c>
      <c r="D2815">
        <v>1</v>
      </c>
      <c r="E2815" t="b">
        <v>0</v>
      </c>
      <c r="F2815" s="2">
        <v>23.002749987017367</v>
      </c>
      <c r="G2815" t="b">
        <v>0</v>
      </c>
      <c r="H2815" t="s">
        <v>17</v>
      </c>
      <c r="I2815" t="s">
        <v>33</v>
      </c>
    </row>
    <row r="2816" spans="1:9" x14ac:dyDescent="0.3">
      <c r="A2816" t="str">
        <f t="shared" si="43"/>
        <v>CASE-2815</v>
      </c>
      <c r="B2816" s="1">
        <v>45964</v>
      </c>
      <c r="C2816" t="s">
        <v>10</v>
      </c>
      <c r="D2816">
        <v>4</v>
      </c>
      <c r="E2816" t="b">
        <v>1</v>
      </c>
      <c r="F2816" s="2">
        <v>5.9711095197552471</v>
      </c>
      <c r="G2816" t="b">
        <v>0</v>
      </c>
      <c r="H2816" t="s">
        <v>18</v>
      </c>
      <c r="I2816" t="s">
        <v>35</v>
      </c>
    </row>
    <row r="2817" spans="1:9" x14ac:dyDescent="0.3">
      <c r="A2817" t="str">
        <f t="shared" si="43"/>
        <v>CASE-2816</v>
      </c>
      <c r="B2817" s="1">
        <v>46123</v>
      </c>
      <c r="C2817" t="s">
        <v>10</v>
      </c>
      <c r="D2817">
        <v>5</v>
      </c>
      <c r="E2817" t="b">
        <v>1</v>
      </c>
      <c r="F2817" s="2">
        <v>2.339400707532354</v>
      </c>
      <c r="G2817" t="b">
        <v>0</v>
      </c>
      <c r="H2817" t="s">
        <v>30</v>
      </c>
      <c r="I2817" t="s">
        <v>35</v>
      </c>
    </row>
    <row r="2818" spans="1:9" x14ac:dyDescent="0.3">
      <c r="A2818" t="str">
        <f t="shared" si="43"/>
        <v>CASE-2817</v>
      </c>
      <c r="B2818" s="1">
        <v>46005</v>
      </c>
      <c r="C2818" t="s">
        <v>11</v>
      </c>
      <c r="D2818">
        <v>4</v>
      </c>
      <c r="E2818" t="b">
        <v>1</v>
      </c>
      <c r="F2818" s="2">
        <v>22.354104788944142</v>
      </c>
      <c r="G2818" t="b">
        <v>0</v>
      </c>
      <c r="H2818" t="s">
        <v>27</v>
      </c>
      <c r="I2818" t="s">
        <v>33</v>
      </c>
    </row>
    <row r="2819" spans="1:9" x14ac:dyDescent="0.3">
      <c r="A2819" t="str">
        <f t="shared" ref="A2819:A2882" si="44">"CASE-"&amp;TEXT(ROW()-1,"0000")</f>
        <v>CASE-2818</v>
      </c>
      <c r="B2819" s="1">
        <v>45507</v>
      </c>
      <c r="C2819" t="s">
        <v>11</v>
      </c>
      <c r="D2819">
        <v>1</v>
      </c>
      <c r="E2819" t="b">
        <v>0</v>
      </c>
      <c r="F2819" s="2">
        <v>24.975676157563512</v>
      </c>
      <c r="G2819" t="b">
        <v>0</v>
      </c>
      <c r="H2819" t="s">
        <v>24</v>
      </c>
      <c r="I2819" t="s">
        <v>33</v>
      </c>
    </row>
    <row r="2820" spans="1:9" x14ac:dyDescent="0.3">
      <c r="A2820" t="str">
        <f t="shared" si="44"/>
        <v>CASE-2819</v>
      </c>
      <c r="B2820" s="1">
        <v>46036</v>
      </c>
      <c r="C2820" t="s">
        <v>9</v>
      </c>
      <c r="D2820">
        <v>4</v>
      </c>
      <c r="E2820" t="b">
        <v>1</v>
      </c>
      <c r="F2820" s="2">
        <v>3.7506936145586258</v>
      </c>
      <c r="G2820" t="b">
        <v>0</v>
      </c>
      <c r="H2820" t="s">
        <v>22</v>
      </c>
      <c r="I2820" t="s">
        <v>34</v>
      </c>
    </row>
    <row r="2821" spans="1:9" x14ac:dyDescent="0.3">
      <c r="A2821" t="str">
        <f t="shared" si="44"/>
        <v>CASE-2820</v>
      </c>
      <c r="B2821" s="1">
        <v>45776</v>
      </c>
      <c r="C2821" t="s">
        <v>10</v>
      </c>
      <c r="D2821">
        <v>1</v>
      </c>
      <c r="E2821" t="b">
        <v>1</v>
      </c>
      <c r="F2821" s="2">
        <v>5.8090267258317585</v>
      </c>
      <c r="G2821" t="b">
        <v>0</v>
      </c>
      <c r="H2821" t="s">
        <v>32</v>
      </c>
      <c r="I2821" t="s">
        <v>34</v>
      </c>
    </row>
    <row r="2822" spans="1:9" x14ac:dyDescent="0.3">
      <c r="A2822" t="str">
        <f t="shared" si="44"/>
        <v>CASE-2821</v>
      </c>
      <c r="B2822" s="1">
        <v>45737</v>
      </c>
      <c r="C2822" t="s">
        <v>10</v>
      </c>
      <c r="D2822">
        <v>2</v>
      </c>
      <c r="E2822" t="b">
        <v>1</v>
      </c>
      <c r="F2822" s="2">
        <v>7.6305269463071852</v>
      </c>
      <c r="G2822" t="b">
        <v>0</v>
      </c>
      <c r="H2822" t="s">
        <v>13</v>
      </c>
      <c r="I2822" t="s">
        <v>34</v>
      </c>
    </row>
    <row r="2823" spans="1:9" x14ac:dyDescent="0.3">
      <c r="A2823" t="str">
        <f t="shared" si="44"/>
        <v>CASE-2822</v>
      </c>
      <c r="B2823" s="1">
        <v>46184</v>
      </c>
      <c r="C2823" t="s">
        <v>9</v>
      </c>
      <c r="D2823">
        <v>3</v>
      </c>
      <c r="E2823" t="b">
        <v>1</v>
      </c>
      <c r="F2823" s="2">
        <v>5.9953265244691964</v>
      </c>
      <c r="G2823" t="b">
        <v>0</v>
      </c>
      <c r="H2823" t="s">
        <v>25</v>
      </c>
      <c r="I2823" t="s">
        <v>34</v>
      </c>
    </row>
    <row r="2824" spans="1:9" x14ac:dyDescent="0.3">
      <c r="A2824" t="str">
        <f t="shared" si="44"/>
        <v>CASE-2823</v>
      </c>
      <c r="B2824" s="1">
        <v>46085</v>
      </c>
      <c r="C2824" t="s">
        <v>9</v>
      </c>
      <c r="D2824">
        <v>5</v>
      </c>
      <c r="E2824" t="b">
        <v>0</v>
      </c>
      <c r="F2824" s="2">
        <v>4.3952054723652827</v>
      </c>
      <c r="G2824" t="b">
        <v>0</v>
      </c>
      <c r="H2824" t="s">
        <v>28</v>
      </c>
      <c r="I2824" t="s">
        <v>34</v>
      </c>
    </row>
    <row r="2825" spans="1:9" x14ac:dyDescent="0.3">
      <c r="A2825" t="str">
        <f t="shared" si="44"/>
        <v>CASE-2824</v>
      </c>
      <c r="B2825" s="1">
        <v>45625</v>
      </c>
      <c r="C2825" t="s">
        <v>10</v>
      </c>
      <c r="D2825">
        <v>3</v>
      </c>
      <c r="E2825" t="b">
        <v>0</v>
      </c>
      <c r="F2825" s="2">
        <v>18.632011315314827</v>
      </c>
      <c r="G2825" t="b">
        <v>0</v>
      </c>
      <c r="H2825" t="s">
        <v>14</v>
      </c>
      <c r="I2825" t="s">
        <v>33</v>
      </c>
    </row>
    <row r="2826" spans="1:9" x14ac:dyDescent="0.3">
      <c r="A2826" t="str">
        <f t="shared" si="44"/>
        <v>CASE-2825</v>
      </c>
      <c r="B2826" s="1">
        <v>45516</v>
      </c>
      <c r="C2826" t="s">
        <v>10</v>
      </c>
      <c r="D2826">
        <v>2</v>
      </c>
      <c r="E2826" t="b">
        <v>0</v>
      </c>
      <c r="F2826" s="2">
        <v>33.883682747115174</v>
      </c>
      <c r="G2826" t="b">
        <v>0</v>
      </c>
      <c r="H2826" t="s">
        <v>22</v>
      </c>
      <c r="I2826" t="s">
        <v>33</v>
      </c>
    </row>
    <row r="2827" spans="1:9" x14ac:dyDescent="0.3">
      <c r="A2827" t="str">
        <f t="shared" si="44"/>
        <v>CASE-2826</v>
      </c>
      <c r="B2827" s="1">
        <v>46071</v>
      </c>
      <c r="C2827" t="s">
        <v>10</v>
      </c>
      <c r="D2827">
        <v>3</v>
      </c>
      <c r="E2827" t="b">
        <v>1</v>
      </c>
      <c r="F2827" s="2">
        <v>7.540998192822002</v>
      </c>
      <c r="G2827" t="b">
        <v>0</v>
      </c>
      <c r="H2827" t="s">
        <v>19</v>
      </c>
      <c r="I2827" t="s">
        <v>34</v>
      </c>
    </row>
    <row r="2828" spans="1:9" x14ac:dyDescent="0.3">
      <c r="A2828" t="str">
        <f t="shared" si="44"/>
        <v>CASE-2827</v>
      </c>
      <c r="B2828" s="1">
        <v>46186</v>
      </c>
      <c r="C2828" t="s">
        <v>11</v>
      </c>
      <c r="D2828">
        <v>2</v>
      </c>
      <c r="E2828" t="b">
        <v>0</v>
      </c>
      <c r="F2828" s="2">
        <v>8.039885441899207</v>
      </c>
      <c r="G2828" t="b">
        <v>0</v>
      </c>
      <c r="H2828" t="s">
        <v>20</v>
      </c>
      <c r="I2828" t="s">
        <v>34</v>
      </c>
    </row>
    <row r="2829" spans="1:9" x14ac:dyDescent="0.3">
      <c r="A2829" t="str">
        <f t="shared" si="44"/>
        <v>CASE-2828</v>
      </c>
      <c r="B2829" s="1">
        <v>45698</v>
      </c>
      <c r="C2829" t="s">
        <v>10</v>
      </c>
      <c r="D2829">
        <v>5</v>
      </c>
      <c r="E2829" t="b">
        <v>1</v>
      </c>
      <c r="F2829" s="2">
        <v>28.293757398361361</v>
      </c>
      <c r="G2829" t="b">
        <v>0</v>
      </c>
      <c r="H2829" t="s">
        <v>24</v>
      </c>
      <c r="I2829" t="s">
        <v>33</v>
      </c>
    </row>
    <row r="2830" spans="1:9" x14ac:dyDescent="0.3">
      <c r="A2830" t="str">
        <f t="shared" si="44"/>
        <v>CASE-2829</v>
      </c>
      <c r="B2830" s="1">
        <v>46074</v>
      </c>
      <c r="C2830" t="s">
        <v>10</v>
      </c>
      <c r="D2830">
        <v>2</v>
      </c>
      <c r="E2830" t="b">
        <v>1</v>
      </c>
      <c r="F2830" s="2">
        <v>26.827750389415414</v>
      </c>
      <c r="G2830" t="b">
        <v>0</v>
      </c>
      <c r="H2830" t="s">
        <v>30</v>
      </c>
      <c r="I2830" t="s">
        <v>33</v>
      </c>
    </row>
    <row r="2831" spans="1:9" x14ac:dyDescent="0.3">
      <c r="A2831" t="str">
        <f t="shared" si="44"/>
        <v>CASE-2830</v>
      </c>
      <c r="B2831" s="1">
        <v>45738</v>
      </c>
      <c r="C2831" t="s">
        <v>11</v>
      </c>
      <c r="D2831">
        <v>3</v>
      </c>
      <c r="E2831" t="b">
        <v>1</v>
      </c>
      <c r="F2831" s="2">
        <v>3.1989842409119618</v>
      </c>
      <c r="G2831" t="b">
        <v>0</v>
      </c>
      <c r="H2831" t="s">
        <v>18</v>
      </c>
      <c r="I2831" t="s">
        <v>34</v>
      </c>
    </row>
    <row r="2832" spans="1:9" x14ac:dyDescent="0.3">
      <c r="A2832" t="str">
        <f t="shared" si="44"/>
        <v>CASE-2831</v>
      </c>
      <c r="B2832" s="1">
        <v>45963</v>
      </c>
      <c r="C2832" t="s">
        <v>11</v>
      </c>
      <c r="D2832">
        <v>1</v>
      </c>
      <c r="E2832" t="b">
        <v>1</v>
      </c>
      <c r="F2832" s="2">
        <v>2.4811921027451214</v>
      </c>
      <c r="G2832" t="b">
        <v>0</v>
      </c>
      <c r="H2832" t="s">
        <v>26</v>
      </c>
      <c r="I2832" t="s">
        <v>34</v>
      </c>
    </row>
    <row r="2833" spans="1:9" x14ac:dyDescent="0.3">
      <c r="A2833" t="str">
        <f t="shared" si="44"/>
        <v>CASE-2832</v>
      </c>
      <c r="B2833" s="1">
        <v>45805</v>
      </c>
      <c r="C2833" t="s">
        <v>11</v>
      </c>
      <c r="D2833">
        <v>2</v>
      </c>
      <c r="E2833" t="b">
        <v>1</v>
      </c>
      <c r="F2833" s="2">
        <v>8.6170057597919083</v>
      </c>
      <c r="G2833" t="b">
        <v>0</v>
      </c>
      <c r="H2833" t="s">
        <v>27</v>
      </c>
      <c r="I2833" t="s">
        <v>34</v>
      </c>
    </row>
    <row r="2834" spans="1:9" x14ac:dyDescent="0.3">
      <c r="A2834" t="str">
        <f t="shared" si="44"/>
        <v>CASE-2833</v>
      </c>
      <c r="B2834" s="1">
        <v>45817</v>
      </c>
      <c r="C2834" t="s">
        <v>11</v>
      </c>
      <c r="D2834">
        <v>5</v>
      </c>
      <c r="E2834" t="b">
        <v>1</v>
      </c>
      <c r="F2834" s="2">
        <v>6.3396426312102623</v>
      </c>
      <c r="G2834" t="b">
        <v>0</v>
      </c>
      <c r="H2834" t="s">
        <v>22</v>
      </c>
      <c r="I2834" t="s">
        <v>34</v>
      </c>
    </row>
    <row r="2835" spans="1:9" x14ac:dyDescent="0.3">
      <c r="A2835" t="str">
        <f t="shared" si="44"/>
        <v>CASE-2834</v>
      </c>
      <c r="B2835" s="1">
        <v>45658</v>
      </c>
      <c r="C2835" t="s">
        <v>11</v>
      </c>
      <c r="D2835">
        <v>1</v>
      </c>
      <c r="E2835" t="b">
        <v>1</v>
      </c>
      <c r="F2835" s="2">
        <v>6.2323396536881353</v>
      </c>
      <c r="G2835" t="b">
        <v>0</v>
      </c>
      <c r="H2835" t="s">
        <v>21</v>
      </c>
      <c r="I2835" t="s">
        <v>34</v>
      </c>
    </row>
    <row r="2836" spans="1:9" x14ac:dyDescent="0.3">
      <c r="A2836" t="str">
        <f t="shared" si="44"/>
        <v>CASE-2835</v>
      </c>
      <c r="B2836" s="1">
        <v>45834</v>
      </c>
      <c r="C2836" t="s">
        <v>9</v>
      </c>
      <c r="D2836">
        <v>1</v>
      </c>
      <c r="E2836" t="b">
        <v>1</v>
      </c>
      <c r="F2836" s="2">
        <v>5.4314987503744296</v>
      </c>
      <c r="G2836" t="b">
        <v>0</v>
      </c>
      <c r="H2836" t="s">
        <v>14</v>
      </c>
      <c r="I2836" t="s">
        <v>34</v>
      </c>
    </row>
    <row r="2837" spans="1:9" x14ac:dyDescent="0.3">
      <c r="A2837" t="str">
        <f t="shared" si="44"/>
        <v>CASE-2836</v>
      </c>
      <c r="B2837" s="1">
        <v>45514</v>
      </c>
      <c r="C2837" t="s">
        <v>9</v>
      </c>
      <c r="D2837">
        <v>4</v>
      </c>
      <c r="E2837" t="b">
        <v>0</v>
      </c>
      <c r="F2837" s="2">
        <v>23.717299575457176</v>
      </c>
      <c r="G2837" t="b">
        <v>0</v>
      </c>
      <c r="H2837" t="s">
        <v>30</v>
      </c>
      <c r="I2837" t="s">
        <v>33</v>
      </c>
    </row>
    <row r="2838" spans="1:9" x14ac:dyDescent="0.3">
      <c r="A2838" t="str">
        <f t="shared" si="44"/>
        <v>CASE-2837</v>
      </c>
      <c r="B2838" s="1">
        <v>45972</v>
      </c>
      <c r="C2838" t="s">
        <v>11</v>
      </c>
      <c r="D2838">
        <v>4</v>
      </c>
      <c r="E2838" t="b">
        <v>0</v>
      </c>
      <c r="F2838" s="2">
        <v>4.3886074052695179</v>
      </c>
      <c r="G2838" t="b">
        <v>1</v>
      </c>
      <c r="H2838" t="s">
        <v>31</v>
      </c>
      <c r="I2838" t="s">
        <v>35</v>
      </c>
    </row>
    <row r="2839" spans="1:9" x14ac:dyDescent="0.3">
      <c r="A2839" t="str">
        <f t="shared" si="44"/>
        <v>CASE-2838</v>
      </c>
      <c r="B2839" s="1">
        <v>45959</v>
      </c>
      <c r="C2839" t="s">
        <v>11</v>
      </c>
      <c r="D2839">
        <v>3</v>
      </c>
      <c r="E2839" t="b">
        <v>1</v>
      </c>
      <c r="F2839" s="2">
        <v>22.057768961243536</v>
      </c>
      <c r="G2839" t="b">
        <v>0</v>
      </c>
      <c r="H2839" t="s">
        <v>31</v>
      </c>
      <c r="I2839" t="s">
        <v>33</v>
      </c>
    </row>
    <row r="2840" spans="1:9" x14ac:dyDescent="0.3">
      <c r="A2840" t="str">
        <f t="shared" si="44"/>
        <v>CASE-2839</v>
      </c>
      <c r="B2840" s="1">
        <v>45889</v>
      </c>
      <c r="C2840" t="s">
        <v>11</v>
      </c>
      <c r="D2840">
        <v>1</v>
      </c>
      <c r="E2840" t="b">
        <v>1</v>
      </c>
      <c r="F2840" s="2">
        <v>3.6411996042696817</v>
      </c>
      <c r="G2840" t="b">
        <v>0</v>
      </c>
      <c r="H2840" t="s">
        <v>17</v>
      </c>
      <c r="I2840" t="s">
        <v>34</v>
      </c>
    </row>
    <row r="2841" spans="1:9" x14ac:dyDescent="0.3">
      <c r="A2841" t="str">
        <f t="shared" si="44"/>
        <v>CASE-2840</v>
      </c>
      <c r="B2841" s="1">
        <v>45918</v>
      </c>
      <c r="C2841" t="s">
        <v>11</v>
      </c>
      <c r="D2841">
        <v>4</v>
      </c>
      <c r="E2841" t="b">
        <v>1</v>
      </c>
      <c r="F2841" s="2">
        <v>32.246281191848432</v>
      </c>
      <c r="G2841" t="b">
        <v>0</v>
      </c>
      <c r="H2841" t="s">
        <v>32</v>
      </c>
      <c r="I2841" t="s">
        <v>33</v>
      </c>
    </row>
    <row r="2842" spans="1:9" x14ac:dyDescent="0.3">
      <c r="A2842" t="str">
        <f t="shared" si="44"/>
        <v>CASE-2841</v>
      </c>
      <c r="B2842" s="1">
        <v>45832</v>
      </c>
      <c r="C2842" t="s">
        <v>10</v>
      </c>
      <c r="D2842">
        <v>2</v>
      </c>
      <c r="E2842" t="b">
        <v>1</v>
      </c>
      <c r="F2842" s="2">
        <v>7.2608893854375873</v>
      </c>
      <c r="G2842" t="b">
        <v>0</v>
      </c>
      <c r="H2842" t="s">
        <v>27</v>
      </c>
      <c r="I2842" t="s">
        <v>34</v>
      </c>
    </row>
    <row r="2843" spans="1:9" x14ac:dyDescent="0.3">
      <c r="A2843" t="str">
        <f t="shared" si="44"/>
        <v>CASE-2842</v>
      </c>
      <c r="B2843" s="1">
        <v>45569</v>
      </c>
      <c r="C2843" t="s">
        <v>12</v>
      </c>
      <c r="D2843">
        <v>5</v>
      </c>
      <c r="E2843" t="b">
        <v>0</v>
      </c>
      <c r="F2843" s="2">
        <v>27.553535316202201</v>
      </c>
      <c r="G2843" t="b">
        <v>0</v>
      </c>
      <c r="H2843" t="s">
        <v>28</v>
      </c>
      <c r="I2843" t="s">
        <v>33</v>
      </c>
    </row>
    <row r="2844" spans="1:9" x14ac:dyDescent="0.3">
      <c r="A2844" t="str">
        <f t="shared" si="44"/>
        <v>CASE-2843</v>
      </c>
      <c r="B2844" s="1">
        <v>45978</v>
      </c>
      <c r="C2844" t="s">
        <v>11</v>
      </c>
      <c r="D2844">
        <v>1</v>
      </c>
      <c r="E2844" t="b">
        <v>0</v>
      </c>
      <c r="F2844" s="2">
        <v>4.0410090857086089</v>
      </c>
      <c r="G2844" t="b">
        <v>0</v>
      </c>
      <c r="H2844" t="s">
        <v>27</v>
      </c>
      <c r="I2844" t="s">
        <v>34</v>
      </c>
    </row>
    <row r="2845" spans="1:9" x14ac:dyDescent="0.3">
      <c r="A2845" t="str">
        <f t="shared" si="44"/>
        <v>CASE-2844</v>
      </c>
      <c r="B2845" s="1">
        <v>46138</v>
      </c>
      <c r="C2845" t="s">
        <v>9</v>
      </c>
      <c r="D2845">
        <v>5</v>
      </c>
      <c r="E2845" t="b">
        <v>0</v>
      </c>
      <c r="F2845" s="2">
        <v>7.0022434943913572</v>
      </c>
      <c r="G2845" t="b">
        <v>0</v>
      </c>
      <c r="H2845" t="s">
        <v>25</v>
      </c>
      <c r="I2845" t="s">
        <v>34</v>
      </c>
    </row>
    <row r="2846" spans="1:9" x14ac:dyDescent="0.3">
      <c r="A2846" t="str">
        <f t="shared" si="44"/>
        <v>CASE-2845</v>
      </c>
      <c r="B2846" s="1">
        <v>45862</v>
      </c>
      <c r="C2846" t="s">
        <v>9</v>
      </c>
      <c r="D2846">
        <v>5</v>
      </c>
      <c r="E2846" t="b">
        <v>1</v>
      </c>
      <c r="F2846" s="2">
        <v>4.6311453411983567</v>
      </c>
      <c r="G2846" t="b">
        <v>0</v>
      </c>
      <c r="H2846" t="s">
        <v>17</v>
      </c>
      <c r="I2846" t="s">
        <v>34</v>
      </c>
    </row>
    <row r="2847" spans="1:9" x14ac:dyDescent="0.3">
      <c r="A2847" t="str">
        <f t="shared" si="44"/>
        <v>CASE-2846</v>
      </c>
      <c r="B2847" s="1">
        <v>45795</v>
      </c>
      <c r="C2847" t="s">
        <v>9</v>
      </c>
      <c r="D2847">
        <v>5</v>
      </c>
      <c r="E2847" t="b">
        <v>1</v>
      </c>
      <c r="F2847" s="2">
        <v>7.3729462758930167</v>
      </c>
      <c r="G2847" t="b">
        <v>0</v>
      </c>
      <c r="H2847" t="s">
        <v>17</v>
      </c>
      <c r="I2847" t="s">
        <v>34</v>
      </c>
    </row>
    <row r="2848" spans="1:9" x14ac:dyDescent="0.3">
      <c r="A2848" t="str">
        <f t="shared" si="44"/>
        <v>CASE-2847</v>
      </c>
      <c r="B2848" s="1">
        <v>45524</v>
      </c>
      <c r="C2848" t="s">
        <v>12</v>
      </c>
      <c r="D2848">
        <v>5</v>
      </c>
      <c r="E2848" t="b">
        <v>0</v>
      </c>
      <c r="F2848" s="2">
        <v>17.994668554739878</v>
      </c>
      <c r="G2848" t="b">
        <v>0</v>
      </c>
      <c r="H2848" t="s">
        <v>28</v>
      </c>
      <c r="I2848" t="s">
        <v>33</v>
      </c>
    </row>
    <row r="2849" spans="1:9" x14ac:dyDescent="0.3">
      <c r="A2849" t="str">
        <f t="shared" si="44"/>
        <v>CASE-2848</v>
      </c>
      <c r="B2849" s="1">
        <v>45715</v>
      </c>
      <c r="C2849" t="s">
        <v>11</v>
      </c>
      <c r="D2849">
        <v>1</v>
      </c>
      <c r="E2849" t="b">
        <v>1</v>
      </c>
      <c r="F2849" s="2">
        <v>6.3023784394364597</v>
      </c>
      <c r="G2849" t="b">
        <v>0</v>
      </c>
      <c r="H2849" t="s">
        <v>13</v>
      </c>
      <c r="I2849" t="s">
        <v>34</v>
      </c>
    </row>
    <row r="2850" spans="1:9" x14ac:dyDescent="0.3">
      <c r="A2850" t="str">
        <f t="shared" si="44"/>
        <v>CASE-2849</v>
      </c>
      <c r="B2850" s="1">
        <v>46131</v>
      </c>
      <c r="C2850" t="s">
        <v>11</v>
      </c>
      <c r="D2850">
        <v>2</v>
      </c>
      <c r="E2850" t="b">
        <v>1</v>
      </c>
      <c r="F2850" s="2">
        <v>7.3483372161297602</v>
      </c>
      <c r="G2850" t="b">
        <v>0</v>
      </c>
      <c r="H2850" t="s">
        <v>30</v>
      </c>
      <c r="I2850" t="s">
        <v>34</v>
      </c>
    </row>
    <row r="2851" spans="1:9" x14ac:dyDescent="0.3">
      <c r="A2851" t="str">
        <f t="shared" si="44"/>
        <v>CASE-2850</v>
      </c>
      <c r="B2851" s="1">
        <v>45632</v>
      </c>
      <c r="C2851" t="s">
        <v>12</v>
      </c>
      <c r="D2851">
        <v>3</v>
      </c>
      <c r="E2851" t="b">
        <v>0</v>
      </c>
      <c r="F2851" s="2">
        <v>29.749147359393049</v>
      </c>
      <c r="G2851" t="b">
        <v>0</v>
      </c>
      <c r="H2851" t="s">
        <v>21</v>
      </c>
      <c r="I2851" t="s">
        <v>33</v>
      </c>
    </row>
    <row r="2852" spans="1:9" x14ac:dyDescent="0.3">
      <c r="A2852" t="str">
        <f t="shared" si="44"/>
        <v>CASE-2851</v>
      </c>
      <c r="B2852" s="1">
        <v>46089</v>
      </c>
      <c r="C2852" t="s">
        <v>9</v>
      </c>
      <c r="D2852">
        <v>4</v>
      </c>
      <c r="E2852" t="b">
        <v>1</v>
      </c>
      <c r="F2852" s="2">
        <v>6.2397201958289346</v>
      </c>
      <c r="G2852" t="b">
        <v>0</v>
      </c>
      <c r="H2852" t="s">
        <v>22</v>
      </c>
      <c r="I2852" t="s">
        <v>34</v>
      </c>
    </row>
    <row r="2853" spans="1:9" x14ac:dyDescent="0.3">
      <c r="A2853" t="str">
        <f t="shared" si="44"/>
        <v>CASE-2852</v>
      </c>
      <c r="B2853" s="1">
        <v>45626</v>
      </c>
      <c r="C2853" t="s">
        <v>12</v>
      </c>
      <c r="D2853">
        <v>3</v>
      </c>
      <c r="E2853" t="b">
        <v>0</v>
      </c>
      <c r="F2853" s="2">
        <v>25.499569899300699</v>
      </c>
      <c r="G2853" t="b">
        <v>0</v>
      </c>
      <c r="H2853" t="s">
        <v>28</v>
      </c>
      <c r="I2853" t="s">
        <v>33</v>
      </c>
    </row>
    <row r="2854" spans="1:9" x14ac:dyDescent="0.3">
      <c r="A2854" t="str">
        <f t="shared" si="44"/>
        <v>CASE-2853</v>
      </c>
      <c r="B2854" s="1">
        <v>45811</v>
      </c>
      <c r="C2854" t="s">
        <v>9</v>
      </c>
      <c r="D2854">
        <v>3</v>
      </c>
      <c r="E2854" t="b">
        <v>1</v>
      </c>
      <c r="F2854" s="2">
        <v>9.4503122082258333</v>
      </c>
      <c r="G2854" t="b">
        <v>0</v>
      </c>
      <c r="H2854" t="s">
        <v>14</v>
      </c>
      <c r="I2854" t="s">
        <v>34</v>
      </c>
    </row>
    <row r="2855" spans="1:9" x14ac:dyDescent="0.3">
      <c r="A2855" t="str">
        <f t="shared" si="44"/>
        <v>CASE-2854</v>
      </c>
      <c r="B2855" s="1">
        <v>45737</v>
      </c>
      <c r="C2855" t="s">
        <v>10</v>
      </c>
      <c r="D2855">
        <v>1</v>
      </c>
      <c r="E2855" t="b">
        <v>1</v>
      </c>
      <c r="F2855" s="2">
        <v>6.9396706499390888</v>
      </c>
      <c r="G2855" t="b">
        <v>0</v>
      </c>
      <c r="H2855" t="s">
        <v>17</v>
      </c>
      <c r="I2855" t="s">
        <v>34</v>
      </c>
    </row>
    <row r="2856" spans="1:9" x14ac:dyDescent="0.3">
      <c r="A2856" t="str">
        <f t="shared" si="44"/>
        <v>CASE-2855</v>
      </c>
      <c r="B2856" s="1">
        <v>45877</v>
      </c>
      <c r="C2856" t="s">
        <v>9</v>
      </c>
      <c r="D2856">
        <v>5</v>
      </c>
      <c r="E2856" t="b">
        <v>1</v>
      </c>
      <c r="F2856" s="2">
        <v>5.9007366858812116</v>
      </c>
      <c r="G2856" t="b">
        <v>0</v>
      </c>
      <c r="H2856" t="s">
        <v>22</v>
      </c>
      <c r="I2856" t="s">
        <v>34</v>
      </c>
    </row>
    <row r="2857" spans="1:9" x14ac:dyDescent="0.3">
      <c r="A2857" t="str">
        <f t="shared" si="44"/>
        <v>CASE-2856</v>
      </c>
      <c r="B2857" s="1">
        <v>45818</v>
      </c>
      <c r="C2857" t="s">
        <v>10</v>
      </c>
      <c r="D2857">
        <v>3</v>
      </c>
      <c r="E2857" t="b">
        <v>0</v>
      </c>
      <c r="F2857" s="2">
        <v>2.9804959109515319</v>
      </c>
      <c r="G2857" t="b">
        <v>0</v>
      </c>
      <c r="H2857" t="s">
        <v>22</v>
      </c>
      <c r="I2857" t="s">
        <v>34</v>
      </c>
    </row>
    <row r="2858" spans="1:9" x14ac:dyDescent="0.3">
      <c r="A2858" t="str">
        <f t="shared" si="44"/>
        <v>CASE-2857</v>
      </c>
      <c r="B2858" s="1">
        <v>46072</v>
      </c>
      <c r="C2858" t="s">
        <v>11</v>
      </c>
      <c r="D2858">
        <v>4</v>
      </c>
      <c r="E2858" t="b">
        <v>1</v>
      </c>
      <c r="F2858" s="2">
        <v>3.6245882253071606</v>
      </c>
      <c r="G2858" t="b">
        <v>0</v>
      </c>
      <c r="H2858" t="s">
        <v>27</v>
      </c>
      <c r="I2858" t="s">
        <v>34</v>
      </c>
    </row>
    <row r="2859" spans="1:9" x14ac:dyDescent="0.3">
      <c r="A2859" t="str">
        <f t="shared" si="44"/>
        <v>CASE-2858</v>
      </c>
      <c r="B2859" s="1">
        <v>45828</v>
      </c>
      <c r="C2859" t="s">
        <v>10</v>
      </c>
      <c r="D2859">
        <v>2</v>
      </c>
      <c r="E2859" t="b">
        <v>1</v>
      </c>
      <c r="F2859" s="2">
        <v>5.4597195586284331</v>
      </c>
      <c r="G2859" t="b">
        <v>0</v>
      </c>
      <c r="H2859" t="s">
        <v>31</v>
      </c>
      <c r="I2859" t="s">
        <v>34</v>
      </c>
    </row>
    <row r="2860" spans="1:9" x14ac:dyDescent="0.3">
      <c r="A2860" t="str">
        <f t="shared" si="44"/>
        <v>CASE-2859</v>
      </c>
      <c r="B2860" s="1">
        <v>45498</v>
      </c>
      <c r="C2860" t="s">
        <v>12</v>
      </c>
      <c r="D2860">
        <v>1</v>
      </c>
      <c r="E2860" t="b">
        <v>0</v>
      </c>
      <c r="F2860" s="2">
        <v>12.314571156949427</v>
      </c>
      <c r="G2860" t="b">
        <v>0</v>
      </c>
      <c r="H2860" t="s">
        <v>20</v>
      </c>
      <c r="I2860" t="s">
        <v>33</v>
      </c>
    </row>
    <row r="2861" spans="1:9" x14ac:dyDescent="0.3">
      <c r="A2861" t="str">
        <f t="shared" si="44"/>
        <v>CASE-2860</v>
      </c>
      <c r="B2861" s="1">
        <v>46164</v>
      </c>
      <c r="C2861" t="s">
        <v>12</v>
      </c>
      <c r="D2861">
        <v>4</v>
      </c>
      <c r="E2861" t="b">
        <v>1</v>
      </c>
      <c r="F2861" s="2">
        <v>9.1215058962374069</v>
      </c>
      <c r="G2861" t="b">
        <v>0</v>
      </c>
      <c r="H2861" t="s">
        <v>29</v>
      </c>
      <c r="I2861" t="s">
        <v>34</v>
      </c>
    </row>
    <row r="2862" spans="1:9" x14ac:dyDescent="0.3">
      <c r="A2862" t="str">
        <f t="shared" si="44"/>
        <v>CASE-2861</v>
      </c>
      <c r="B2862" s="1">
        <v>45663</v>
      </c>
      <c r="C2862" t="s">
        <v>12</v>
      </c>
      <c r="D2862">
        <v>1</v>
      </c>
      <c r="E2862" t="b">
        <v>1</v>
      </c>
      <c r="F2862" s="2">
        <v>4.9709699522933555</v>
      </c>
      <c r="G2862" t="b">
        <v>0</v>
      </c>
      <c r="H2862" t="s">
        <v>23</v>
      </c>
      <c r="I2862" t="s">
        <v>35</v>
      </c>
    </row>
    <row r="2863" spans="1:9" x14ac:dyDescent="0.3">
      <c r="A2863" t="str">
        <f t="shared" si="44"/>
        <v>CASE-2862</v>
      </c>
      <c r="B2863" s="1">
        <v>45969</v>
      </c>
      <c r="C2863" t="s">
        <v>11</v>
      </c>
      <c r="D2863">
        <v>1</v>
      </c>
      <c r="E2863" t="b">
        <v>1</v>
      </c>
      <c r="F2863" s="2">
        <v>6.9873126642407941</v>
      </c>
      <c r="G2863" t="b">
        <v>0</v>
      </c>
      <c r="H2863" t="s">
        <v>24</v>
      </c>
      <c r="I2863" t="s">
        <v>34</v>
      </c>
    </row>
    <row r="2864" spans="1:9" x14ac:dyDescent="0.3">
      <c r="A2864" t="str">
        <f t="shared" si="44"/>
        <v>CASE-2863</v>
      </c>
      <c r="B2864" s="1">
        <v>45811</v>
      </c>
      <c r="C2864" t="s">
        <v>9</v>
      </c>
      <c r="D2864">
        <v>1</v>
      </c>
      <c r="E2864" t="b">
        <v>1</v>
      </c>
      <c r="F2864" s="2">
        <v>8.763811084828081</v>
      </c>
      <c r="G2864" t="b">
        <v>0</v>
      </c>
      <c r="H2864" t="s">
        <v>28</v>
      </c>
      <c r="I2864" t="s">
        <v>34</v>
      </c>
    </row>
    <row r="2865" spans="1:9" x14ac:dyDescent="0.3">
      <c r="A2865" t="str">
        <f t="shared" si="44"/>
        <v>CASE-2864</v>
      </c>
      <c r="B2865" s="1">
        <v>46197</v>
      </c>
      <c r="C2865" t="s">
        <v>11</v>
      </c>
      <c r="D2865">
        <v>4</v>
      </c>
      <c r="E2865" t="b">
        <v>1</v>
      </c>
      <c r="F2865" s="2">
        <v>22.349374106457276</v>
      </c>
      <c r="G2865" t="b">
        <v>0</v>
      </c>
      <c r="H2865" t="s">
        <v>28</v>
      </c>
      <c r="I2865" t="s">
        <v>33</v>
      </c>
    </row>
    <row r="2866" spans="1:9" x14ac:dyDescent="0.3">
      <c r="A2866" t="str">
        <f t="shared" si="44"/>
        <v>CASE-2865</v>
      </c>
      <c r="B2866" s="1">
        <v>45777</v>
      </c>
      <c r="C2866" t="s">
        <v>9</v>
      </c>
      <c r="D2866">
        <v>5</v>
      </c>
      <c r="E2866" t="b">
        <v>1</v>
      </c>
      <c r="F2866" s="2">
        <v>4.7523116718124472</v>
      </c>
      <c r="G2866" t="b">
        <v>0</v>
      </c>
      <c r="H2866" t="s">
        <v>29</v>
      </c>
      <c r="I2866" t="s">
        <v>34</v>
      </c>
    </row>
    <row r="2867" spans="1:9" x14ac:dyDescent="0.3">
      <c r="A2867" t="str">
        <f t="shared" si="44"/>
        <v>CASE-2866</v>
      </c>
      <c r="B2867" s="1">
        <v>45555</v>
      </c>
      <c r="C2867" t="s">
        <v>12</v>
      </c>
      <c r="D2867">
        <v>3</v>
      </c>
      <c r="E2867" t="b">
        <v>0</v>
      </c>
      <c r="F2867" s="2">
        <v>31.266952171107846</v>
      </c>
      <c r="G2867" t="b">
        <v>0</v>
      </c>
      <c r="H2867" t="s">
        <v>32</v>
      </c>
      <c r="I2867" t="s">
        <v>33</v>
      </c>
    </row>
    <row r="2868" spans="1:9" x14ac:dyDescent="0.3">
      <c r="A2868" t="str">
        <f t="shared" si="44"/>
        <v>CASE-2867</v>
      </c>
      <c r="B2868" s="1">
        <v>45872</v>
      </c>
      <c r="C2868" t="s">
        <v>12</v>
      </c>
      <c r="D2868">
        <v>2</v>
      </c>
      <c r="E2868" t="b">
        <v>1</v>
      </c>
      <c r="F2868" s="2">
        <v>3.1513900316440648</v>
      </c>
      <c r="G2868" t="b">
        <v>0</v>
      </c>
      <c r="H2868" t="s">
        <v>18</v>
      </c>
      <c r="I2868" t="s">
        <v>34</v>
      </c>
    </row>
    <row r="2869" spans="1:9" x14ac:dyDescent="0.3">
      <c r="A2869" t="str">
        <f t="shared" si="44"/>
        <v>CASE-2868</v>
      </c>
      <c r="B2869" s="1">
        <v>45782</v>
      </c>
      <c r="C2869" t="s">
        <v>12</v>
      </c>
      <c r="D2869">
        <v>5</v>
      </c>
      <c r="E2869" t="b">
        <v>1</v>
      </c>
      <c r="F2869" s="2">
        <v>2.9671843557317343</v>
      </c>
      <c r="G2869" t="b">
        <v>0</v>
      </c>
      <c r="H2869" t="s">
        <v>28</v>
      </c>
      <c r="I2869" t="s">
        <v>35</v>
      </c>
    </row>
    <row r="2870" spans="1:9" x14ac:dyDescent="0.3">
      <c r="A2870" t="str">
        <f t="shared" si="44"/>
        <v>CASE-2869</v>
      </c>
      <c r="B2870" s="1">
        <v>46163</v>
      </c>
      <c r="C2870" t="s">
        <v>9</v>
      </c>
      <c r="D2870">
        <v>1</v>
      </c>
      <c r="E2870" t="b">
        <v>1</v>
      </c>
      <c r="F2870" s="2">
        <v>7.7664306468017088</v>
      </c>
      <c r="G2870" t="b">
        <v>0</v>
      </c>
      <c r="H2870" t="s">
        <v>32</v>
      </c>
      <c r="I2870" t="s">
        <v>35</v>
      </c>
    </row>
    <row r="2871" spans="1:9" x14ac:dyDescent="0.3">
      <c r="A2871" t="str">
        <f t="shared" si="44"/>
        <v>CASE-2870</v>
      </c>
      <c r="B2871" s="1">
        <v>45661</v>
      </c>
      <c r="C2871" t="s">
        <v>12</v>
      </c>
      <c r="D2871">
        <v>4</v>
      </c>
      <c r="E2871" t="b">
        <v>1</v>
      </c>
      <c r="F2871" s="2">
        <v>18.367850969781713</v>
      </c>
      <c r="G2871" t="b">
        <v>0</v>
      </c>
      <c r="H2871" t="s">
        <v>15</v>
      </c>
      <c r="I2871" t="s">
        <v>33</v>
      </c>
    </row>
    <row r="2872" spans="1:9" x14ac:dyDescent="0.3">
      <c r="A2872" t="str">
        <f t="shared" si="44"/>
        <v>CASE-2871</v>
      </c>
      <c r="B2872" s="1">
        <v>46197</v>
      </c>
      <c r="C2872" t="s">
        <v>10</v>
      </c>
      <c r="D2872">
        <v>2</v>
      </c>
      <c r="E2872" t="b">
        <v>1</v>
      </c>
      <c r="F2872" s="2">
        <v>20.470795090076024</v>
      </c>
      <c r="G2872" t="b">
        <v>0</v>
      </c>
      <c r="H2872" t="s">
        <v>28</v>
      </c>
      <c r="I2872" t="s">
        <v>33</v>
      </c>
    </row>
    <row r="2873" spans="1:9" x14ac:dyDescent="0.3">
      <c r="A2873" t="str">
        <f t="shared" si="44"/>
        <v>CASE-2872</v>
      </c>
      <c r="B2873" s="1">
        <v>45772</v>
      </c>
      <c r="C2873" t="s">
        <v>11</v>
      </c>
      <c r="D2873">
        <v>1</v>
      </c>
      <c r="E2873" t="b">
        <v>1</v>
      </c>
      <c r="F2873" s="2">
        <v>7.9567517888083241</v>
      </c>
      <c r="G2873" t="b">
        <v>0</v>
      </c>
      <c r="H2873" t="s">
        <v>30</v>
      </c>
      <c r="I2873" t="s">
        <v>34</v>
      </c>
    </row>
    <row r="2874" spans="1:9" x14ac:dyDescent="0.3">
      <c r="A2874" t="str">
        <f t="shared" si="44"/>
        <v>CASE-2873</v>
      </c>
      <c r="B2874" s="1">
        <v>45701</v>
      </c>
      <c r="C2874" t="s">
        <v>10</v>
      </c>
      <c r="D2874">
        <v>2</v>
      </c>
      <c r="E2874" t="b">
        <v>0</v>
      </c>
      <c r="F2874" s="2">
        <v>7.328164106062026</v>
      </c>
      <c r="G2874" t="b">
        <v>0</v>
      </c>
      <c r="H2874" t="s">
        <v>20</v>
      </c>
      <c r="I2874" t="s">
        <v>35</v>
      </c>
    </row>
    <row r="2875" spans="1:9" x14ac:dyDescent="0.3">
      <c r="A2875" t="str">
        <f t="shared" si="44"/>
        <v>CASE-2874</v>
      </c>
      <c r="B2875" s="1">
        <v>45500</v>
      </c>
      <c r="C2875" t="s">
        <v>11</v>
      </c>
      <c r="D2875">
        <v>4</v>
      </c>
      <c r="E2875" t="b">
        <v>0</v>
      </c>
      <c r="F2875" s="2">
        <v>13.819697435362611</v>
      </c>
      <c r="G2875" t="b">
        <v>0</v>
      </c>
      <c r="H2875" t="s">
        <v>27</v>
      </c>
      <c r="I2875" t="s">
        <v>33</v>
      </c>
    </row>
    <row r="2876" spans="1:9" x14ac:dyDescent="0.3">
      <c r="A2876" t="str">
        <f t="shared" si="44"/>
        <v>CASE-2875</v>
      </c>
      <c r="B2876" s="1">
        <v>45680</v>
      </c>
      <c r="C2876" t="s">
        <v>9</v>
      </c>
      <c r="D2876">
        <v>3</v>
      </c>
      <c r="E2876" t="b">
        <v>1</v>
      </c>
      <c r="F2876" s="2">
        <v>16.061260391489494</v>
      </c>
      <c r="G2876" t="b">
        <v>0</v>
      </c>
      <c r="H2876" t="s">
        <v>24</v>
      </c>
      <c r="I2876" t="s">
        <v>33</v>
      </c>
    </row>
    <row r="2877" spans="1:9" x14ac:dyDescent="0.3">
      <c r="A2877" t="str">
        <f t="shared" si="44"/>
        <v>CASE-2876</v>
      </c>
      <c r="B2877" s="1">
        <v>46172</v>
      </c>
      <c r="C2877" t="s">
        <v>11</v>
      </c>
      <c r="D2877">
        <v>4</v>
      </c>
      <c r="E2877" t="b">
        <v>0</v>
      </c>
      <c r="F2877" s="2">
        <v>3.3725003515628518</v>
      </c>
      <c r="G2877" t="b">
        <v>0</v>
      </c>
      <c r="H2877" t="s">
        <v>29</v>
      </c>
      <c r="I2877" t="s">
        <v>34</v>
      </c>
    </row>
    <row r="2878" spans="1:9" x14ac:dyDescent="0.3">
      <c r="A2878" t="str">
        <f t="shared" si="44"/>
        <v>CASE-2877</v>
      </c>
      <c r="B2878" s="1">
        <v>46075</v>
      </c>
      <c r="C2878" t="s">
        <v>9</v>
      </c>
      <c r="D2878">
        <v>1</v>
      </c>
      <c r="E2878" t="b">
        <v>1</v>
      </c>
      <c r="F2878" s="2">
        <v>26.871072951066431</v>
      </c>
      <c r="G2878" t="b">
        <v>0</v>
      </c>
      <c r="H2878" t="s">
        <v>24</v>
      </c>
      <c r="I2878" t="s">
        <v>33</v>
      </c>
    </row>
    <row r="2879" spans="1:9" x14ac:dyDescent="0.3">
      <c r="A2879" t="str">
        <f t="shared" si="44"/>
        <v>CASE-2878</v>
      </c>
      <c r="B2879" s="1">
        <v>46127</v>
      </c>
      <c r="C2879" t="s">
        <v>12</v>
      </c>
      <c r="D2879">
        <v>4</v>
      </c>
      <c r="E2879" t="b">
        <v>1</v>
      </c>
      <c r="F2879" s="2">
        <v>4.7710956452177573</v>
      </c>
      <c r="G2879" t="b">
        <v>0</v>
      </c>
      <c r="H2879" t="s">
        <v>28</v>
      </c>
      <c r="I2879" t="s">
        <v>34</v>
      </c>
    </row>
    <row r="2880" spans="1:9" x14ac:dyDescent="0.3">
      <c r="A2880" t="str">
        <f t="shared" si="44"/>
        <v>CASE-2879</v>
      </c>
      <c r="B2880" s="1">
        <v>45865</v>
      </c>
      <c r="C2880" t="s">
        <v>9</v>
      </c>
      <c r="D2880">
        <v>3</v>
      </c>
      <c r="E2880" t="b">
        <v>1</v>
      </c>
      <c r="F2880" s="2">
        <v>8.2675436238873967</v>
      </c>
      <c r="G2880" t="b">
        <v>0</v>
      </c>
      <c r="H2880" t="s">
        <v>15</v>
      </c>
      <c r="I2880" t="s">
        <v>34</v>
      </c>
    </row>
    <row r="2881" spans="1:9" x14ac:dyDescent="0.3">
      <c r="A2881" t="str">
        <f t="shared" si="44"/>
        <v>CASE-2880</v>
      </c>
      <c r="B2881" s="1">
        <v>45846</v>
      </c>
      <c r="C2881" t="s">
        <v>11</v>
      </c>
      <c r="D2881">
        <v>1</v>
      </c>
      <c r="E2881" t="b">
        <v>1</v>
      </c>
      <c r="F2881" s="2">
        <v>2.3888077565806629</v>
      </c>
      <c r="G2881" t="b">
        <v>0</v>
      </c>
      <c r="H2881" t="s">
        <v>31</v>
      </c>
      <c r="I2881" t="s">
        <v>34</v>
      </c>
    </row>
    <row r="2882" spans="1:9" x14ac:dyDescent="0.3">
      <c r="A2882" t="str">
        <f t="shared" si="44"/>
        <v>CASE-2881</v>
      </c>
      <c r="B2882" s="1">
        <v>46012</v>
      </c>
      <c r="C2882" t="s">
        <v>9</v>
      </c>
      <c r="D2882">
        <v>4</v>
      </c>
      <c r="E2882" t="b">
        <v>1</v>
      </c>
      <c r="F2882" s="2">
        <v>9.4166774482304909</v>
      </c>
      <c r="G2882" t="b">
        <v>0</v>
      </c>
      <c r="H2882" t="s">
        <v>19</v>
      </c>
      <c r="I2882" t="s">
        <v>34</v>
      </c>
    </row>
    <row r="2883" spans="1:9" x14ac:dyDescent="0.3">
      <c r="A2883" t="str">
        <f t="shared" ref="A2883:A2946" si="45">"CASE-"&amp;TEXT(ROW()-1,"0000")</f>
        <v>CASE-2882</v>
      </c>
      <c r="B2883" s="1">
        <v>45871</v>
      </c>
      <c r="C2883" t="s">
        <v>11</v>
      </c>
      <c r="D2883">
        <v>2</v>
      </c>
      <c r="E2883" t="b">
        <v>1</v>
      </c>
      <c r="F2883" s="2">
        <v>16.824397454490139</v>
      </c>
      <c r="G2883" t="b">
        <v>0</v>
      </c>
      <c r="H2883" t="s">
        <v>21</v>
      </c>
      <c r="I2883" t="s">
        <v>33</v>
      </c>
    </row>
    <row r="2884" spans="1:9" x14ac:dyDescent="0.3">
      <c r="A2884" t="str">
        <f t="shared" si="45"/>
        <v>CASE-2883</v>
      </c>
      <c r="B2884" s="1">
        <v>46026</v>
      </c>
      <c r="C2884" t="s">
        <v>12</v>
      </c>
      <c r="D2884">
        <v>2</v>
      </c>
      <c r="E2884" t="b">
        <v>1</v>
      </c>
      <c r="F2884" s="2">
        <v>5.8713683176170326</v>
      </c>
      <c r="G2884" t="b">
        <v>1</v>
      </c>
      <c r="H2884" t="s">
        <v>18</v>
      </c>
      <c r="I2884" t="s">
        <v>34</v>
      </c>
    </row>
    <row r="2885" spans="1:9" x14ac:dyDescent="0.3">
      <c r="A2885" t="str">
        <f t="shared" si="45"/>
        <v>CASE-2884</v>
      </c>
      <c r="B2885" s="1">
        <v>45751</v>
      </c>
      <c r="C2885" t="s">
        <v>12</v>
      </c>
      <c r="D2885">
        <v>2</v>
      </c>
      <c r="E2885" t="b">
        <v>1</v>
      </c>
      <c r="F2885" s="2">
        <v>6.8966962877044953</v>
      </c>
      <c r="G2885" t="b">
        <v>0</v>
      </c>
      <c r="H2885" t="s">
        <v>19</v>
      </c>
      <c r="I2885" t="s">
        <v>34</v>
      </c>
    </row>
    <row r="2886" spans="1:9" x14ac:dyDescent="0.3">
      <c r="A2886" t="str">
        <f t="shared" si="45"/>
        <v>CASE-2885</v>
      </c>
      <c r="B2886" s="1">
        <v>45538</v>
      </c>
      <c r="C2886" t="s">
        <v>11</v>
      </c>
      <c r="D2886">
        <v>4</v>
      </c>
      <c r="E2886" t="b">
        <v>0</v>
      </c>
      <c r="F2886" s="2">
        <v>15.93504740585313</v>
      </c>
      <c r="G2886" t="b">
        <v>0</v>
      </c>
      <c r="H2886" t="s">
        <v>31</v>
      </c>
      <c r="I2886" t="s">
        <v>33</v>
      </c>
    </row>
    <row r="2887" spans="1:9" x14ac:dyDescent="0.3">
      <c r="A2887" t="str">
        <f t="shared" si="45"/>
        <v>CASE-2886</v>
      </c>
      <c r="B2887" s="1">
        <v>45773</v>
      </c>
      <c r="C2887" t="s">
        <v>11</v>
      </c>
      <c r="D2887">
        <v>1</v>
      </c>
      <c r="E2887" t="b">
        <v>1</v>
      </c>
      <c r="F2887" s="2">
        <v>7.9035328315968165</v>
      </c>
      <c r="G2887" t="b">
        <v>0</v>
      </c>
      <c r="H2887" t="s">
        <v>30</v>
      </c>
      <c r="I2887" t="s">
        <v>34</v>
      </c>
    </row>
    <row r="2888" spans="1:9" x14ac:dyDescent="0.3">
      <c r="A2888" t="str">
        <f t="shared" si="45"/>
        <v>CASE-2887</v>
      </c>
      <c r="B2888" s="1">
        <v>45802</v>
      </c>
      <c r="C2888" t="s">
        <v>12</v>
      </c>
      <c r="D2888">
        <v>4</v>
      </c>
      <c r="E2888" t="b">
        <v>1</v>
      </c>
      <c r="F2888" s="2">
        <v>6.7184979443839747</v>
      </c>
      <c r="G2888" t="b">
        <v>0</v>
      </c>
      <c r="H2888" t="s">
        <v>30</v>
      </c>
      <c r="I2888" t="s">
        <v>34</v>
      </c>
    </row>
    <row r="2889" spans="1:9" x14ac:dyDescent="0.3">
      <c r="A2889" t="str">
        <f t="shared" si="45"/>
        <v>CASE-2888</v>
      </c>
      <c r="B2889" s="1">
        <v>46200</v>
      </c>
      <c r="C2889" t="s">
        <v>12</v>
      </c>
      <c r="D2889">
        <v>1</v>
      </c>
      <c r="E2889" t="b">
        <v>1</v>
      </c>
      <c r="F2889" s="2">
        <v>8.3690918958331793</v>
      </c>
      <c r="G2889" t="b">
        <v>0</v>
      </c>
      <c r="H2889" t="s">
        <v>24</v>
      </c>
      <c r="I2889" t="s">
        <v>34</v>
      </c>
    </row>
    <row r="2890" spans="1:9" x14ac:dyDescent="0.3">
      <c r="A2890" t="str">
        <f t="shared" si="45"/>
        <v>CASE-2889</v>
      </c>
      <c r="B2890" s="1">
        <v>45931</v>
      </c>
      <c r="C2890" t="s">
        <v>11</v>
      </c>
      <c r="D2890">
        <v>4</v>
      </c>
      <c r="E2890" t="b">
        <v>1</v>
      </c>
      <c r="F2890" s="2">
        <v>4.965626361506204</v>
      </c>
      <c r="G2890" t="b">
        <v>0</v>
      </c>
      <c r="H2890" t="s">
        <v>18</v>
      </c>
      <c r="I2890" t="s">
        <v>34</v>
      </c>
    </row>
    <row r="2891" spans="1:9" x14ac:dyDescent="0.3">
      <c r="A2891" t="str">
        <f t="shared" si="45"/>
        <v>CASE-2890</v>
      </c>
      <c r="B2891" s="1">
        <v>45575</v>
      </c>
      <c r="C2891" t="s">
        <v>10</v>
      </c>
      <c r="D2891">
        <v>5</v>
      </c>
      <c r="E2891" t="b">
        <v>0</v>
      </c>
      <c r="F2891" s="2">
        <v>25.42140861023255</v>
      </c>
      <c r="G2891" t="b">
        <v>0</v>
      </c>
      <c r="H2891" t="s">
        <v>23</v>
      </c>
      <c r="I2891" t="s">
        <v>33</v>
      </c>
    </row>
    <row r="2892" spans="1:9" x14ac:dyDescent="0.3">
      <c r="A2892" t="str">
        <f t="shared" si="45"/>
        <v>CASE-2891</v>
      </c>
      <c r="B2892" s="1">
        <v>46050</v>
      </c>
      <c r="C2892" t="s">
        <v>10</v>
      </c>
      <c r="D2892">
        <v>4</v>
      </c>
      <c r="E2892" t="b">
        <v>1</v>
      </c>
      <c r="F2892" s="2">
        <v>4.0119967984605998</v>
      </c>
      <c r="G2892" t="b">
        <v>0</v>
      </c>
      <c r="H2892" t="s">
        <v>22</v>
      </c>
      <c r="I2892" t="s">
        <v>34</v>
      </c>
    </row>
    <row r="2893" spans="1:9" x14ac:dyDescent="0.3">
      <c r="A2893" t="str">
        <f t="shared" si="45"/>
        <v>CASE-2892</v>
      </c>
      <c r="B2893" s="1">
        <v>45958</v>
      </c>
      <c r="C2893" t="s">
        <v>9</v>
      </c>
      <c r="D2893">
        <v>2</v>
      </c>
      <c r="E2893" t="b">
        <v>1</v>
      </c>
      <c r="F2893" s="2">
        <v>26.954181188121204</v>
      </c>
      <c r="G2893" t="b">
        <v>0</v>
      </c>
      <c r="H2893" t="s">
        <v>31</v>
      </c>
      <c r="I2893" t="s">
        <v>33</v>
      </c>
    </row>
    <row r="2894" spans="1:9" x14ac:dyDescent="0.3">
      <c r="A2894" t="str">
        <f t="shared" si="45"/>
        <v>CASE-2893</v>
      </c>
      <c r="B2894" s="1">
        <v>46099</v>
      </c>
      <c r="C2894" t="s">
        <v>9</v>
      </c>
      <c r="D2894">
        <v>2</v>
      </c>
      <c r="E2894" t="b">
        <v>0</v>
      </c>
      <c r="F2894" s="2">
        <v>34.985406093681846</v>
      </c>
      <c r="G2894" t="b">
        <v>0</v>
      </c>
      <c r="H2894" t="s">
        <v>16</v>
      </c>
      <c r="I2894" t="s">
        <v>33</v>
      </c>
    </row>
    <row r="2895" spans="1:9" x14ac:dyDescent="0.3">
      <c r="A2895" t="str">
        <f t="shared" si="45"/>
        <v>CASE-2894</v>
      </c>
      <c r="B2895" s="1">
        <v>46091</v>
      </c>
      <c r="C2895" t="s">
        <v>11</v>
      </c>
      <c r="D2895">
        <v>2</v>
      </c>
      <c r="E2895" t="b">
        <v>1</v>
      </c>
      <c r="F2895" s="2">
        <v>5.5586408667993963</v>
      </c>
      <c r="G2895" t="b">
        <v>0</v>
      </c>
      <c r="H2895" t="s">
        <v>17</v>
      </c>
      <c r="I2895" t="s">
        <v>34</v>
      </c>
    </row>
    <row r="2896" spans="1:9" x14ac:dyDescent="0.3">
      <c r="A2896" t="str">
        <f t="shared" si="45"/>
        <v>CASE-2895</v>
      </c>
      <c r="B2896" s="1">
        <v>46150</v>
      </c>
      <c r="C2896" t="s">
        <v>10</v>
      </c>
      <c r="D2896">
        <v>2</v>
      </c>
      <c r="E2896" t="b">
        <v>1</v>
      </c>
      <c r="F2896" s="2">
        <v>8.2195347448750802</v>
      </c>
      <c r="G2896" t="b">
        <v>0</v>
      </c>
      <c r="H2896" t="s">
        <v>13</v>
      </c>
      <c r="I2896" t="s">
        <v>34</v>
      </c>
    </row>
    <row r="2897" spans="1:9" x14ac:dyDescent="0.3">
      <c r="A2897" t="str">
        <f t="shared" si="45"/>
        <v>CASE-2896</v>
      </c>
      <c r="B2897" s="1">
        <v>45646</v>
      </c>
      <c r="C2897" t="s">
        <v>10</v>
      </c>
      <c r="D2897">
        <v>4</v>
      </c>
      <c r="E2897" t="b">
        <v>0</v>
      </c>
      <c r="F2897" s="2">
        <v>12.320772201600914</v>
      </c>
      <c r="G2897" t="b">
        <v>0</v>
      </c>
      <c r="H2897" t="s">
        <v>18</v>
      </c>
      <c r="I2897" t="s">
        <v>33</v>
      </c>
    </row>
    <row r="2898" spans="1:9" x14ac:dyDescent="0.3">
      <c r="A2898" t="str">
        <f t="shared" si="45"/>
        <v>CASE-2897</v>
      </c>
      <c r="B2898" s="1">
        <v>46145</v>
      </c>
      <c r="C2898" t="s">
        <v>10</v>
      </c>
      <c r="D2898">
        <v>4</v>
      </c>
      <c r="E2898" t="b">
        <v>0</v>
      </c>
      <c r="F2898" s="2">
        <v>11.137105336897895</v>
      </c>
      <c r="G2898" t="b">
        <v>0</v>
      </c>
      <c r="H2898" t="s">
        <v>32</v>
      </c>
      <c r="I2898" t="s">
        <v>34</v>
      </c>
    </row>
    <row r="2899" spans="1:9" x14ac:dyDescent="0.3">
      <c r="A2899" t="str">
        <f t="shared" si="45"/>
        <v>CASE-2898</v>
      </c>
      <c r="B2899" s="1">
        <v>46170</v>
      </c>
      <c r="C2899" t="s">
        <v>9</v>
      </c>
      <c r="D2899">
        <v>1</v>
      </c>
      <c r="E2899" t="b">
        <v>0</v>
      </c>
      <c r="F2899" s="2">
        <v>-0.4213171662159283</v>
      </c>
      <c r="G2899" t="b">
        <v>0</v>
      </c>
      <c r="H2899" t="s">
        <v>18</v>
      </c>
      <c r="I2899" t="s">
        <v>33</v>
      </c>
    </row>
    <row r="2900" spans="1:9" x14ac:dyDescent="0.3">
      <c r="A2900" t="str">
        <f t="shared" si="45"/>
        <v>CASE-2899</v>
      </c>
      <c r="B2900" s="1">
        <v>45634</v>
      </c>
      <c r="C2900" t="s">
        <v>10</v>
      </c>
      <c r="D2900">
        <v>3</v>
      </c>
      <c r="E2900" t="b">
        <v>0</v>
      </c>
      <c r="F2900" s="2">
        <v>21.287662481502721</v>
      </c>
      <c r="G2900" t="b">
        <v>0</v>
      </c>
      <c r="H2900" t="s">
        <v>13</v>
      </c>
      <c r="I2900" t="s">
        <v>33</v>
      </c>
    </row>
    <row r="2901" spans="1:9" x14ac:dyDescent="0.3">
      <c r="A2901" t="str">
        <f t="shared" si="45"/>
        <v>CASE-2900</v>
      </c>
      <c r="B2901" s="1">
        <v>46050</v>
      </c>
      <c r="C2901" t="s">
        <v>11</v>
      </c>
      <c r="D2901">
        <v>1</v>
      </c>
      <c r="E2901" t="b">
        <v>0</v>
      </c>
      <c r="F2901" s="2">
        <v>8.8827630734449716</v>
      </c>
      <c r="G2901" t="b">
        <v>0</v>
      </c>
      <c r="H2901" t="s">
        <v>24</v>
      </c>
      <c r="I2901" t="s">
        <v>34</v>
      </c>
    </row>
    <row r="2902" spans="1:9" x14ac:dyDescent="0.3">
      <c r="A2902" t="str">
        <f t="shared" si="45"/>
        <v>CASE-2901</v>
      </c>
      <c r="B2902" s="1">
        <v>45679</v>
      </c>
      <c r="C2902" t="s">
        <v>9</v>
      </c>
      <c r="D2902">
        <v>1</v>
      </c>
      <c r="E2902" t="b">
        <v>1</v>
      </c>
      <c r="F2902" s="2">
        <v>1.946169195250226</v>
      </c>
      <c r="G2902" t="b">
        <v>0</v>
      </c>
      <c r="H2902" t="s">
        <v>25</v>
      </c>
      <c r="I2902" t="s">
        <v>34</v>
      </c>
    </row>
    <row r="2903" spans="1:9" x14ac:dyDescent="0.3">
      <c r="A2903" t="str">
        <f t="shared" si="45"/>
        <v>CASE-2902</v>
      </c>
      <c r="B2903" s="1">
        <v>45789</v>
      </c>
      <c r="C2903" t="s">
        <v>9</v>
      </c>
      <c r="D2903">
        <v>1</v>
      </c>
      <c r="E2903" t="b">
        <v>0</v>
      </c>
      <c r="F2903" s="2">
        <v>4.1575278868916659</v>
      </c>
      <c r="G2903" t="b">
        <v>0</v>
      </c>
      <c r="H2903" t="s">
        <v>31</v>
      </c>
      <c r="I2903" t="s">
        <v>34</v>
      </c>
    </row>
    <row r="2904" spans="1:9" x14ac:dyDescent="0.3">
      <c r="A2904" t="str">
        <f t="shared" si="45"/>
        <v>CASE-2903</v>
      </c>
      <c r="B2904" s="1">
        <v>46053</v>
      </c>
      <c r="C2904" t="s">
        <v>9</v>
      </c>
      <c r="D2904">
        <v>2</v>
      </c>
      <c r="E2904" t="b">
        <v>0</v>
      </c>
      <c r="F2904" s="2">
        <v>4.7601036754150687</v>
      </c>
      <c r="G2904" t="b">
        <v>0</v>
      </c>
      <c r="H2904" t="s">
        <v>25</v>
      </c>
      <c r="I2904" t="s">
        <v>34</v>
      </c>
    </row>
    <row r="2905" spans="1:9" x14ac:dyDescent="0.3">
      <c r="A2905" t="str">
        <f t="shared" si="45"/>
        <v>CASE-2904</v>
      </c>
      <c r="B2905" s="1">
        <v>45987</v>
      </c>
      <c r="C2905" t="s">
        <v>11</v>
      </c>
      <c r="D2905">
        <v>5</v>
      </c>
      <c r="E2905" t="b">
        <v>1</v>
      </c>
      <c r="F2905" s="2">
        <v>9.5994125747352186</v>
      </c>
      <c r="G2905" t="b">
        <v>0</v>
      </c>
      <c r="H2905" t="s">
        <v>27</v>
      </c>
      <c r="I2905" t="s">
        <v>35</v>
      </c>
    </row>
    <row r="2906" spans="1:9" x14ac:dyDescent="0.3">
      <c r="A2906" t="str">
        <f t="shared" si="45"/>
        <v>CASE-2905</v>
      </c>
      <c r="B2906" s="1">
        <v>45568</v>
      </c>
      <c r="C2906" t="s">
        <v>11</v>
      </c>
      <c r="D2906">
        <v>5</v>
      </c>
      <c r="E2906" t="b">
        <v>0</v>
      </c>
      <c r="F2906" s="2">
        <v>20.299089703400185</v>
      </c>
      <c r="G2906" t="b">
        <v>0</v>
      </c>
      <c r="H2906" t="s">
        <v>30</v>
      </c>
      <c r="I2906" t="s">
        <v>33</v>
      </c>
    </row>
    <row r="2907" spans="1:9" x14ac:dyDescent="0.3">
      <c r="A2907" t="str">
        <f t="shared" si="45"/>
        <v>CASE-2906</v>
      </c>
      <c r="B2907" s="1">
        <v>45743</v>
      </c>
      <c r="C2907" t="s">
        <v>9</v>
      </c>
      <c r="D2907">
        <v>2</v>
      </c>
      <c r="E2907" t="b">
        <v>1</v>
      </c>
      <c r="F2907" s="2">
        <v>8.3763482368408866</v>
      </c>
      <c r="G2907" t="b">
        <v>0</v>
      </c>
      <c r="H2907" t="s">
        <v>32</v>
      </c>
      <c r="I2907" t="s">
        <v>34</v>
      </c>
    </row>
    <row r="2908" spans="1:9" x14ac:dyDescent="0.3">
      <c r="A2908" t="str">
        <f t="shared" si="45"/>
        <v>CASE-2907</v>
      </c>
      <c r="B2908" s="1">
        <v>45938</v>
      </c>
      <c r="C2908" t="s">
        <v>12</v>
      </c>
      <c r="D2908">
        <v>2</v>
      </c>
      <c r="E2908" t="b">
        <v>1</v>
      </c>
      <c r="F2908" s="2">
        <v>4.3593497618408534</v>
      </c>
      <c r="G2908" t="b">
        <v>0</v>
      </c>
      <c r="H2908" t="s">
        <v>27</v>
      </c>
      <c r="I2908" t="s">
        <v>34</v>
      </c>
    </row>
    <row r="2909" spans="1:9" x14ac:dyDescent="0.3">
      <c r="A2909" t="str">
        <f t="shared" si="45"/>
        <v>CASE-2908</v>
      </c>
      <c r="B2909" s="1">
        <v>46049</v>
      </c>
      <c r="C2909" t="s">
        <v>12</v>
      </c>
      <c r="D2909">
        <v>3</v>
      </c>
      <c r="E2909" t="b">
        <v>1</v>
      </c>
      <c r="F2909" s="2">
        <v>5.4951932468057354</v>
      </c>
      <c r="G2909" t="b">
        <v>0</v>
      </c>
      <c r="H2909" t="s">
        <v>19</v>
      </c>
      <c r="I2909" t="s">
        <v>34</v>
      </c>
    </row>
    <row r="2910" spans="1:9" x14ac:dyDescent="0.3">
      <c r="A2910" t="str">
        <f t="shared" si="45"/>
        <v>CASE-2909</v>
      </c>
      <c r="B2910" s="1">
        <v>46048</v>
      </c>
      <c r="C2910" t="s">
        <v>11</v>
      </c>
      <c r="D2910">
        <v>4</v>
      </c>
      <c r="E2910" t="b">
        <v>1</v>
      </c>
      <c r="F2910" s="2">
        <v>4.7418845416014435</v>
      </c>
      <c r="G2910" t="b">
        <v>0</v>
      </c>
      <c r="H2910" t="s">
        <v>16</v>
      </c>
      <c r="I2910" t="s">
        <v>34</v>
      </c>
    </row>
    <row r="2911" spans="1:9" x14ac:dyDescent="0.3">
      <c r="A2911" t="str">
        <f t="shared" si="45"/>
        <v>CASE-2910</v>
      </c>
      <c r="B2911" s="1">
        <v>45649</v>
      </c>
      <c r="C2911" t="s">
        <v>9</v>
      </c>
      <c r="D2911">
        <v>1</v>
      </c>
      <c r="E2911" t="b">
        <v>0</v>
      </c>
      <c r="F2911" s="2">
        <v>17.449758394405887</v>
      </c>
      <c r="G2911" t="b">
        <v>0</v>
      </c>
      <c r="H2911" t="s">
        <v>20</v>
      </c>
      <c r="I2911" t="s">
        <v>33</v>
      </c>
    </row>
    <row r="2912" spans="1:9" x14ac:dyDescent="0.3">
      <c r="A2912" t="str">
        <f t="shared" si="45"/>
        <v>CASE-2911</v>
      </c>
      <c r="B2912" s="1">
        <v>45961</v>
      </c>
      <c r="C2912" t="s">
        <v>11</v>
      </c>
      <c r="D2912">
        <v>3</v>
      </c>
      <c r="E2912" t="b">
        <v>1</v>
      </c>
      <c r="F2912" s="2">
        <v>6.5830098897876477</v>
      </c>
      <c r="G2912" t="b">
        <v>0</v>
      </c>
      <c r="H2912" t="s">
        <v>27</v>
      </c>
      <c r="I2912" t="s">
        <v>35</v>
      </c>
    </row>
    <row r="2913" spans="1:9" x14ac:dyDescent="0.3">
      <c r="A2913" t="str">
        <f t="shared" si="45"/>
        <v>CASE-2912</v>
      </c>
      <c r="B2913" s="1">
        <v>45829</v>
      </c>
      <c r="C2913" t="s">
        <v>9</v>
      </c>
      <c r="D2913">
        <v>3</v>
      </c>
      <c r="E2913" t="b">
        <v>1</v>
      </c>
      <c r="F2913" s="2">
        <v>7.4372068123477186</v>
      </c>
      <c r="G2913" t="b">
        <v>0</v>
      </c>
      <c r="H2913" t="s">
        <v>14</v>
      </c>
      <c r="I2913" t="s">
        <v>34</v>
      </c>
    </row>
    <row r="2914" spans="1:9" x14ac:dyDescent="0.3">
      <c r="A2914" t="str">
        <f t="shared" si="45"/>
        <v>CASE-2913</v>
      </c>
      <c r="B2914" s="1">
        <v>46024</v>
      </c>
      <c r="C2914" t="s">
        <v>12</v>
      </c>
      <c r="D2914">
        <v>4</v>
      </c>
      <c r="E2914" t="b">
        <v>1</v>
      </c>
      <c r="F2914" s="2">
        <v>5.6313651888066145</v>
      </c>
      <c r="G2914" t="b">
        <v>0</v>
      </c>
      <c r="H2914" t="s">
        <v>23</v>
      </c>
      <c r="I2914" t="s">
        <v>34</v>
      </c>
    </row>
    <row r="2915" spans="1:9" x14ac:dyDescent="0.3">
      <c r="A2915" t="str">
        <f t="shared" si="45"/>
        <v>CASE-2914</v>
      </c>
      <c r="B2915" s="1">
        <v>46190</v>
      </c>
      <c r="C2915" t="s">
        <v>10</v>
      </c>
      <c r="D2915">
        <v>4</v>
      </c>
      <c r="E2915" t="b">
        <v>1</v>
      </c>
      <c r="F2915" s="2">
        <v>6.4077775928694942</v>
      </c>
      <c r="G2915" t="b">
        <v>0</v>
      </c>
      <c r="H2915" t="s">
        <v>17</v>
      </c>
      <c r="I2915" t="s">
        <v>34</v>
      </c>
    </row>
    <row r="2916" spans="1:9" x14ac:dyDescent="0.3">
      <c r="A2916" t="str">
        <f t="shared" si="45"/>
        <v>CASE-2915</v>
      </c>
      <c r="B2916" s="1">
        <v>46025</v>
      </c>
      <c r="C2916" t="s">
        <v>10</v>
      </c>
      <c r="D2916">
        <v>3</v>
      </c>
      <c r="E2916" t="b">
        <v>1</v>
      </c>
      <c r="F2916" s="2">
        <v>4.8274226875994151</v>
      </c>
      <c r="G2916" t="b">
        <v>0</v>
      </c>
      <c r="H2916" t="s">
        <v>22</v>
      </c>
      <c r="I2916" t="s">
        <v>34</v>
      </c>
    </row>
    <row r="2917" spans="1:9" x14ac:dyDescent="0.3">
      <c r="A2917" t="str">
        <f t="shared" si="45"/>
        <v>CASE-2916</v>
      </c>
      <c r="B2917" s="1">
        <v>45882</v>
      </c>
      <c r="C2917" t="s">
        <v>12</v>
      </c>
      <c r="D2917">
        <v>3</v>
      </c>
      <c r="E2917" t="b">
        <v>0</v>
      </c>
      <c r="F2917" s="2">
        <v>6.4338721672375891</v>
      </c>
      <c r="G2917" t="b">
        <v>0</v>
      </c>
      <c r="H2917" t="s">
        <v>28</v>
      </c>
      <c r="I2917" t="s">
        <v>34</v>
      </c>
    </row>
    <row r="2918" spans="1:9" x14ac:dyDescent="0.3">
      <c r="A2918" t="str">
        <f t="shared" si="45"/>
        <v>CASE-2917</v>
      </c>
      <c r="B2918" s="1">
        <v>46125</v>
      </c>
      <c r="C2918" t="s">
        <v>9</v>
      </c>
      <c r="D2918">
        <v>1</v>
      </c>
      <c r="E2918" t="b">
        <v>1</v>
      </c>
      <c r="F2918" s="2">
        <v>5.8157868175540735</v>
      </c>
      <c r="G2918" t="b">
        <v>0</v>
      </c>
      <c r="H2918" t="s">
        <v>21</v>
      </c>
      <c r="I2918" t="s">
        <v>34</v>
      </c>
    </row>
    <row r="2919" spans="1:9" x14ac:dyDescent="0.3">
      <c r="A2919" t="str">
        <f t="shared" si="45"/>
        <v>CASE-2918</v>
      </c>
      <c r="B2919" s="1">
        <v>45780</v>
      </c>
      <c r="C2919" t="s">
        <v>9</v>
      </c>
      <c r="D2919">
        <v>3</v>
      </c>
      <c r="E2919" t="b">
        <v>1</v>
      </c>
      <c r="F2919" s="2">
        <v>9.7228678174325402</v>
      </c>
      <c r="G2919" t="b">
        <v>0</v>
      </c>
      <c r="H2919" t="s">
        <v>19</v>
      </c>
      <c r="I2919" t="s">
        <v>34</v>
      </c>
    </row>
    <row r="2920" spans="1:9" x14ac:dyDescent="0.3">
      <c r="A2920" t="str">
        <f t="shared" si="45"/>
        <v>CASE-2919</v>
      </c>
      <c r="B2920" s="1">
        <v>45861</v>
      </c>
      <c r="C2920" t="s">
        <v>12</v>
      </c>
      <c r="D2920">
        <v>1</v>
      </c>
      <c r="E2920" t="b">
        <v>1</v>
      </c>
      <c r="F2920" s="2">
        <v>4.5966955991265781</v>
      </c>
      <c r="G2920" t="b">
        <v>0</v>
      </c>
      <c r="H2920" t="s">
        <v>29</v>
      </c>
      <c r="I2920" t="s">
        <v>34</v>
      </c>
    </row>
    <row r="2921" spans="1:9" x14ac:dyDescent="0.3">
      <c r="A2921" t="str">
        <f t="shared" si="45"/>
        <v>CASE-2920</v>
      </c>
      <c r="B2921" s="1">
        <v>45488</v>
      </c>
      <c r="C2921" t="s">
        <v>12</v>
      </c>
      <c r="D2921">
        <v>4</v>
      </c>
      <c r="E2921" t="b">
        <v>0</v>
      </c>
      <c r="F2921" s="2">
        <v>22.793326971110588</v>
      </c>
      <c r="G2921" t="b">
        <v>0</v>
      </c>
      <c r="H2921" t="s">
        <v>18</v>
      </c>
      <c r="I2921" t="s">
        <v>33</v>
      </c>
    </row>
    <row r="2922" spans="1:9" x14ac:dyDescent="0.3">
      <c r="A2922" t="str">
        <f t="shared" si="45"/>
        <v>CASE-2921</v>
      </c>
      <c r="B2922" s="1">
        <v>46030</v>
      </c>
      <c r="C2922" t="s">
        <v>11</v>
      </c>
      <c r="D2922">
        <v>2</v>
      </c>
      <c r="E2922" t="b">
        <v>1</v>
      </c>
      <c r="F2922" s="2">
        <v>-1.4953405326772042</v>
      </c>
      <c r="G2922" t="b">
        <v>0</v>
      </c>
      <c r="H2922" t="s">
        <v>27</v>
      </c>
      <c r="I2922" t="s">
        <v>33</v>
      </c>
    </row>
    <row r="2923" spans="1:9" x14ac:dyDescent="0.3">
      <c r="A2923" t="str">
        <f t="shared" si="45"/>
        <v>CASE-2922</v>
      </c>
      <c r="B2923" s="1">
        <v>45474</v>
      </c>
      <c r="C2923" t="s">
        <v>9</v>
      </c>
      <c r="D2923">
        <v>2</v>
      </c>
      <c r="E2923" t="b">
        <v>0</v>
      </c>
      <c r="F2923" s="2">
        <v>32.00845456008139</v>
      </c>
      <c r="G2923" t="b">
        <v>0</v>
      </c>
      <c r="H2923" t="s">
        <v>27</v>
      </c>
      <c r="I2923" t="s">
        <v>33</v>
      </c>
    </row>
    <row r="2924" spans="1:9" x14ac:dyDescent="0.3">
      <c r="A2924" t="str">
        <f t="shared" si="45"/>
        <v>CASE-2923</v>
      </c>
      <c r="B2924" s="1">
        <v>45795</v>
      </c>
      <c r="C2924" t="s">
        <v>9</v>
      </c>
      <c r="D2924">
        <v>5</v>
      </c>
      <c r="E2924" t="b">
        <v>1</v>
      </c>
      <c r="F2924" s="2">
        <v>12.705466375006406</v>
      </c>
      <c r="G2924" t="b">
        <v>0</v>
      </c>
      <c r="H2924" t="s">
        <v>23</v>
      </c>
      <c r="I2924" t="s">
        <v>33</v>
      </c>
    </row>
    <row r="2925" spans="1:9" x14ac:dyDescent="0.3">
      <c r="A2925" t="str">
        <f t="shared" si="45"/>
        <v>CASE-2924</v>
      </c>
      <c r="B2925" s="1">
        <v>45830</v>
      </c>
      <c r="C2925" t="s">
        <v>10</v>
      </c>
      <c r="D2925">
        <v>2</v>
      </c>
      <c r="E2925" t="b">
        <v>0</v>
      </c>
      <c r="F2925" s="2">
        <v>6.4077079450649137</v>
      </c>
      <c r="G2925" t="b">
        <v>0</v>
      </c>
      <c r="H2925" t="s">
        <v>27</v>
      </c>
      <c r="I2925" t="s">
        <v>34</v>
      </c>
    </row>
    <row r="2926" spans="1:9" x14ac:dyDescent="0.3">
      <c r="A2926" t="str">
        <f t="shared" si="45"/>
        <v>CASE-2925</v>
      </c>
      <c r="B2926" s="1">
        <v>45732</v>
      </c>
      <c r="C2926" t="s">
        <v>9</v>
      </c>
      <c r="D2926">
        <v>2</v>
      </c>
      <c r="E2926" t="b">
        <v>1</v>
      </c>
      <c r="F2926" s="2">
        <v>3.9243669486671404</v>
      </c>
      <c r="G2926" t="b">
        <v>0</v>
      </c>
      <c r="H2926" t="s">
        <v>21</v>
      </c>
      <c r="I2926" t="s">
        <v>35</v>
      </c>
    </row>
    <row r="2927" spans="1:9" x14ac:dyDescent="0.3">
      <c r="A2927" t="str">
        <f t="shared" si="45"/>
        <v>CASE-2926</v>
      </c>
      <c r="B2927" s="1">
        <v>46076</v>
      </c>
      <c r="C2927" t="s">
        <v>9</v>
      </c>
      <c r="D2927">
        <v>5</v>
      </c>
      <c r="E2927" t="b">
        <v>1</v>
      </c>
      <c r="F2927" s="2">
        <v>6.8887009026948398</v>
      </c>
      <c r="G2927" t="b">
        <v>0</v>
      </c>
      <c r="H2927" t="s">
        <v>19</v>
      </c>
      <c r="I2927" t="s">
        <v>34</v>
      </c>
    </row>
    <row r="2928" spans="1:9" x14ac:dyDescent="0.3">
      <c r="A2928" t="str">
        <f t="shared" si="45"/>
        <v>CASE-2927</v>
      </c>
      <c r="B2928" s="1">
        <v>45775</v>
      </c>
      <c r="C2928" t="s">
        <v>11</v>
      </c>
      <c r="D2928">
        <v>2</v>
      </c>
      <c r="E2928" t="b">
        <v>1</v>
      </c>
      <c r="F2928" s="2">
        <v>5.0928859471322188</v>
      </c>
      <c r="G2928" t="b">
        <v>0</v>
      </c>
      <c r="H2928" t="s">
        <v>28</v>
      </c>
      <c r="I2928" t="s">
        <v>34</v>
      </c>
    </row>
    <row r="2929" spans="1:9" x14ac:dyDescent="0.3">
      <c r="A2929" t="str">
        <f t="shared" si="45"/>
        <v>CASE-2928</v>
      </c>
      <c r="B2929" s="1">
        <v>45650</v>
      </c>
      <c r="C2929" t="s">
        <v>11</v>
      </c>
      <c r="D2929">
        <v>1</v>
      </c>
      <c r="E2929" t="b">
        <v>0</v>
      </c>
      <c r="F2929" s="2">
        <v>14.35597587837562</v>
      </c>
      <c r="G2929" t="b">
        <v>0</v>
      </c>
      <c r="H2929" t="s">
        <v>30</v>
      </c>
      <c r="I2929" t="s">
        <v>33</v>
      </c>
    </row>
    <row r="2930" spans="1:9" x14ac:dyDescent="0.3">
      <c r="A2930" t="str">
        <f t="shared" si="45"/>
        <v>CASE-2929</v>
      </c>
      <c r="B2930" s="1">
        <v>46079</v>
      </c>
      <c r="C2930" t="s">
        <v>11</v>
      </c>
      <c r="D2930">
        <v>2</v>
      </c>
      <c r="E2930" t="b">
        <v>0</v>
      </c>
      <c r="F2930" s="2">
        <v>7.7173590237334793</v>
      </c>
      <c r="G2930" t="b">
        <v>0</v>
      </c>
      <c r="H2930" t="s">
        <v>32</v>
      </c>
      <c r="I2930" t="s">
        <v>34</v>
      </c>
    </row>
    <row r="2931" spans="1:9" x14ac:dyDescent="0.3">
      <c r="A2931" t="str">
        <f t="shared" si="45"/>
        <v>CASE-2930</v>
      </c>
      <c r="B2931" s="1">
        <v>45560</v>
      </c>
      <c r="C2931" t="s">
        <v>12</v>
      </c>
      <c r="D2931">
        <v>4</v>
      </c>
      <c r="E2931" t="b">
        <v>0</v>
      </c>
      <c r="F2931" s="2">
        <v>18.144297888880629</v>
      </c>
      <c r="G2931" t="b">
        <v>0</v>
      </c>
      <c r="H2931" t="s">
        <v>29</v>
      </c>
      <c r="I2931" t="s">
        <v>33</v>
      </c>
    </row>
    <row r="2932" spans="1:9" x14ac:dyDescent="0.3">
      <c r="A2932" t="str">
        <f t="shared" si="45"/>
        <v>CASE-2931</v>
      </c>
      <c r="B2932" s="1">
        <v>45494</v>
      </c>
      <c r="C2932" t="s">
        <v>11</v>
      </c>
      <c r="D2932">
        <v>3</v>
      </c>
      <c r="E2932" t="b">
        <v>0</v>
      </c>
      <c r="F2932" s="2">
        <v>24.889625292390448</v>
      </c>
      <c r="G2932" t="b">
        <v>0</v>
      </c>
      <c r="H2932" t="s">
        <v>32</v>
      </c>
      <c r="I2932" t="s">
        <v>33</v>
      </c>
    </row>
    <row r="2933" spans="1:9" x14ac:dyDescent="0.3">
      <c r="A2933" t="str">
        <f t="shared" si="45"/>
        <v>CASE-2932</v>
      </c>
      <c r="B2933" s="1">
        <v>45864</v>
      </c>
      <c r="C2933" t="s">
        <v>9</v>
      </c>
      <c r="D2933">
        <v>5</v>
      </c>
      <c r="E2933" t="b">
        <v>1</v>
      </c>
      <c r="F2933" s="2">
        <v>29.664861235033143</v>
      </c>
      <c r="G2933" t="b">
        <v>0</v>
      </c>
      <c r="H2933" t="s">
        <v>15</v>
      </c>
      <c r="I2933" t="s">
        <v>33</v>
      </c>
    </row>
    <row r="2934" spans="1:9" x14ac:dyDescent="0.3">
      <c r="A2934" t="str">
        <f t="shared" si="45"/>
        <v>CASE-2933</v>
      </c>
      <c r="B2934" s="1">
        <v>45801</v>
      </c>
      <c r="C2934" t="s">
        <v>11</v>
      </c>
      <c r="D2934">
        <v>3</v>
      </c>
      <c r="E2934" t="b">
        <v>1</v>
      </c>
      <c r="F2934" s="2">
        <v>9.3896728046689706</v>
      </c>
      <c r="G2934" t="b">
        <v>0</v>
      </c>
      <c r="H2934" t="s">
        <v>16</v>
      </c>
      <c r="I2934" t="s">
        <v>34</v>
      </c>
    </row>
    <row r="2935" spans="1:9" x14ac:dyDescent="0.3">
      <c r="A2935" t="str">
        <f t="shared" si="45"/>
        <v>CASE-2934</v>
      </c>
      <c r="B2935" s="1">
        <v>45654</v>
      </c>
      <c r="C2935" t="s">
        <v>11</v>
      </c>
      <c r="D2935">
        <v>1</v>
      </c>
      <c r="E2935" t="b">
        <v>0</v>
      </c>
      <c r="F2935" s="2">
        <v>28.710775740007172</v>
      </c>
      <c r="G2935" t="b">
        <v>0</v>
      </c>
      <c r="H2935" t="s">
        <v>20</v>
      </c>
      <c r="I2935" t="s">
        <v>33</v>
      </c>
    </row>
    <row r="2936" spans="1:9" x14ac:dyDescent="0.3">
      <c r="A2936" t="str">
        <f t="shared" si="45"/>
        <v>CASE-2935</v>
      </c>
      <c r="B2936" s="1">
        <v>45694</v>
      </c>
      <c r="C2936" t="s">
        <v>11</v>
      </c>
      <c r="D2936">
        <v>2</v>
      </c>
      <c r="E2936" t="b">
        <v>1</v>
      </c>
      <c r="F2936" s="2">
        <v>24.855112928920061</v>
      </c>
      <c r="G2936" t="b">
        <v>0</v>
      </c>
      <c r="H2936" t="s">
        <v>18</v>
      </c>
      <c r="I2936" t="s">
        <v>33</v>
      </c>
    </row>
    <row r="2937" spans="1:9" x14ac:dyDescent="0.3">
      <c r="A2937" t="str">
        <f t="shared" si="45"/>
        <v>CASE-2936</v>
      </c>
      <c r="B2937" s="1">
        <v>45474</v>
      </c>
      <c r="C2937" t="s">
        <v>11</v>
      </c>
      <c r="D2937">
        <v>3</v>
      </c>
      <c r="E2937" t="b">
        <v>0</v>
      </c>
      <c r="F2937" s="2">
        <v>29.535480729659454</v>
      </c>
      <c r="G2937" t="b">
        <v>0</v>
      </c>
      <c r="H2937" t="s">
        <v>15</v>
      </c>
      <c r="I2937" t="s">
        <v>33</v>
      </c>
    </row>
    <row r="2938" spans="1:9" x14ac:dyDescent="0.3">
      <c r="A2938" t="str">
        <f t="shared" si="45"/>
        <v>CASE-2937</v>
      </c>
      <c r="B2938" s="1">
        <v>45890</v>
      </c>
      <c r="C2938" t="s">
        <v>9</v>
      </c>
      <c r="D2938">
        <v>5</v>
      </c>
      <c r="E2938" t="b">
        <v>1</v>
      </c>
      <c r="F2938" s="2">
        <v>2.7427572663791309</v>
      </c>
      <c r="G2938" t="b">
        <v>0</v>
      </c>
      <c r="H2938" t="s">
        <v>13</v>
      </c>
      <c r="I2938" t="s">
        <v>34</v>
      </c>
    </row>
    <row r="2939" spans="1:9" x14ac:dyDescent="0.3">
      <c r="A2939" t="str">
        <f t="shared" si="45"/>
        <v>CASE-2938</v>
      </c>
      <c r="B2939" s="1">
        <v>45962</v>
      </c>
      <c r="C2939" t="s">
        <v>12</v>
      </c>
      <c r="D2939">
        <v>4</v>
      </c>
      <c r="E2939" t="b">
        <v>1</v>
      </c>
      <c r="F2939" s="2">
        <v>4.297631984168274</v>
      </c>
      <c r="G2939" t="b">
        <v>0</v>
      </c>
      <c r="H2939" t="s">
        <v>13</v>
      </c>
      <c r="I2939" t="s">
        <v>34</v>
      </c>
    </row>
    <row r="2940" spans="1:9" x14ac:dyDescent="0.3">
      <c r="A2940" t="str">
        <f t="shared" si="45"/>
        <v>CASE-2939</v>
      </c>
      <c r="B2940" s="1">
        <v>45685</v>
      </c>
      <c r="C2940" t="s">
        <v>10</v>
      </c>
      <c r="D2940">
        <v>5</v>
      </c>
      <c r="E2940" t="b">
        <v>1</v>
      </c>
      <c r="F2940" s="2">
        <v>7.0775421562549639</v>
      </c>
      <c r="G2940" t="b">
        <v>0</v>
      </c>
      <c r="H2940" t="s">
        <v>16</v>
      </c>
      <c r="I2940" t="s">
        <v>35</v>
      </c>
    </row>
    <row r="2941" spans="1:9" x14ac:dyDescent="0.3">
      <c r="A2941" t="str">
        <f t="shared" si="45"/>
        <v>CASE-2940</v>
      </c>
      <c r="B2941" s="1">
        <v>45529</v>
      </c>
      <c r="C2941" t="s">
        <v>10</v>
      </c>
      <c r="D2941">
        <v>1</v>
      </c>
      <c r="E2941" t="b">
        <v>0</v>
      </c>
      <c r="F2941" s="2">
        <v>22.224355787846807</v>
      </c>
      <c r="G2941" t="b">
        <v>0</v>
      </c>
      <c r="H2941" t="s">
        <v>23</v>
      </c>
      <c r="I2941" t="s">
        <v>33</v>
      </c>
    </row>
    <row r="2942" spans="1:9" x14ac:dyDescent="0.3">
      <c r="A2942" t="str">
        <f t="shared" si="45"/>
        <v>CASE-2941</v>
      </c>
      <c r="B2942" s="1">
        <v>45956</v>
      </c>
      <c r="C2942" t="s">
        <v>11</v>
      </c>
      <c r="D2942">
        <v>1</v>
      </c>
      <c r="E2942" t="b">
        <v>1</v>
      </c>
      <c r="F2942" s="2">
        <v>7.9514891078498957</v>
      </c>
      <c r="G2942" t="b">
        <v>0</v>
      </c>
      <c r="H2942" t="s">
        <v>16</v>
      </c>
      <c r="I2942" t="s">
        <v>34</v>
      </c>
    </row>
    <row r="2943" spans="1:9" x14ac:dyDescent="0.3">
      <c r="A2943" t="str">
        <f t="shared" si="45"/>
        <v>CASE-2942</v>
      </c>
      <c r="B2943" s="1">
        <v>45862</v>
      </c>
      <c r="C2943" t="s">
        <v>11</v>
      </c>
      <c r="D2943">
        <v>4</v>
      </c>
      <c r="E2943" t="b">
        <v>0</v>
      </c>
      <c r="F2943" s="2">
        <v>4.3766798078607554</v>
      </c>
      <c r="G2943" t="b">
        <v>0</v>
      </c>
      <c r="H2943" t="s">
        <v>14</v>
      </c>
      <c r="I2943" t="s">
        <v>34</v>
      </c>
    </row>
    <row r="2944" spans="1:9" x14ac:dyDescent="0.3">
      <c r="A2944" t="str">
        <f t="shared" si="45"/>
        <v>CASE-2943</v>
      </c>
      <c r="B2944" s="1">
        <v>45521</v>
      </c>
      <c r="C2944" t="s">
        <v>9</v>
      </c>
      <c r="D2944">
        <v>4</v>
      </c>
      <c r="E2944" t="b">
        <v>0</v>
      </c>
      <c r="F2944" s="2">
        <v>14.818637944451849</v>
      </c>
      <c r="G2944" t="b">
        <v>0</v>
      </c>
      <c r="H2944" t="s">
        <v>23</v>
      </c>
      <c r="I2944" t="s">
        <v>33</v>
      </c>
    </row>
    <row r="2945" spans="1:9" x14ac:dyDescent="0.3">
      <c r="A2945" t="str">
        <f t="shared" si="45"/>
        <v>CASE-2944</v>
      </c>
      <c r="B2945" s="1">
        <v>45744</v>
      </c>
      <c r="C2945" t="s">
        <v>10</v>
      </c>
      <c r="D2945">
        <v>4</v>
      </c>
      <c r="E2945" t="b">
        <v>1</v>
      </c>
      <c r="F2945" s="2">
        <v>5.9370543337917017</v>
      </c>
      <c r="G2945" t="b">
        <v>0</v>
      </c>
      <c r="H2945" t="s">
        <v>31</v>
      </c>
      <c r="I2945" t="s">
        <v>34</v>
      </c>
    </row>
    <row r="2946" spans="1:9" x14ac:dyDescent="0.3">
      <c r="A2946" t="str">
        <f t="shared" si="45"/>
        <v>CASE-2945</v>
      </c>
      <c r="B2946" s="1">
        <v>45544</v>
      </c>
      <c r="C2946" t="s">
        <v>10</v>
      </c>
      <c r="D2946">
        <v>4</v>
      </c>
      <c r="E2946" t="b">
        <v>0</v>
      </c>
      <c r="F2946" s="2">
        <v>12.235680201029705</v>
      </c>
      <c r="G2946" t="b">
        <v>0</v>
      </c>
      <c r="H2946" t="s">
        <v>28</v>
      </c>
      <c r="I2946" t="s">
        <v>33</v>
      </c>
    </row>
    <row r="2947" spans="1:9" x14ac:dyDescent="0.3">
      <c r="A2947" t="str">
        <f t="shared" ref="A2947:A3001" si="46">"CASE-"&amp;TEXT(ROW()-1,"0000")</f>
        <v>CASE-2946</v>
      </c>
      <c r="B2947" s="1">
        <v>45863</v>
      </c>
      <c r="C2947" t="s">
        <v>9</v>
      </c>
      <c r="D2947">
        <v>5</v>
      </c>
      <c r="E2947" t="b">
        <v>1</v>
      </c>
      <c r="F2947" s="2">
        <v>5.6423950766425248</v>
      </c>
      <c r="G2947" t="b">
        <v>0</v>
      </c>
      <c r="H2947" t="s">
        <v>25</v>
      </c>
      <c r="I2947" t="s">
        <v>34</v>
      </c>
    </row>
    <row r="2948" spans="1:9" x14ac:dyDescent="0.3">
      <c r="A2948" t="str">
        <f t="shared" si="46"/>
        <v>CASE-2947</v>
      </c>
      <c r="B2948" s="1">
        <v>45793</v>
      </c>
      <c r="C2948" t="s">
        <v>12</v>
      </c>
      <c r="D2948">
        <v>4</v>
      </c>
      <c r="E2948" t="b">
        <v>1</v>
      </c>
      <c r="F2948" s="2">
        <v>3.4516618107395916</v>
      </c>
      <c r="G2948" t="b">
        <v>0</v>
      </c>
      <c r="H2948" t="s">
        <v>31</v>
      </c>
      <c r="I2948" t="s">
        <v>34</v>
      </c>
    </row>
    <row r="2949" spans="1:9" x14ac:dyDescent="0.3">
      <c r="A2949" t="str">
        <f t="shared" si="46"/>
        <v>CASE-2948</v>
      </c>
      <c r="B2949" s="1">
        <v>45828</v>
      </c>
      <c r="C2949" t="s">
        <v>9</v>
      </c>
      <c r="D2949">
        <v>4</v>
      </c>
      <c r="E2949" t="b">
        <v>0</v>
      </c>
      <c r="F2949" s="2">
        <v>5.0096865303348812</v>
      </c>
      <c r="G2949" t="b">
        <v>0</v>
      </c>
      <c r="H2949" t="s">
        <v>25</v>
      </c>
      <c r="I2949" t="s">
        <v>34</v>
      </c>
    </row>
    <row r="2950" spans="1:9" x14ac:dyDescent="0.3">
      <c r="A2950" t="str">
        <f t="shared" si="46"/>
        <v>CASE-2949</v>
      </c>
      <c r="B2950" s="1">
        <v>46122</v>
      </c>
      <c r="C2950" t="s">
        <v>11</v>
      </c>
      <c r="D2950">
        <v>5</v>
      </c>
      <c r="E2950" t="b">
        <v>1</v>
      </c>
      <c r="F2950" s="2">
        <v>29.492169011991066</v>
      </c>
      <c r="G2950" t="b">
        <v>0</v>
      </c>
      <c r="H2950" t="s">
        <v>24</v>
      </c>
      <c r="I2950" t="s">
        <v>33</v>
      </c>
    </row>
    <row r="2951" spans="1:9" x14ac:dyDescent="0.3">
      <c r="A2951" t="str">
        <f t="shared" si="46"/>
        <v>CASE-2950</v>
      </c>
      <c r="B2951" s="1">
        <v>45587</v>
      </c>
      <c r="C2951" t="s">
        <v>9</v>
      </c>
      <c r="D2951">
        <v>1</v>
      </c>
      <c r="E2951" t="b">
        <v>0</v>
      </c>
      <c r="F2951" s="2">
        <v>30.291196265285411</v>
      </c>
      <c r="G2951" t="b">
        <v>0</v>
      </c>
      <c r="H2951" t="s">
        <v>14</v>
      </c>
      <c r="I2951" t="s">
        <v>33</v>
      </c>
    </row>
    <row r="2952" spans="1:9" x14ac:dyDescent="0.3">
      <c r="A2952" t="str">
        <f t="shared" si="46"/>
        <v>CASE-2951</v>
      </c>
      <c r="B2952" s="1">
        <v>45667</v>
      </c>
      <c r="C2952" t="s">
        <v>9</v>
      </c>
      <c r="D2952">
        <v>2</v>
      </c>
      <c r="E2952" t="b">
        <v>1</v>
      </c>
      <c r="F2952" s="2">
        <v>2.2610333001794651</v>
      </c>
      <c r="G2952" t="b">
        <v>0</v>
      </c>
      <c r="H2952" t="s">
        <v>15</v>
      </c>
      <c r="I2952" t="s">
        <v>34</v>
      </c>
    </row>
    <row r="2953" spans="1:9" x14ac:dyDescent="0.3">
      <c r="A2953" t="str">
        <f t="shared" si="46"/>
        <v>CASE-2952</v>
      </c>
      <c r="B2953" s="1">
        <v>45726</v>
      </c>
      <c r="C2953" t="s">
        <v>12</v>
      </c>
      <c r="D2953">
        <v>3</v>
      </c>
      <c r="E2953" t="b">
        <v>1</v>
      </c>
      <c r="F2953" s="2">
        <v>3.9481890216843283</v>
      </c>
      <c r="G2953" t="b">
        <v>0</v>
      </c>
      <c r="H2953" t="s">
        <v>13</v>
      </c>
      <c r="I2953" t="s">
        <v>34</v>
      </c>
    </row>
    <row r="2954" spans="1:9" x14ac:dyDescent="0.3">
      <c r="A2954" t="str">
        <f t="shared" si="46"/>
        <v>CASE-2953</v>
      </c>
      <c r="B2954" s="1">
        <v>45522</v>
      </c>
      <c r="C2954" t="s">
        <v>9</v>
      </c>
      <c r="D2954">
        <v>2</v>
      </c>
      <c r="E2954" t="b">
        <v>0</v>
      </c>
      <c r="F2954" s="2">
        <v>21.490126117500406</v>
      </c>
      <c r="G2954" t="b">
        <v>0</v>
      </c>
      <c r="H2954" t="s">
        <v>17</v>
      </c>
      <c r="I2954" t="s">
        <v>33</v>
      </c>
    </row>
    <row r="2955" spans="1:9" x14ac:dyDescent="0.3">
      <c r="A2955" t="str">
        <f t="shared" si="46"/>
        <v>CASE-2954</v>
      </c>
      <c r="B2955" s="1">
        <v>45723</v>
      </c>
      <c r="C2955" t="s">
        <v>12</v>
      </c>
      <c r="D2955">
        <v>5</v>
      </c>
      <c r="E2955" t="b">
        <v>1</v>
      </c>
      <c r="F2955" s="2">
        <v>23.686937379661501</v>
      </c>
      <c r="G2955" t="b">
        <v>0</v>
      </c>
      <c r="H2955" t="s">
        <v>24</v>
      </c>
      <c r="I2955" t="s">
        <v>33</v>
      </c>
    </row>
    <row r="2956" spans="1:9" x14ac:dyDescent="0.3">
      <c r="A2956" t="str">
        <f t="shared" si="46"/>
        <v>CASE-2955</v>
      </c>
      <c r="B2956" s="1">
        <v>45564</v>
      </c>
      <c r="C2956" t="s">
        <v>12</v>
      </c>
      <c r="D2956">
        <v>2</v>
      </c>
      <c r="E2956" t="b">
        <v>0</v>
      </c>
      <c r="F2956" s="2">
        <v>14.780420358009215</v>
      </c>
      <c r="G2956" t="b">
        <v>0</v>
      </c>
      <c r="H2956" t="s">
        <v>30</v>
      </c>
      <c r="I2956" t="s">
        <v>33</v>
      </c>
    </row>
    <row r="2957" spans="1:9" x14ac:dyDescent="0.3">
      <c r="A2957" t="str">
        <f t="shared" si="46"/>
        <v>CASE-2956</v>
      </c>
      <c r="B2957" s="1">
        <v>45846</v>
      </c>
      <c r="C2957" t="s">
        <v>11</v>
      </c>
      <c r="D2957">
        <v>2</v>
      </c>
      <c r="E2957" t="b">
        <v>1</v>
      </c>
      <c r="F2957" s="2">
        <v>6.0090314996459737</v>
      </c>
      <c r="G2957" t="b">
        <v>0</v>
      </c>
      <c r="H2957" t="s">
        <v>27</v>
      </c>
      <c r="I2957" t="s">
        <v>34</v>
      </c>
    </row>
    <row r="2958" spans="1:9" x14ac:dyDescent="0.3">
      <c r="A2958" t="str">
        <f t="shared" si="46"/>
        <v>CASE-2957</v>
      </c>
      <c r="B2958" s="1">
        <v>45705</v>
      </c>
      <c r="C2958" t="s">
        <v>11</v>
      </c>
      <c r="D2958">
        <v>2</v>
      </c>
      <c r="E2958" t="b">
        <v>0</v>
      </c>
      <c r="F2958" s="2">
        <v>4.211099094283723</v>
      </c>
      <c r="G2958" t="b">
        <v>0</v>
      </c>
      <c r="H2958" t="s">
        <v>20</v>
      </c>
      <c r="I2958" t="s">
        <v>34</v>
      </c>
    </row>
    <row r="2959" spans="1:9" x14ac:dyDescent="0.3">
      <c r="A2959" t="str">
        <f t="shared" si="46"/>
        <v>CASE-2958</v>
      </c>
      <c r="B2959" s="1">
        <v>45879</v>
      </c>
      <c r="C2959" t="s">
        <v>11</v>
      </c>
      <c r="D2959">
        <v>4</v>
      </c>
      <c r="E2959" t="b">
        <v>0</v>
      </c>
      <c r="F2959" s="2">
        <v>6.0805783449124178</v>
      </c>
      <c r="G2959" t="b">
        <v>0</v>
      </c>
      <c r="H2959" t="s">
        <v>13</v>
      </c>
      <c r="I2959" t="s">
        <v>35</v>
      </c>
    </row>
    <row r="2960" spans="1:9" x14ac:dyDescent="0.3">
      <c r="A2960" t="str">
        <f t="shared" si="46"/>
        <v>CASE-2959</v>
      </c>
      <c r="B2960" s="1">
        <v>45906</v>
      </c>
      <c r="C2960" t="s">
        <v>11</v>
      </c>
      <c r="D2960">
        <v>5</v>
      </c>
      <c r="E2960" t="b">
        <v>1</v>
      </c>
      <c r="F2960" s="2">
        <v>6.0575319334505329</v>
      </c>
      <c r="G2960" t="b">
        <v>0</v>
      </c>
      <c r="H2960" t="s">
        <v>32</v>
      </c>
      <c r="I2960" t="s">
        <v>34</v>
      </c>
    </row>
    <row r="2961" spans="1:9" x14ac:dyDescent="0.3">
      <c r="A2961" t="str">
        <f t="shared" si="46"/>
        <v>CASE-2960</v>
      </c>
      <c r="B2961" s="1">
        <v>46021</v>
      </c>
      <c r="C2961" t="s">
        <v>11</v>
      </c>
      <c r="D2961">
        <v>4</v>
      </c>
      <c r="E2961" t="b">
        <v>1</v>
      </c>
      <c r="F2961" s="2">
        <v>2.3879243057577426</v>
      </c>
      <c r="G2961" t="b">
        <v>0</v>
      </c>
      <c r="H2961" t="s">
        <v>15</v>
      </c>
      <c r="I2961" t="s">
        <v>34</v>
      </c>
    </row>
    <row r="2962" spans="1:9" x14ac:dyDescent="0.3">
      <c r="A2962" t="str">
        <f t="shared" si="46"/>
        <v>CASE-2961</v>
      </c>
      <c r="B2962" s="1">
        <v>46140</v>
      </c>
      <c r="C2962" t="s">
        <v>9</v>
      </c>
      <c r="D2962">
        <v>5</v>
      </c>
      <c r="E2962" t="b">
        <v>1</v>
      </c>
      <c r="F2962" s="2">
        <v>7.1398769872556347</v>
      </c>
      <c r="G2962" t="b">
        <v>0</v>
      </c>
      <c r="H2962" t="s">
        <v>21</v>
      </c>
      <c r="I2962" t="s">
        <v>34</v>
      </c>
    </row>
    <row r="2963" spans="1:9" x14ac:dyDescent="0.3">
      <c r="A2963" t="str">
        <f t="shared" si="46"/>
        <v>CASE-2962</v>
      </c>
      <c r="B2963" s="1">
        <v>46010</v>
      </c>
      <c r="C2963" t="s">
        <v>9</v>
      </c>
      <c r="D2963">
        <v>2</v>
      </c>
      <c r="E2963" t="b">
        <v>1</v>
      </c>
      <c r="F2963" s="2">
        <v>9.7759622682626972</v>
      </c>
      <c r="G2963" t="b">
        <v>0</v>
      </c>
      <c r="H2963" t="s">
        <v>32</v>
      </c>
      <c r="I2963" t="s">
        <v>34</v>
      </c>
    </row>
    <row r="2964" spans="1:9" x14ac:dyDescent="0.3">
      <c r="A2964" t="str">
        <f t="shared" si="46"/>
        <v>CASE-2963</v>
      </c>
      <c r="B2964" s="1">
        <v>46065</v>
      </c>
      <c r="C2964" t="s">
        <v>9</v>
      </c>
      <c r="D2964">
        <v>2</v>
      </c>
      <c r="E2964" t="b">
        <v>0</v>
      </c>
      <c r="F2964" s="2">
        <v>7.7579538230225946</v>
      </c>
      <c r="G2964" t="b">
        <v>0</v>
      </c>
      <c r="H2964" t="s">
        <v>32</v>
      </c>
      <c r="I2964" t="s">
        <v>34</v>
      </c>
    </row>
    <row r="2965" spans="1:9" x14ac:dyDescent="0.3">
      <c r="A2965" t="str">
        <f t="shared" si="46"/>
        <v>CASE-2964</v>
      </c>
      <c r="B2965" s="1">
        <v>45798</v>
      </c>
      <c r="C2965" t="s">
        <v>10</v>
      </c>
      <c r="D2965">
        <v>3</v>
      </c>
      <c r="E2965" t="b">
        <v>1</v>
      </c>
      <c r="F2965" s="2">
        <v>4.3356753897061404</v>
      </c>
      <c r="G2965" t="b">
        <v>0</v>
      </c>
      <c r="H2965" t="s">
        <v>13</v>
      </c>
      <c r="I2965" t="s">
        <v>34</v>
      </c>
    </row>
    <row r="2966" spans="1:9" x14ac:dyDescent="0.3">
      <c r="A2966" t="str">
        <f t="shared" si="46"/>
        <v>CASE-2965</v>
      </c>
      <c r="B2966" s="1">
        <v>45639</v>
      </c>
      <c r="C2966" t="s">
        <v>10</v>
      </c>
      <c r="D2966">
        <v>2</v>
      </c>
      <c r="E2966" t="b">
        <v>0</v>
      </c>
      <c r="F2966" s="2">
        <v>43.986558122055257</v>
      </c>
      <c r="G2966" t="b">
        <v>0</v>
      </c>
      <c r="H2966" t="s">
        <v>17</v>
      </c>
      <c r="I2966" t="s">
        <v>33</v>
      </c>
    </row>
    <row r="2967" spans="1:9" x14ac:dyDescent="0.3">
      <c r="A2967" t="str">
        <f t="shared" si="46"/>
        <v>CASE-2966</v>
      </c>
      <c r="B2967" s="1">
        <v>45541</v>
      </c>
      <c r="C2967" t="s">
        <v>10</v>
      </c>
      <c r="D2967">
        <v>3</v>
      </c>
      <c r="E2967" t="b">
        <v>0</v>
      </c>
      <c r="F2967" s="2">
        <v>23.094938824013052</v>
      </c>
      <c r="G2967" t="b">
        <v>0</v>
      </c>
      <c r="H2967" t="s">
        <v>29</v>
      </c>
      <c r="I2967" t="s">
        <v>33</v>
      </c>
    </row>
    <row r="2968" spans="1:9" x14ac:dyDescent="0.3">
      <c r="A2968" t="str">
        <f t="shared" si="46"/>
        <v>CASE-2967</v>
      </c>
      <c r="B2968" s="1">
        <v>45682</v>
      </c>
      <c r="C2968" t="s">
        <v>10</v>
      </c>
      <c r="D2968">
        <v>2</v>
      </c>
      <c r="E2968" t="b">
        <v>1</v>
      </c>
      <c r="F2968" s="2">
        <v>5.0079010080402799</v>
      </c>
      <c r="G2968" t="b">
        <v>0</v>
      </c>
      <c r="H2968" t="s">
        <v>19</v>
      </c>
      <c r="I2968" t="s">
        <v>34</v>
      </c>
    </row>
    <row r="2969" spans="1:9" x14ac:dyDescent="0.3">
      <c r="A2969" t="str">
        <f t="shared" si="46"/>
        <v>CASE-2968</v>
      </c>
      <c r="B2969" s="1">
        <v>45606</v>
      </c>
      <c r="C2969" t="s">
        <v>10</v>
      </c>
      <c r="D2969">
        <v>2</v>
      </c>
      <c r="E2969" t="b">
        <v>0</v>
      </c>
      <c r="F2969" s="2">
        <v>25.948491041110124</v>
      </c>
      <c r="G2969" t="b">
        <v>0</v>
      </c>
      <c r="H2969" t="s">
        <v>27</v>
      </c>
      <c r="I2969" t="s">
        <v>33</v>
      </c>
    </row>
    <row r="2970" spans="1:9" x14ac:dyDescent="0.3">
      <c r="A2970" t="str">
        <f t="shared" si="46"/>
        <v>CASE-2969</v>
      </c>
      <c r="B2970" s="1">
        <v>46121</v>
      </c>
      <c r="C2970" t="s">
        <v>10</v>
      </c>
      <c r="D2970">
        <v>3</v>
      </c>
      <c r="E2970" t="b">
        <v>1</v>
      </c>
      <c r="F2970" s="2">
        <v>25.342072929548578</v>
      </c>
      <c r="G2970" t="b">
        <v>0</v>
      </c>
      <c r="H2970" t="s">
        <v>30</v>
      </c>
      <c r="I2970" t="s">
        <v>33</v>
      </c>
    </row>
    <row r="2971" spans="1:9" x14ac:dyDescent="0.3">
      <c r="A2971" t="str">
        <f t="shared" si="46"/>
        <v>CASE-2970</v>
      </c>
      <c r="B2971" s="1">
        <v>46179</v>
      </c>
      <c r="C2971" t="s">
        <v>12</v>
      </c>
      <c r="D2971">
        <v>1</v>
      </c>
      <c r="E2971" t="b">
        <v>1</v>
      </c>
      <c r="F2971" s="2">
        <v>21.555369078059591</v>
      </c>
      <c r="G2971" t="b">
        <v>0</v>
      </c>
      <c r="H2971" t="s">
        <v>13</v>
      </c>
      <c r="I2971" t="s">
        <v>33</v>
      </c>
    </row>
    <row r="2972" spans="1:9" x14ac:dyDescent="0.3">
      <c r="A2972" t="str">
        <f t="shared" si="46"/>
        <v>CASE-2971</v>
      </c>
      <c r="B2972" s="1">
        <v>45644</v>
      </c>
      <c r="C2972" t="s">
        <v>9</v>
      </c>
      <c r="D2972">
        <v>1</v>
      </c>
      <c r="E2972" t="b">
        <v>0</v>
      </c>
      <c r="F2972" s="2">
        <v>26.070881692517016</v>
      </c>
      <c r="G2972" t="b">
        <v>1</v>
      </c>
      <c r="H2972" t="s">
        <v>27</v>
      </c>
      <c r="I2972" t="s">
        <v>33</v>
      </c>
    </row>
    <row r="2973" spans="1:9" x14ac:dyDescent="0.3">
      <c r="A2973" t="str">
        <f t="shared" si="46"/>
        <v>CASE-2972</v>
      </c>
      <c r="B2973" s="1">
        <v>45597</v>
      </c>
      <c r="C2973" t="s">
        <v>12</v>
      </c>
      <c r="D2973">
        <v>5</v>
      </c>
      <c r="E2973" t="b">
        <v>0</v>
      </c>
      <c r="F2973" s="2">
        <v>23.656327503025807</v>
      </c>
      <c r="G2973" t="b">
        <v>0</v>
      </c>
      <c r="H2973" t="s">
        <v>17</v>
      </c>
      <c r="I2973" t="s">
        <v>33</v>
      </c>
    </row>
    <row r="2974" spans="1:9" x14ac:dyDescent="0.3">
      <c r="A2974" t="str">
        <f t="shared" si="46"/>
        <v>CASE-2973</v>
      </c>
      <c r="B2974" s="1">
        <v>45956</v>
      </c>
      <c r="C2974" t="s">
        <v>12</v>
      </c>
      <c r="D2974">
        <v>5</v>
      </c>
      <c r="E2974" t="b">
        <v>1</v>
      </c>
      <c r="F2974" s="2">
        <v>4.0000149046982791</v>
      </c>
      <c r="G2974" t="b">
        <v>0</v>
      </c>
      <c r="H2974" t="s">
        <v>32</v>
      </c>
      <c r="I2974" t="s">
        <v>34</v>
      </c>
    </row>
    <row r="2975" spans="1:9" x14ac:dyDescent="0.3">
      <c r="A2975" t="str">
        <f t="shared" si="46"/>
        <v>CASE-2974</v>
      </c>
      <c r="B2975" s="1">
        <v>45675</v>
      </c>
      <c r="C2975" t="s">
        <v>12</v>
      </c>
      <c r="D2975">
        <v>3</v>
      </c>
      <c r="E2975" t="b">
        <v>0</v>
      </c>
      <c r="F2975" s="2">
        <v>21.563120926452157</v>
      </c>
      <c r="G2975" t="b">
        <v>0</v>
      </c>
      <c r="H2975" t="s">
        <v>27</v>
      </c>
      <c r="I2975" t="s">
        <v>33</v>
      </c>
    </row>
    <row r="2976" spans="1:9" x14ac:dyDescent="0.3">
      <c r="A2976" t="str">
        <f t="shared" si="46"/>
        <v>CASE-2975</v>
      </c>
      <c r="B2976" s="1">
        <v>45686</v>
      </c>
      <c r="C2976" t="s">
        <v>10</v>
      </c>
      <c r="D2976">
        <v>2</v>
      </c>
      <c r="E2976" t="b">
        <v>1</v>
      </c>
      <c r="F2976" s="2">
        <v>9.2621751331403264</v>
      </c>
      <c r="G2976" t="b">
        <v>0</v>
      </c>
      <c r="H2976" t="s">
        <v>14</v>
      </c>
      <c r="I2976" t="s">
        <v>34</v>
      </c>
    </row>
    <row r="2977" spans="1:9" x14ac:dyDescent="0.3">
      <c r="A2977" t="str">
        <f t="shared" si="46"/>
        <v>CASE-2976</v>
      </c>
      <c r="B2977" s="1">
        <v>45791</v>
      </c>
      <c r="C2977" t="s">
        <v>10</v>
      </c>
      <c r="D2977">
        <v>2</v>
      </c>
      <c r="E2977" t="b">
        <v>1</v>
      </c>
      <c r="F2977" s="2">
        <v>3.8933584480421795</v>
      </c>
      <c r="G2977" t="b">
        <v>0</v>
      </c>
      <c r="H2977" t="s">
        <v>21</v>
      </c>
      <c r="I2977" t="s">
        <v>34</v>
      </c>
    </row>
    <row r="2978" spans="1:9" x14ac:dyDescent="0.3">
      <c r="A2978" t="str">
        <f t="shared" si="46"/>
        <v>CASE-2977</v>
      </c>
      <c r="B2978" s="1">
        <v>45538</v>
      </c>
      <c r="C2978" t="s">
        <v>11</v>
      </c>
      <c r="D2978">
        <v>1</v>
      </c>
      <c r="E2978" t="b">
        <v>0</v>
      </c>
      <c r="F2978" s="2">
        <v>12.741425977295165</v>
      </c>
      <c r="G2978" t="b">
        <v>0</v>
      </c>
      <c r="H2978" t="s">
        <v>14</v>
      </c>
      <c r="I2978" t="s">
        <v>33</v>
      </c>
    </row>
    <row r="2979" spans="1:9" x14ac:dyDescent="0.3">
      <c r="A2979" t="str">
        <f t="shared" si="46"/>
        <v>CASE-2978</v>
      </c>
      <c r="B2979" s="1">
        <v>45664</v>
      </c>
      <c r="C2979" t="s">
        <v>12</v>
      </c>
      <c r="D2979">
        <v>4</v>
      </c>
      <c r="E2979" t="b">
        <v>1</v>
      </c>
      <c r="F2979" s="2">
        <v>8.1857319683234895</v>
      </c>
      <c r="G2979" t="b">
        <v>0</v>
      </c>
      <c r="H2979" t="s">
        <v>15</v>
      </c>
      <c r="I2979" t="s">
        <v>34</v>
      </c>
    </row>
    <row r="2980" spans="1:9" x14ac:dyDescent="0.3">
      <c r="A2980" t="str">
        <f t="shared" si="46"/>
        <v>CASE-2979</v>
      </c>
      <c r="B2980" s="1">
        <v>46163</v>
      </c>
      <c r="C2980" t="s">
        <v>12</v>
      </c>
      <c r="D2980">
        <v>1</v>
      </c>
      <c r="E2980" t="b">
        <v>0</v>
      </c>
      <c r="F2980" s="2">
        <v>6.0379269700624718</v>
      </c>
      <c r="G2980" t="b">
        <v>0</v>
      </c>
      <c r="H2980" t="s">
        <v>14</v>
      </c>
      <c r="I2980" t="s">
        <v>34</v>
      </c>
    </row>
    <row r="2981" spans="1:9" x14ac:dyDescent="0.3">
      <c r="A2981" t="str">
        <f t="shared" si="46"/>
        <v>CASE-2980</v>
      </c>
      <c r="B2981" s="1">
        <v>45809</v>
      </c>
      <c r="C2981" t="s">
        <v>9</v>
      </c>
      <c r="D2981">
        <v>1</v>
      </c>
      <c r="E2981" t="b">
        <v>0</v>
      </c>
      <c r="F2981" s="2">
        <v>4.6221282360438192</v>
      </c>
      <c r="G2981" t="b">
        <v>0</v>
      </c>
      <c r="H2981" t="s">
        <v>17</v>
      </c>
      <c r="I2981" t="s">
        <v>34</v>
      </c>
    </row>
    <row r="2982" spans="1:9" x14ac:dyDescent="0.3">
      <c r="A2982" t="str">
        <f t="shared" si="46"/>
        <v>CASE-2981</v>
      </c>
      <c r="B2982" s="1">
        <v>45841</v>
      </c>
      <c r="C2982" t="s">
        <v>12</v>
      </c>
      <c r="D2982">
        <v>3</v>
      </c>
      <c r="E2982" t="b">
        <v>1</v>
      </c>
      <c r="F2982" s="2">
        <v>4.2347406013864166</v>
      </c>
      <c r="G2982" t="b">
        <v>0</v>
      </c>
      <c r="H2982" t="s">
        <v>19</v>
      </c>
      <c r="I2982" t="s">
        <v>34</v>
      </c>
    </row>
    <row r="2983" spans="1:9" x14ac:dyDescent="0.3">
      <c r="A2983" t="str">
        <f t="shared" si="46"/>
        <v>CASE-2982</v>
      </c>
      <c r="B2983" s="1">
        <v>45844</v>
      </c>
      <c r="C2983" t="s">
        <v>12</v>
      </c>
      <c r="D2983">
        <v>3</v>
      </c>
      <c r="E2983" t="b">
        <v>1</v>
      </c>
      <c r="F2983" s="2">
        <v>6.1495553628150113</v>
      </c>
      <c r="G2983" t="b">
        <v>0</v>
      </c>
      <c r="H2983" t="s">
        <v>17</v>
      </c>
      <c r="I2983" t="s">
        <v>34</v>
      </c>
    </row>
    <row r="2984" spans="1:9" x14ac:dyDescent="0.3">
      <c r="A2984" t="str">
        <f t="shared" si="46"/>
        <v>CASE-2983</v>
      </c>
      <c r="B2984" s="1">
        <v>45585</v>
      </c>
      <c r="C2984" t="s">
        <v>12</v>
      </c>
      <c r="D2984">
        <v>2</v>
      </c>
      <c r="E2984" t="b">
        <v>0</v>
      </c>
      <c r="F2984" s="2">
        <v>36.365732853393283</v>
      </c>
      <c r="G2984" t="b">
        <v>0</v>
      </c>
      <c r="H2984" t="s">
        <v>16</v>
      </c>
      <c r="I2984" t="s">
        <v>33</v>
      </c>
    </row>
    <row r="2985" spans="1:9" x14ac:dyDescent="0.3">
      <c r="A2985" t="str">
        <f t="shared" si="46"/>
        <v>CASE-2984</v>
      </c>
      <c r="B2985" s="1">
        <v>45923</v>
      </c>
      <c r="C2985" t="s">
        <v>11</v>
      </c>
      <c r="D2985">
        <v>2</v>
      </c>
      <c r="E2985" t="b">
        <v>1</v>
      </c>
      <c r="F2985" s="2">
        <v>7.6867405892591254</v>
      </c>
      <c r="G2985" t="b">
        <v>0</v>
      </c>
      <c r="H2985" t="s">
        <v>29</v>
      </c>
      <c r="I2985" t="s">
        <v>34</v>
      </c>
    </row>
    <row r="2986" spans="1:9" x14ac:dyDescent="0.3">
      <c r="A2986" t="str">
        <f t="shared" si="46"/>
        <v>CASE-2985</v>
      </c>
      <c r="B2986" s="1">
        <v>45623</v>
      </c>
      <c r="C2986" t="s">
        <v>9</v>
      </c>
      <c r="D2986">
        <v>3</v>
      </c>
      <c r="E2986" t="b">
        <v>0</v>
      </c>
      <c r="F2986" s="2">
        <v>21.045647653089876</v>
      </c>
      <c r="G2986" t="b">
        <v>0</v>
      </c>
      <c r="H2986" t="s">
        <v>25</v>
      </c>
      <c r="I2986" t="s">
        <v>33</v>
      </c>
    </row>
    <row r="2987" spans="1:9" x14ac:dyDescent="0.3">
      <c r="A2987" t="str">
        <f t="shared" si="46"/>
        <v>CASE-2986</v>
      </c>
      <c r="B2987" s="1">
        <v>45747</v>
      </c>
      <c r="C2987" t="s">
        <v>9</v>
      </c>
      <c r="D2987">
        <v>1</v>
      </c>
      <c r="E2987" t="b">
        <v>1</v>
      </c>
      <c r="F2987" s="2">
        <v>27.147368649929746</v>
      </c>
      <c r="G2987" t="b">
        <v>0</v>
      </c>
      <c r="H2987" t="s">
        <v>22</v>
      </c>
      <c r="I2987" t="s">
        <v>33</v>
      </c>
    </row>
    <row r="2988" spans="1:9" x14ac:dyDescent="0.3">
      <c r="A2988" t="str">
        <f t="shared" si="46"/>
        <v>CASE-2987</v>
      </c>
      <c r="B2988" s="1">
        <v>46167</v>
      </c>
      <c r="C2988" t="s">
        <v>12</v>
      </c>
      <c r="D2988">
        <v>1</v>
      </c>
      <c r="E2988" t="b">
        <v>1</v>
      </c>
      <c r="F2988" s="2">
        <v>7.941651081817283</v>
      </c>
      <c r="G2988" t="b">
        <v>0</v>
      </c>
      <c r="H2988" t="s">
        <v>32</v>
      </c>
      <c r="I2988" t="s">
        <v>34</v>
      </c>
    </row>
    <row r="2989" spans="1:9" x14ac:dyDescent="0.3">
      <c r="A2989" t="str">
        <f t="shared" si="46"/>
        <v>CASE-2988</v>
      </c>
      <c r="B2989" s="1">
        <v>45924</v>
      </c>
      <c r="C2989" t="s">
        <v>11</v>
      </c>
      <c r="D2989">
        <v>4</v>
      </c>
      <c r="E2989" t="b">
        <v>1</v>
      </c>
      <c r="F2989" s="2">
        <v>6.5928982395932216</v>
      </c>
      <c r="G2989" t="b">
        <v>0</v>
      </c>
      <c r="H2989" t="s">
        <v>14</v>
      </c>
      <c r="I2989" t="s">
        <v>34</v>
      </c>
    </row>
    <row r="2990" spans="1:9" x14ac:dyDescent="0.3">
      <c r="A2990" t="str">
        <f t="shared" si="46"/>
        <v>CASE-2989</v>
      </c>
      <c r="B2990" s="1">
        <v>46115</v>
      </c>
      <c r="C2990" t="s">
        <v>12</v>
      </c>
      <c r="D2990">
        <v>1</v>
      </c>
      <c r="E2990" t="b">
        <v>1</v>
      </c>
      <c r="F2990" s="2">
        <v>4.2883467730986444</v>
      </c>
      <c r="G2990" t="b">
        <v>0</v>
      </c>
      <c r="H2990" t="s">
        <v>17</v>
      </c>
      <c r="I2990" t="s">
        <v>34</v>
      </c>
    </row>
    <row r="2991" spans="1:9" x14ac:dyDescent="0.3">
      <c r="A2991" t="str">
        <f t="shared" si="46"/>
        <v>CASE-2990</v>
      </c>
      <c r="B2991" s="1">
        <v>45982</v>
      </c>
      <c r="C2991" t="s">
        <v>9</v>
      </c>
      <c r="D2991">
        <v>3</v>
      </c>
      <c r="E2991" t="b">
        <v>1</v>
      </c>
      <c r="F2991" s="2">
        <v>4.136442087154677</v>
      </c>
      <c r="G2991" t="b">
        <v>0</v>
      </c>
      <c r="H2991" t="s">
        <v>30</v>
      </c>
      <c r="I2991" t="s">
        <v>35</v>
      </c>
    </row>
    <row r="2992" spans="1:9" x14ac:dyDescent="0.3">
      <c r="A2992" t="str">
        <f t="shared" si="46"/>
        <v>CASE-2991</v>
      </c>
      <c r="B2992" s="1">
        <v>45677</v>
      </c>
      <c r="C2992" t="s">
        <v>10</v>
      </c>
      <c r="D2992">
        <v>4</v>
      </c>
      <c r="E2992" t="b">
        <v>1</v>
      </c>
      <c r="F2992" s="2">
        <v>4.0934289906464407</v>
      </c>
      <c r="G2992" t="b">
        <v>0</v>
      </c>
      <c r="H2992" t="s">
        <v>21</v>
      </c>
      <c r="I2992" t="s">
        <v>34</v>
      </c>
    </row>
    <row r="2993" spans="1:9" x14ac:dyDescent="0.3">
      <c r="A2993" t="str">
        <f t="shared" si="46"/>
        <v>CASE-2992</v>
      </c>
      <c r="B2993" s="1">
        <v>45757</v>
      </c>
      <c r="C2993" t="s">
        <v>10</v>
      </c>
      <c r="D2993">
        <v>3</v>
      </c>
      <c r="E2993" t="b">
        <v>0</v>
      </c>
      <c r="F2993" s="2">
        <v>24.158779184038231</v>
      </c>
      <c r="G2993" t="b">
        <v>0</v>
      </c>
      <c r="H2993" t="s">
        <v>20</v>
      </c>
      <c r="I2993" t="s">
        <v>33</v>
      </c>
    </row>
    <row r="2994" spans="1:9" x14ac:dyDescent="0.3">
      <c r="A2994" t="str">
        <f t="shared" si="46"/>
        <v>CASE-2993</v>
      </c>
      <c r="B2994" s="1">
        <v>45703</v>
      </c>
      <c r="C2994" t="s">
        <v>10</v>
      </c>
      <c r="D2994">
        <v>5</v>
      </c>
      <c r="E2994" t="b">
        <v>1</v>
      </c>
      <c r="F2994" s="2">
        <v>3.7603952508703058</v>
      </c>
      <c r="G2994" t="b">
        <v>0</v>
      </c>
      <c r="H2994" t="s">
        <v>14</v>
      </c>
      <c r="I2994" t="s">
        <v>34</v>
      </c>
    </row>
    <row r="2995" spans="1:9" x14ac:dyDescent="0.3">
      <c r="A2995" t="str">
        <f t="shared" si="46"/>
        <v>CASE-2994</v>
      </c>
      <c r="B2995" s="1">
        <v>45733</v>
      </c>
      <c r="C2995" t="s">
        <v>12</v>
      </c>
      <c r="D2995">
        <v>4</v>
      </c>
      <c r="E2995" t="b">
        <v>1</v>
      </c>
      <c r="F2995" s="2">
        <v>7.5862132303475285</v>
      </c>
      <c r="G2995" t="b">
        <v>0</v>
      </c>
      <c r="H2995" t="s">
        <v>31</v>
      </c>
      <c r="I2995" t="s">
        <v>34</v>
      </c>
    </row>
    <row r="2996" spans="1:9" x14ac:dyDescent="0.3">
      <c r="A2996" t="str">
        <f t="shared" si="46"/>
        <v>CASE-2995</v>
      </c>
      <c r="B2996" s="1">
        <v>45629</v>
      </c>
      <c r="C2996" t="s">
        <v>11</v>
      </c>
      <c r="D2996">
        <v>4</v>
      </c>
      <c r="E2996" t="b">
        <v>0</v>
      </c>
      <c r="F2996" s="2">
        <v>23.679217292182415</v>
      </c>
      <c r="G2996" t="b">
        <v>0</v>
      </c>
      <c r="H2996" t="s">
        <v>19</v>
      </c>
      <c r="I2996" t="s">
        <v>33</v>
      </c>
    </row>
    <row r="2997" spans="1:9" x14ac:dyDescent="0.3">
      <c r="A2997" t="str">
        <f t="shared" si="46"/>
        <v>CASE-2996</v>
      </c>
      <c r="B2997" s="1">
        <v>45751</v>
      </c>
      <c r="C2997" t="s">
        <v>12</v>
      </c>
      <c r="D2997">
        <v>5</v>
      </c>
      <c r="E2997" t="b">
        <v>1</v>
      </c>
      <c r="F2997" s="2">
        <v>4.3836971525795576</v>
      </c>
      <c r="G2997" t="b">
        <v>0</v>
      </c>
      <c r="H2997" t="s">
        <v>30</v>
      </c>
      <c r="I2997" t="s">
        <v>34</v>
      </c>
    </row>
    <row r="2998" spans="1:9" x14ac:dyDescent="0.3">
      <c r="A2998" t="str">
        <f t="shared" si="46"/>
        <v>CASE-2997</v>
      </c>
      <c r="B2998" s="1">
        <v>45753</v>
      </c>
      <c r="C2998" t="s">
        <v>12</v>
      </c>
      <c r="D2998">
        <v>5</v>
      </c>
      <c r="E2998" t="b">
        <v>1</v>
      </c>
      <c r="F2998" s="2">
        <v>4.8512527772954392</v>
      </c>
      <c r="G2998" t="b">
        <v>0</v>
      </c>
      <c r="H2998" t="s">
        <v>32</v>
      </c>
      <c r="I2998" t="s">
        <v>34</v>
      </c>
    </row>
    <row r="2999" spans="1:9" x14ac:dyDescent="0.3">
      <c r="A2999" t="str">
        <f t="shared" si="46"/>
        <v>CASE-2998</v>
      </c>
      <c r="B2999" s="1">
        <v>45479</v>
      </c>
      <c r="C2999" t="s">
        <v>12</v>
      </c>
      <c r="D2999">
        <v>1</v>
      </c>
      <c r="E2999" t="b">
        <v>0</v>
      </c>
      <c r="F2999" s="2">
        <v>22.380322016078082</v>
      </c>
      <c r="G2999" t="b">
        <v>0</v>
      </c>
      <c r="H2999" t="s">
        <v>23</v>
      </c>
      <c r="I2999" t="s">
        <v>33</v>
      </c>
    </row>
    <row r="3000" spans="1:9" x14ac:dyDescent="0.3">
      <c r="A3000" t="str">
        <f t="shared" si="46"/>
        <v>CASE-2999</v>
      </c>
      <c r="B3000" s="1">
        <v>46024</v>
      </c>
      <c r="C3000" t="s">
        <v>10</v>
      </c>
      <c r="D3000">
        <v>2</v>
      </c>
      <c r="E3000" t="b">
        <v>0</v>
      </c>
      <c r="F3000" s="2">
        <v>26.471527751521972</v>
      </c>
      <c r="G3000" t="b">
        <v>0</v>
      </c>
      <c r="H3000" t="s">
        <v>14</v>
      </c>
      <c r="I3000" t="s">
        <v>33</v>
      </c>
    </row>
    <row r="3001" spans="1:9" x14ac:dyDescent="0.3">
      <c r="A3001" t="str">
        <f t="shared" si="46"/>
        <v>CASE-3000</v>
      </c>
      <c r="B3001" s="1">
        <v>45890</v>
      </c>
      <c r="C3001" t="s">
        <v>11</v>
      </c>
      <c r="D3001">
        <v>1</v>
      </c>
      <c r="E3001" t="b">
        <v>0</v>
      </c>
      <c r="F3001" s="2">
        <v>7.3322564155868921</v>
      </c>
      <c r="G3001" t="b">
        <v>0</v>
      </c>
      <c r="H3001" t="s">
        <v>30</v>
      </c>
      <c r="I3001"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DCC2B-7FB4-40A1-83BE-84B849FF95CC}">
  <dimension ref="B1:C14"/>
  <sheetViews>
    <sheetView workbookViewId="0">
      <selection activeCell="B2" sqref="B2"/>
    </sheetView>
  </sheetViews>
  <sheetFormatPr defaultRowHeight="14.4" x14ac:dyDescent="0.3"/>
  <cols>
    <col min="2" max="2" width="11.5546875" bestFit="1" customWidth="1"/>
  </cols>
  <sheetData>
    <row r="1" spans="2:3" x14ac:dyDescent="0.3">
      <c r="B1" s="4" t="s">
        <v>36</v>
      </c>
    </row>
    <row r="2" spans="2:3" x14ac:dyDescent="0.3">
      <c r="B2">
        <v>3000</v>
      </c>
    </row>
    <row r="4" spans="2:3" x14ac:dyDescent="0.3">
      <c r="B4" s="4" t="s">
        <v>40</v>
      </c>
    </row>
    <row r="5" spans="2:3" x14ac:dyDescent="0.3">
      <c r="B5" t="s">
        <v>37</v>
      </c>
      <c r="C5" t="s">
        <v>38</v>
      </c>
    </row>
    <row r="6" spans="2:3" x14ac:dyDescent="0.3">
      <c r="B6" s="2">
        <f>AVERAGEIFS(Raw_Data!F:F,Raw_Data!E:E,FALSE)</f>
        <v>19.049569922848043</v>
      </c>
      <c r="C6" s="2">
        <f>AVERAGEIFS(Raw_Data!F:F,Raw_Data!E:E,TRUE)</f>
        <v>9.6597440840707396</v>
      </c>
    </row>
    <row r="8" spans="2:3" x14ac:dyDescent="0.3">
      <c r="B8" s="4" t="s">
        <v>39</v>
      </c>
    </row>
    <row r="9" spans="2:3" x14ac:dyDescent="0.3">
      <c r="B9" t="s">
        <v>41</v>
      </c>
    </row>
    <row r="10" spans="2:3" x14ac:dyDescent="0.3">
      <c r="B10" s="3">
        <f>(B6-C6)/B6</f>
        <v>0.49291537167540733</v>
      </c>
    </row>
    <row r="12" spans="2:3" x14ac:dyDescent="0.3">
      <c r="B12" s="4" t="s">
        <v>42</v>
      </c>
    </row>
    <row r="13" spans="2:3" x14ac:dyDescent="0.3">
      <c r="B13" t="s">
        <v>37</v>
      </c>
      <c r="C13" t="s">
        <v>38</v>
      </c>
    </row>
    <row r="14" spans="2:3" x14ac:dyDescent="0.3">
      <c r="B14" s="3">
        <f>COUNTIFS(Raw_Data!G:G,TRUE,Raw_Data!E:E,FALSE)
/
COUNTIFS(
Raw_Data!E:E,
FALSE)</f>
        <v>3.8590604026845637E-2</v>
      </c>
      <c r="C14" s="3">
        <f>COUNTIFS(Raw_Data!G:G,TRUE,Raw_Data!E:E,TRUE)
/
COUNTIFS(
Raw_Data!E:E,
TRUE)</f>
        <v>7.743362831858407E-3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BFC0B-9CE4-4CBA-9F16-0BBEDF796DDD}">
  <dimension ref="A2:J23"/>
  <sheetViews>
    <sheetView workbookViewId="0">
      <selection activeCell="G7" sqref="G7"/>
    </sheetView>
  </sheetViews>
  <sheetFormatPr defaultRowHeight="14.4" x14ac:dyDescent="0.3"/>
  <cols>
    <col min="1" max="1" width="12.44140625" bestFit="1" customWidth="1"/>
    <col min="2" max="2" width="30.21875" bestFit="1" customWidth="1"/>
    <col min="3" max="3" width="5.5546875" bestFit="1" customWidth="1"/>
    <col min="4" max="4" width="12.44140625" bestFit="1" customWidth="1"/>
    <col min="5" max="5" width="27.109375" bestFit="1" customWidth="1"/>
    <col min="6" max="6" width="10.5546875" bestFit="1" customWidth="1"/>
    <col min="7" max="7" width="30.21875" bestFit="1" customWidth="1"/>
    <col min="8" max="8" width="15.5546875" bestFit="1" customWidth="1"/>
    <col min="9" max="9" width="5.5546875" bestFit="1" customWidth="1"/>
    <col min="10" max="3001" width="10.5546875" bestFit="1" customWidth="1"/>
    <col min="3002" max="3002" width="11.33203125" bestFit="1" customWidth="1"/>
  </cols>
  <sheetData>
    <row r="2" spans="1:10" ht="18" x14ac:dyDescent="0.3">
      <c r="A2" s="7" t="s">
        <v>49</v>
      </c>
      <c r="D2" s="7" t="s">
        <v>50</v>
      </c>
      <c r="G2" s="7" t="s">
        <v>52</v>
      </c>
    </row>
    <row r="3" spans="1:10" x14ac:dyDescent="0.3">
      <c r="A3" s="5" t="s">
        <v>43</v>
      </c>
      <c r="B3" t="s">
        <v>47</v>
      </c>
      <c r="D3" s="5" t="s">
        <v>43</v>
      </c>
      <c r="E3" t="s">
        <v>48</v>
      </c>
      <c r="G3" s="5" t="s">
        <v>47</v>
      </c>
      <c r="H3" s="5" t="s">
        <v>51</v>
      </c>
    </row>
    <row r="4" spans="1:10" x14ac:dyDescent="0.3">
      <c r="A4" s="6" t="s">
        <v>44</v>
      </c>
      <c r="B4" s="2">
        <v>19.049569922848043</v>
      </c>
      <c r="D4" s="6" t="s">
        <v>44</v>
      </c>
      <c r="E4" s="10">
        <v>1192</v>
      </c>
      <c r="G4" s="5" t="s">
        <v>43</v>
      </c>
      <c r="H4" t="s">
        <v>44</v>
      </c>
      <c r="I4" t="s">
        <v>45</v>
      </c>
      <c r="J4" t="s">
        <v>46</v>
      </c>
    </row>
    <row r="5" spans="1:10" x14ac:dyDescent="0.3">
      <c r="A5" s="6" t="s">
        <v>45</v>
      </c>
      <c r="B5" s="2">
        <v>9.6597440840707396</v>
      </c>
      <c r="D5" s="6" t="s">
        <v>45</v>
      </c>
      <c r="E5" s="10">
        <v>1808</v>
      </c>
      <c r="G5" s="6" t="s">
        <v>10</v>
      </c>
      <c r="H5" s="2">
        <v>19.212278652701908</v>
      </c>
      <c r="I5" s="2">
        <v>9.5640571423021896</v>
      </c>
      <c r="J5" s="2">
        <v>13.65336957055108</v>
      </c>
    </row>
    <row r="6" spans="1:10" x14ac:dyDescent="0.3">
      <c r="A6" s="6" t="s">
        <v>46</v>
      </c>
      <c r="B6" s="2">
        <v>13.390634884011558</v>
      </c>
      <c r="D6" s="6" t="s">
        <v>46</v>
      </c>
      <c r="E6" s="10">
        <v>3000</v>
      </c>
      <c r="G6" s="6" t="s">
        <v>12</v>
      </c>
      <c r="H6" s="2">
        <v>18.275327429045486</v>
      </c>
      <c r="I6" s="2">
        <v>9.184505189343021</v>
      </c>
      <c r="J6" s="2">
        <v>13.005285550957121</v>
      </c>
    </row>
    <row r="7" spans="1:10" x14ac:dyDescent="0.3">
      <c r="G7" s="6" t="s">
        <v>11</v>
      </c>
      <c r="H7" s="2">
        <v>19.577188433695916</v>
      </c>
      <c r="I7" s="2">
        <v>9.7360434317697617</v>
      </c>
      <c r="J7" s="2">
        <v>13.423157057828362</v>
      </c>
    </row>
    <row r="8" spans="1:10" x14ac:dyDescent="0.3">
      <c r="G8" s="6" t="s">
        <v>9</v>
      </c>
      <c r="H8" s="2">
        <v>19.224983071771881</v>
      </c>
      <c r="I8" s="2">
        <v>10.118861431655306</v>
      </c>
      <c r="J8" s="2">
        <v>13.484699403472572</v>
      </c>
    </row>
    <row r="9" spans="1:10" x14ac:dyDescent="0.3">
      <c r="A9" s="5" t="s">
        <v>4</v>
      </c>
      <c r="B9" t="s">
        <v>45</v>
      </c>
      <c r="G9" s="6" t="s">
        <v>46</v>
      </c>
      <c r="H9" s="2">
        <v>19.049569922848043</v>
      </c>
      <c r="I9" s="2">
        <v>9.6597440840707112</v>
      </c>
      <c r="J9" s="2">
        <v>13.390634884011584</v>
      </c>
    </row>
    <row r="11" spans="1:10" x14ac:dyDescent="0.3">
      <c r="A11" s="5" t="s">
        <v>43</v>
      </c>
      <c r="B11" t="s">
        <v>53</v>
      </c>
    </row>
    <row r="12" spans="1:10" x14ac:dyDescent="0.3">
      <c r="A12" s="6" t="s">
        <v>34</v>
      </c>
      <c r="B12" s="10">
        <v>1308</v>
      </c>
    </row>
    <row r="13" spans="1:10" x14ac:dyDescent="0.3">
      <c r="A13" s="6" t="s">
        <v>35</v>
      </c>
      <c r="B13" s="10">
        <v>126</v>
      </c>
    </row>
    <row r="14" spans="1:10" x14ac:dyDescent="0.3">
      <c r="A14" s="6" t="s">
        <v>46</v>
      </c>
      <c r="B14" s="10">
        <v>1434</v>
      </c>
    </row>
    <row r="16" spans="1:10" x14ac:dyDescent="0.3">
      <c r="A16" s="5" t="s">
        <v>47</v>
      </c>
      <c r="B16" s="5" t="s">
        <v>51</v>
      </c>
    </row>
    <row r="17" spans="1:4" x14ac:dyDescent="0.3">
      <c r="A17" s="5" t="s">
        <v>43</v>
      </c>
      <c r="B17" t="s">
        <v>44</v>
      </c>
      <c r="C17" t="s">
        <v>45</v>
      </c>
      <c r="D17" t="s">
        <v>46</v>
      </c>
    </row>
    <row r="18" spans="1:4" x14ac:dyDescent="0.3">
      <c r="A18" s="6">
        <v>1</v>
      </c>
      <c r="B18" s="2">
        <v>18.778257120067757</v>
      </c>
      <c r="C18" s="2">
        <v>9.6786293289139511</v>
      </c>
      <c r="D18" s="2">
        <v>13.315511561919946</v>
      </c>
    </row>
    <row r="19" spans="1:4" x14ac:dyDescent="0.3">
      <c r="A19" s="6">
        <v>2</v>
      </c>
      <c r="B19" s="2">
        <v>19.456064557665599</v>
      </c>
      <c r="C19" s="2">
        <v>9.6542220857029637</v>
      </c>
      <c r="D19" s="2">
        <v>13.405343164823448</v>
      </c>
    </row>
    <row r="20" spans="1:4" x14ac:dyDescent="0.3">
      <c r="A20" s="6">
        <v>3</v>
      </c>
      <c r="B20" s="2">
        <v>19.619270255698535</v>
      </c>
      <c r="C20" s="2">
        <v>9.2738627033258396</v>
      </c>
      <c r="D20" s="2">
        <v>13.108651334765492</v>
      </c>
    </row>
    <row r="21" spans="1:4" x14ac:dyDescent="0.3">
      <c r="A21" s="6">
        <v>4</v>
      </c>
      <c r="B21" s="2">
        <v>18.772923688195363</v>
      </c>
      <c r="C21" s="2">
        <v>9.0164608921467675</v>
      </c>
      <c r="D21" s="2">
        <v>13.202567151647957</v>
      </c>
    </row>
    <row r="22" spans="1:4" x14ac:dyDescent="0.3">
      <c r="A22" s="6">
        <v>5</v>
      </c>
      <c r="B22" s="2">
        <v>18.693692332306885</v>
      </c>
      <c r="C22" s="2">
        <v>10.672101491547487</v>
      </c>
      <c r="D22" s="2">
        <v>13.926652657579499</v>
      </c>
    </row>
    <row r="23" spans="1:4" x14ac:dyDescent="0.3">
      <c r="A23" s="6" t="s">
        <v>46</v>
      </c>
      <c r="B23" s="2">
        <v>19.049569922848001</v>
      </c>
      <c r="C23" s="2">
        <v>9.6597440840707414</v>
      </c>
      <c r="D23" s="2">
        <v>13.390634884011583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2691-464A-471B-9919-2D9AC622FC61}">
  <dimension ref="A1:Q43"/>
  <sheetViews>
    <sheetView showGridLines="0" tabSelected="1" workbookViewId="0">
      <selection activeCell="U11" sqref="U11"/>
    </sheetView>
  </sheetViews>
  <sheetFormatPr defaultRowHeight="14.4" x14ac:dyDescent="0.3"/>
  <cols>
    <col min="2" max="2" width="16" customWidth="1"/>
    <col min="3" max="3" width="1.44140625" customWidth="1"/>
  </cols>
  <sheetData>
    <row r="1" spans="1:17" x14ac:dyDescent="0.3">
      <c r="A1" s="8"/>
      <c r="B1" s="8"/>
      <c r="D1" s="8"/>
      <c r="E1" s="8"/>
      <c r="F1" s="8"/>
      <c r="G1" s="8"/>
      <c r="H1" s="8"/>
      <c r="I1" s="8"/>
      <c r="J1" s="8"/>
      <c r="K1" s="8"/>
      <c r="L1" s="8"/>
      <c r="M1" s="8"/>
      <c r="N1" s="8"/>
      <c r="O1" s="8"/>
      <c r="P1" s="8"/>
      <c r="Q1" s="9"/>
    </row>
    <row r="2" spans="1:17" x14ac:dyDescent="0.3">
      <c r="A2" s="8"/>
      <c r="B2" s="8"/>
      <c r="D2" s="8"/>
      <c r="E2" s="8"/>
      <c r="F2" s="8"/>
      <c r="G2" s="8"/>
      <c r="H2" s="8"/>
      <c r="I2" s="8"/>
      <c r="J2" s="8"/>
      <c r="K2" s="8"/>
      <c r="L2" s="8"/>
      <c r="M2" s="8"/>
      <c r="N2" s="8"/>
      <c r="O2" s="8"/>
      <c r="P2" s="8"/>
      <c r="Q2" s="9"/>
    </row>
    <row r="3" spans="1:17" x14ac:dyDescent="0.3">
      <c r="A3" s="8"/>
      <c r="B3" s="8"/>
      <c r="D3" s="8"/>
      <c r="E3" s="8"/>
      <c r="F3" s="8"/>
      <c r="G3" s="8"/>
      <c r="H3" s="8"/>
      <c r="I3" s="8"/>
      <c r="J3" s="8"/>
      <c r="K3" s="8"/>
      <c r="L3" s="8"/>
      <c r="M3" s="8"/>
      <c r="N3" s="8"/>
      <c r="O3" s="8"/>
      <c r="P3" s="8"/>
      <c r="Q3" s="9"/>
    </row>
    <row r="4" spans="1:17" x14ac:dyDescent="0.3">
      <c r="A4" s="8"/>
      <c r="B4" s="8"/>
      <c r="D4" s="8"/>
      <c r="E4" s="8"/>
      <c r="F4" s="8"/>
      <c r="G4" s="8"/>
      <c r="H4" s="8"/>
      <c r="I4" s="8"/>
      <c r="J4" s="8"/>
      <c r="K4" s="8"/>
      <c r="L4" s="8"/>
      <c r="M4" s="8"/>
      <c r="N4" s="8"/>
      <c r="O4" s="8"/>
      <c r="P4" s="8"/>
      <c r="Q4" s="9"/>
    </row>
    <row r="5" spans="1:17" x14ac:dyDescent="0.3">
      <c r="A5" s="8"/>
      <c r="B5" s="8"/>
      <c r="D5" s="11"/>
      <c r="E5" s="11"/>
      <c r="F5" s="11"/>
      <c r="G5" s="11"/>
      <c r="H5" s="11"/>
      <c r="I5" s="11"/>
      <c r="J5" s="11"/>
      <c r="K5" s="11"/>
      <c r="L5" s="11"/>
      <c r="M5" s="11"/>
      <c r="N5" s="11"/>
      <c r="O5" s="11"/>
      <c r="P5" s="11"/>
      <c r="Q5" s="12"/>
    </row>
    <row r="6" spans="1:17" x14ac:dyDescent="0.3">
      <c r="A6" s="8"/>
      <c r="B6" s="8"/>
    </row>
    <row r="7" spans="1:17" x14ac:dyDescent="0.3">
      <c r="A7" s="8"/>
      <c r="B7" s="8"/>
    </row>
    <row r="8" spans="1:17" x14ac:dyDescent="0.3">
      <c r="A8" s="8"/>
      <c r="B8" s="8"/>
    </row>
    <row r="9" spans="1:17" x14ac:dyDescent="0.3">
      <c r="A9" s="8"/>
      <c r="B9" s="8"/>
    </row>
    <row r="10" spans="1:17" x14ac:dyDescent="0.3">
      <c r="A10" s="8"/>
      <c r="B10" s="8"/>
    </row>
    <row r="11" spans="1:17" x14ac:dyDescent="0.3">
      <c r="A11" s="8"/>
      <c r="B11" s="8"/>
    </row>
    <row r="12" spans="1:17" x14ac:dyDescent="0.3">
      <c r="A12" s="8"/>
      <c r="B12" s="8"/>
    </row>
    <row r="13" spans="1:17" x14ac:dyDescent="0.3">
      <c r="A13" s="8"/>
      <c r="B13" s="8"/>
    </row>
    <row r="14" spans="1:17" x14ac:dyDescent="0.3">
      <c r="A14" s="8"/>
      <c r="B14" s="8"/>
    </row>
    <row r="15" spans="1:17" x14ac:dyDescent="0.3">
      <c r="A15" s="8"/>
      <c r="B15" s="8"/>
    </row>
    <row r="16" spans="1:17" x14ac:dyDescent="0.3">
      <c r="A16" s="8"/>
      <c r="B16" s="8"/>
    </row>
    <row r="17" spans="1:2" x14ac:dyDescent="0.3">
      <c r="A17" s="8"/>
      <c r="B17" s="8"/>
    </row>
    <row r="18" spans="1:2" x14ac:dyDescent="0.3">
      <c r="A18" s="8"/>
      <c r="B18" s="8"/>
    </row>
    <row r="19" spans="1:2" x14ac:dyDescent="0.3">
      <c r="A19" s="8"/>
      <c r="B19" s="8"/>
    </row>
    <row r="20" spans="1:2" x14ac:dyDescent="0.3">
      <c r="A20" s="8"/>
      <c r="B20" s="8"/>
    </row>
    <row r="21" spans="1:2" x14ac:dyDescent="0.3">
      <c r="A21" s="8"/>
      <c r="B21" s="8"/>
    </row>
    <row r="22" spans="1:2" x14ac:dyDescent="0.3">
      <c r="A22" s="8"/>
      <c r="B22" s="8"/>
    </row>
    <row r="23" spans="1:2" x14ac:dyDescent="0.3">
      <c r="A23" s="8"/>
      <c r="B23" s="8"/>
    </row>
    <row r="24" spans="1:2" x14ac:dyDescent="0.3">
      <c r="A24" s="8"/>
      <c r="B24" s="8"/>
    </row>
    <row r="25" spans="1:2" x14ac:dyDescent="0.3">
      <c r="A25" s="8"/>
      <c r="B25" s="8"/>
    </row>
    <row r="26" spans="1:2" x14ac:dyDescent="0.3">
      <c r="A26" s="8"/>
      <c r="B26" s="8"/>
    </row>
    <row r="27" spans="1:2" x14ac:dyDescent="0.3">
      <c r="A27" s="8"/>
      <c r="B27" s="8"/>
    </row>
    <row r="28" spans="1:2" x14ac:dyDescent="0.3">
      <c r="A28" s="8"/>
      <c r="B28" s="8"/>
    </row>
    <row r="29" spans="1:2" x14ac:dyDescent="0.3">
      <c r="A29" s="8"/>
      <c r="B29" s="8"/>
    </row>
    <row r="30" spans="1:2" x14ac:dyDescent="0.3">
      <c r="A30" s="8"/>
      <c r="B30" s="8"/>
    </row>
    <row r="31" spans="1:2" x14ac:dyDescent="0.3">
      <c r="A31" s="8"/>
      <c r="B31" s="8"/>
    </row>
    <row r="32" spans="1:2" x14ac:dyDescent="0.3">
      <c r="A32" s="8"/>
      <c r="B32" s="8"/>
    </row>
    <row r="33" spans="1:2" x14ac:dyDescent="0.3">
      <c r="A33" s="8"/>
      <c r="B33" s="8"/>
    </row>
    <row r="34" spans="1:2" x14ac:dyDescent="0.3">
      <c r="A34" s="8"/>
      <c r="B34" s="8"/>
    </row>
    <row r="35" spans="1:2" x14ac:dyDescent="0.3">
      <c r="A35" s="8"/>
      <c r="B35" s="8"/>
    </row>
    <row r="36" spans="1:2" x14ac:dyDescent="0.3">
      <c r="A36" s="8"/>
      <c r="B36" s="8"/>
    </row>
    <row r="37" spans="1:2" x14ac:dyDescent="0.3">
      <c r="A37" s="8"/>
      <c r="B37" s="8"/>
    </row>
    <row r="38" spans="1:2" x14ac:dyDescent="0.3">
      <c r="A38" s="8"/>
      <c r="B38" s="8"/>
    </row>
    <row r="39" spans="1:2" x14ac:dyDescent="0.3">
      <c r="A39" s="8"/>
      <c r="B39" s="8"/>
    </row>
    <row r="40" spans="1:2" x14ac:dyDescent="0.3">
      <c r="A40" s="11"/>
      <c r="B40" s="11"/>
    </row>
    <row r="41" spans="1:2" x14ac:dyDescent="0.3">
      <c r="A41" s="11"/>
      <c r="B41" s="11"/>
    </row>
    <row r="42" spans="1:2" x14ac:dyDescent="0.3">
      <c r="A42" s="11"/>
      <c r="B42" s="11"/>
    </row>
    <row r="43" spans="1:2" x14ac:dyDescent="0.3">
      <c r="A43" s="11"/>
      <c r="B43"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Analysis</vt:lpstr>
      <vt:lpstr>Pivot_Tables</vt:lpstr>
      <vt:lpstr>Dashboard</vt:lpstr>
    </vt:vector>
  </TitlesOfParts>
  <Company>M. D. Anderson Cancer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Chang,Yu-ju</dc:creator>
  <cp:lastModifiedBy>NghiRobert</cp:lastModifiedBy>
  <dcterms:created xsi:type="dcterms:W3CDTF">2026-06-22T22:20:54Z</dcterms:created>
  <dcterms:modified xsi:type="dcterms:W3CDTF">2026-06-25T02:24:47Z</dcterms:modified>
</cp:coreProperties>
</file>